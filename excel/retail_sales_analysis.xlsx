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Users\konic\OneDrive\Music\Documents\GitHub\cynaris-internship-swati\excel\"/>
    </mc:Choice>
  </mc:AlternateContent>
  <xr:revisionPtr revIDLastSave="0" documentId="13_ncr:1_{7E4C0719-ED9D-4003-8759-A7C6BB0A3C83}" xr6:coauthVersionLast="47" xr6:coauthVersionMax="47" xr10:uidLastSave="{00000000-0000-0000-0000-000000000000}"/>
  <bookViews>
    <workbookView xWindow="-108" yWindow="-108" windowWidth="23256" windowHeight="12456" xr2:uid="{09F4868B-3F24-415D-975C-8EB504E6CC53}"/>
  </bookViews>
  <sheets>
    <sheet name="Dashboard" sheetId="1" r:id="rId1"/>
    <sheet name="Regional_Analysis" sheetId="3" r:id="rId2"/>
    <sheet name="Product_Analysis" sheetId="4" r:id="rId3"/>
    <sheet name="Quarterly_Analysis" sheetId="5" r:id="rId4"/>
    <sheet name="cleaned_data" sheetId="2" r:id="rId5"/>
    <sheet name="Sheet5" sheetId="6" r:id="rId6"/>
  </sheets>
  <definedNames>
    <definedName name="ExternalData_1" localSheetId="4" hidden="1">cleaned_data!$A$1:$U$2407</definedName>
    <definedName name="Slicer_Customer_Type">#N/A</definedName>
    <definedName name="Slicer_Product_Category">#N/A</definedName>
    <definedName name="Slicer_Region">#N/A</definedName>
    <definedName name="Slicer_Sales_Channel">#N/A</definedName>
    <definedName name="Slicer_Sales_Rep">#N/A</definedName>
  </definedNames>
  <calcPr calcId="191029"/>
  <pivotCaches>
    <pivotCache cacheId="21"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E3" i="1"/>
  <c r="C3" i="1"/>
  <c r="A3" i="1"/>
  <c r="E8" i="3"/>
  <c r="D8" i="5"/>
  <c r="D7" i="5"/>
  <c r="D6" i="5"/>
  <c r="E5" i="3"/>
  <c r="E6" i="3"/>
  <c r="E7" i="3"/>
  <c r="E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D89447-8681-4F62-AE34-834D72F2765E}" keepAlive="1" name="Query - excel" description="Connection to the 'excel' query in the workbook." type="5" refreshedVersion="8" background="1" saveData="1">
    <dbPr connection="Provider=Microsoft.Mashup.OleDb.1;Data Source=$Workbook$;Location=excel;Extended Properties=&quot;&quot;" command="SELECT * FROM [excel]"/>
  </connection>
  <connection id="2" xr16:uid="{A0A66F88-6DE3-4D1F-A879-CC81B559F2E1}"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A922B274-9F14-44F3-A38E-420B4004FCB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984DD066-1D42-448D-8B75-4C6FD0F46325}"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4BD8644F-883C-43B1-BD5E-486C66B6DB34}"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<sst xmlns="http://schemas.openxmlformats.org/spreadsheetml/2006/main" count="11461" uniqueCount="179">
  <si>
    <t>Source.Name</t>
  </si>
  <si>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</si>
  <si>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</si>
  <si>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</si>
  <si>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</si>
  <si>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</si>
  <si>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</si>
  <si>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</si>
  <si>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</si>
  <si>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</si>
  <si>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</si>
  <si>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</si>
  <si>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</si>
  <si>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</si>
  <si>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</si>
  <si>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sales_2023_H1.csv</t>
  </si>
  <si>
    <t>1008</t>
  </si>
  <si>
    <t>Eve</t>
  </si>
  <si>
    <t>North</t>
  </si>
  <si>
    <t>Clothing</t>
  </si>
  <si>
    <t>Returning</t>
  </si>
  <si>
    <t>Cash</t>
  </si>
  <si>
    <t>Online</t>
  </si>
  <si>
    <t>North-Eve</t>
  </si>
  <si>
    <t>1089</t>
  </si>
  <si>
    <t>Charlie</t>
  </si>
  <si>
    <t>New</t>
  </si>
  <si>
    <t>Credit Card</t>
  </si>
  <si>
    <t>North-Charlie</t>
  </si>
  <si>
    <t>1070</t>
  </si>
  <si>
    <t>South</t>
  </si>
  <si>
    <t>Furniture</t>
  </si>
  <si>
    <t>Bank Transfer</t>
  </si>
  <si>
    <t>Retail</t>
  </si>
  <si>
    <t>South-Eve</t>
  </si>
  <si>
    <t>1064</t>
  </si>
  <si>
    <t>David</t>
  </si>
  <si>
    <t>Electronics</t>
  </si>
  <si>
    <t>South-David</t>
  </si>
  <si>
    <t>1075</t>
  </si>
  <si>
    <t>West</t>
  </si>
  <si>
    <t>West-David</t>
  </si>
  <si>
    <t>1099</t>
  </si>
  <si>
    <t>Bob</t>
  </si>
  <si>
    <t>East</t>
  </si>
  <si>
    <t>East-Bob</t>
  </si>
  <si>
    <t>1087</t>
  </si>
  <si>
    <t>East-Charlie</t>
  </si>
  <si>
    <t>1027</t>
  </si>
  <si>
    <t>East-Eve</t>
  </si>
  <si>
    <t>1051</t>
  </si>
  <si>
    <t>1002</t>
  </si>
  <si>
    <t>1074</t>
  </si>
  <si>
    <t>1086</t>
  </si>
  <si>
    <t>South-Bob</t>
  </si>
  <si>
    <t>1090</t>
  </si>
  <si>
    <t>1081</t>
  </si>
  <si>
    <t>Food</t>
  </si>
  <si>
    <t>1023</t>
  </si>
  <si>
    <t>Alice</t>
  </si>
  <si>
    <t>East-Alice</t>
  </si>
  <si>
    <t>1052</t>
  </si>
  <si>
    <t>North-Bob</t>
  </si>
  <si>
    <t>1062</t>
  </si>
  <si>
    <t>1021</t>
  </si>
  <si>
    <t>1069</t>
  </si>
  <si>
    <t>1085</t>
  </si>
  <si>
    <t>West-Eve</t>
  </si>
  <si>
    <t>1065</t>
  </si>
  <si>
    <t>1034</t>
  </si>
  <si>
    <t>1041</t>
  </si>
  <si>
    <t>East-David</t>
  </si>
  <si>
    <t>1039</t>
  </si>
  <si>
    <t>1067</t>
  </si>
  <si>
    <t>1057</t>
  </si>
  <si>
    <t>1037</t>
  </si>
  <si>
    <t>1066</t>
  </si>
  <si>
    <t>North-Alice</t>
  </si>
  <si>
    <t>1054</t>
  </si>
  <si>
    <t>1094</t>
  </si>
  <si>
    <t>1077</t>
  </si>
  <si>
    <t>1044</t>
  </si>
  <si>
    <t>1060</t>
  </si>
  <si>
    <t>West-Charlie</t>
  </si>
  <si>
    <t>1084</t>
  </si>
  <si>
    <t>1088</t>
  </si>
  <si>
    <t>South-Alice</t>
  </si>
  <si>
    <t>1022</t>
  </si>
  <si>
    <t>1078</t>
  </si>
  <si>
    <t>1013</t>
  </si>
  <si>
    <t>West-Alice</t>
  </si>
  <si>
    <t>1045</t>
  </si>
  <si>
    <t>South-Charlie</t>
  </si>
  <si>
    <t>1048</t>
  </si>
  <si>
    <t>1012</t>
  </si>
  <si>
    <t>1033</t>
  </si>
  <si>
    <t>1058</t>
  </si>
  <si>
    <t>1024</t>
  </si>
  <si>
    <t>1056</t>
  </si>
  <si>
    <t>West-Bob</t>
  </si>
  <si>
    <t>1042</t>
  </si>
  <si>
    <t>1040</t>
  </si>
  <si>
    <t>1017</t>
  </si>
  <si>
    <t>1080</t>
  </si>
  <si>
    <t>1009</t>
  </si>
  <si>
    <t>1016</t>
  </si>
  <si>
    <t>1076</t>
  </si>
  <si>
    <t>1029</t>
  </si>
  <si>
    <t>1092</t>
  </si>
  <si>
    <t>1046</t>
  </si>
  <si>
    <t>1053</t>
  </si>
  <si>
    <t>1003</t>
  </si>
  <si>
    <t>1035</t>
  </si>
  <si>
    <t>1006</t>
  </si>
  <si>
    <t>1018</t>
  </si>
  <si>
    <t>North-David</t>
  </si>
  <si>
    <t>1011</t>
  </si>
  <si>
    <t>1096</t>
  </si>
  <si>
    <t>1083</t>
  </si>
  <si>
    <t>1061</t>
  </si>
  <si>
    <t>1026</t>
  </si>
  <si>
    <t>1007</t>
  </si>
  <si>
    <t>1097</t>
  </si>
  <si>
    <t>1038</t>
  </si>
  <si>
    <t>1030</t>
  </si>
  <si>
    <t>1036</t>
  </si>
  <si>
    <t>1072</t>
  </si>
  <si>
    <t>1015</t>
  </si>
  <si>
    <t>1020</t>
  </si>
  <si>
    <t>1028</t>
  </si>
  <si>
    <t>1014</t>
  </si>
  <si>
    <t>1050</t>
  </si>
  <si>
    <t>1025</t>
  </si>
  <si>
    <t>1010</t>
  </si>
  <si>
    <t>1001</t>
  </si>
  <si>
    <t>1049</t>
  </si>
  <si>
    <t>1100</t>
  </si>
  <si>
    <t>1068</t>
  </si>
  <si>
    <t>1095</t>
  </si>
  <si>
    <t>1005</t>
  </si>
  <si>
    <t>1032</t>
  </si>
  <si>
    <t>1098</t>
  </si>
  <si>
    <t>1031</t>
  </si>
  <si>
    <t>1055</t>
  </si>
  <si>
    <t>1063</t>
  </si>
  <si>
    <t>1047</t>
  </si>
  <si>
    <t>1004</t>
  </si>
  <si>
    <t>1059</t>
  </si>
  <si>
    <t>1091</t>
  </si>
  <si>
    <t>1093</t>
  </si>
  <si>
    <t>1073</t>
  </si>
  <si>
    <t>1071</t>
  </si>
  <si>
    <t>1019</t>
  </si>
  <si>
    <t>1082</t>
  </si>
  <si>
    <t>1079</t>
  </si>
  <si>
    <t>sales_2023_H2.csv</t>
  </si>
  <si>
    <t>1043</t>
  </si>
  <si>
    <t>sales_2024.csv</t>
  </si>
  <si>
    <t>Total_Cost</t>
  </si>
  <si>
    <t>Profit</t>
  </si>
  <si>
    <t>Profit_Margin</t>
  </si>
  <si>
    <t>Year</t>
  </si>
  <si>
    <t>Quarter</t>
  </si>
  <si>
    <t>Q1</t>
  </si>
  <si>
    <t>Q2</t>
  </si>
  <si>
    <t>Q3</t>
  </si>
  <si>
    <t>Q4</t>
  </si>
  <si>
    <t>Expected_Revenue</t>
  </si>
  <si>
    <t>Row Labels</t>
  </si>
  <si>
    <t>Grand Total</t>
  </si>
  <si>
    <t>Sum of Expected_Revenue</t>
  </si>
  <si>
    <t>Sum of Profit</t>
  </si>
  <si>
    <t>Sum of Quantity_Sold</t>
  </si>
  <si>
    <t>Profit Margin</t>
  </si>
  <si>
    <t>Revenue_Growth_%</t>
  </si>
  <si>
    <t>Revenue</t>
  </si>
  <si>
    <t>Units Sold</t>
  </si>
  <si>
    <t>retail_sales_analysis.xlsx</t>
  </si>
  <si>
    <r>
      <t xml:space="preserve">                    </t>
    </r>
    <r>
      <rPr>
        <b/>
        <sz val="36"/>
        <color theme="1"/>
        <rFont val="Calibri"/>
        <family val="2"/>
        <scheme val="minor"/>
      </rPr>
      <t>RETAIL SALES PERFORMANCE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</si>
</sst>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8"/>
      <name val="Calibri"/>
      <family val="2"/>
      <scheme val="minor"/>
    </font>
    <font>
      <b/>
      <sz val="36"/>
      <color theme="1"/>
      <name val="Calibri"/>
      <family val="2"/>
      <scheme val="minor"/>
    </font>
    <font>
      <b/>
      <sz val="4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4" fontId="0" fillId="0" borderId="0" xfId="0" applyNumberFormat="1"/>
    <xf numFmtId="0" fontId="0" fillId="0" borderId="0" xfId="0" applyAlignment="1">
      <alignment horizontal="left" indent="1"/>
    </xf>
    <xf numFmtId="9" fontId="0" fillId="0" borderId="0" xfId="1" applyFont="1"/>
    <xf numFmtId="10" fontId="0" fillId="0" borderId="0" xfId="1" applyNumberFormat="1" applyFont="1"/>
    <xf numFmtId="0" fontId="4" fillId="0" borderId="0" xfId="0" applyFont="1"/>
    <xf numFmtId="2" fontId="0" fillId="0" borderId="0" xfId="0" applyNumberFormat="1"/>
    <xf numFmtId="10" fontId="0" fillId="0" borderId="0" xfId="0" applyNumberFormat="1"/>
  </cellXfs>
  <cellStyles count="2">
    <cellStyle name="Normal" xfId="0" builtinId="0"/>
    <cellStyle name="Percent" xfId="1" builtinId="5"/>
  </cellStyles>
  <dxfs count="116">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[retail_sales_analysis.xlsx]Regional_Analysis!PivotTable1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Regional_Analysis!$B$3</c:f>
              <c:strCache>
                <c:ptCount val="1"/>
                <c:pt idx="0">
                  <c:v>Sum of Expected_Revenue</c:v>
                </c:pt>
              </c:strCache>
            </c:strRef>
          </c:tx>
          <c:spPr>
            <a:solidFill>
              <a:schemeClr val="accent1"/>
            </a:solidFill>
            <a:ln>
              <a:noFill/>
            </a:ln>
            <a:effectLst/>
          </c:spPr>
          <c:invertIfNegative val="0"/>
          <c:cat>
            <c:strRef>
              <c:f>Regional_Analysis!$A$4:$A$8</c:f>
              <c:strCache>
                <c:ptCount val="4"/>
                <c:pt idx="0">
                  <c:v>East</c:v>
                </c:pt>
                <c:pt idx="1">
                  <c:v>North</c:v>
                </c:pt>
                <c:pt idx="2">
                  <c:v>South</c:v>
                </c:pt>
                <c:pt idx="3">
                  <c:v>West</c:v>
                </c:pt>
              </c:strCache>
            </c:strRef>
          </c:cat>
          <c:val>
            <c:numRef>
              <c:f>Regional_Analysis!$B$4:$B$8</c:f>
              <c:numCache>
                <c:formatCode>#,##0.00</c:formatCode>
                <c:ptCount val="4"/>
                <c:pt idx="0">
                  <c:v>15202282.224599995</c:v>
                </c:pt>
                <c:pt idx="1">
                  <c:v>15570342.181999994</c:v>
                </c:pt>
                <c:pt idx="2">
                  <c:v>13894660.279499996</c:v>
                </c:pt>
                <c:pt idx="3">
                  <c:v>15018888.597600004</c:v>
                </c:pt>
              </c:numCache>
            </c:numRef>
          </c:val>
          <c:extLst>
            <c:ext xmlns:c16="http://schemas.microsoft.com/office/drawing/2014/chart" uri="{C3380CC4-5D6E-409C-BE32-E72D297353CC}">
              <c16:uniqueId val="{00000000-F36A-4915-934D-4812F33E0B79}"/>
            </c:ext>
          </c:extLst>
        </c:ser>
        <c:ser>
          <c:idx val="1"/>
          <c:order val="1"/>
          <c:tx>
            <c:strRef>
              <c:f>Regional_Analysis!$C$3</c:f>
              <c:strCache>
                <c:ptCount val="1"/>
                <c:pt idx="0">
                  <c:v>Sum of Profit</c:v>
                </c:pt>
              </c:strCache>
            </c:strRef>
          </c:tx>
          <c:spPr>
            <a:solidFill>
              <a:schemeClr val="accent2"/>
            </a:solidFill>
            <a:ln>
              <a:noFill/>
            </a:ln>
            <a:effectLst/>
          </c:spPr>
          <c:invertIfNegative val="0"/>
          <c:cat>
            <c:strRef>
              <c:f>Regional_Analysis!$A$4:$A$8</c:f>
              <c:strCache>
                <c:ptCount val="4"/>
                <c:pt idx="0">
                  <c:v>East</c:v>
                </c:pt>
                <c:pt idx="1">
                  <c:v>North</c:v>
                </c:pt>
                <c:pt idx="2">
                  <c:v>South</c:v>
                </c:pt>
                <c:pt idx="3">
                  <c:v>West</c:v>
                </c:pt>
              </c:strCache>
            </c:strRef>
          </c:cat>
          <c:val>
            <c:numRef>
              <c:f>Regional_Analysis!$C$4:$C$8</c:f>
              <c:numCache>
                <c:formatCode>#,##0.00</c:formatCode>
                <c:ptCount val="4"/>
                <c:pt idx="0">
                  <c:v>-1224561.6253999996</c:v>
                </c:pt>
                <c:pt idx="1">
                  <c:v>-976600.46799999999</c:v>
                </c:pt>
                <c:pt idx="2">
                  <c:v>-868169.98049999971</c:v>
                </c:pt>
                <c:pt idx="3">
                  <c:v>-1086588.2824000008</c:v>
                </c:pt>
              </c:numCache>
            </c:numRef>
          </c:val>
          <c:extLst>
            <c:ext xmlns:c16="http://schemas.microsoft.com/office/drawing/2014/chart" uri="{C3380CC4-5D6E-409C-BE32-E72D297353CC}">
              <c16:uniqueId val="{00000001-F36A-4915-934D-4812F33E0B79}"/>
            </c:ext>
          </c:extLst>
        </c:ser>
        <c:ser>
          <c:idx val="2"/>
          <c:order val="2"/>
          <c:tx>
            <c:strRef>
              <c:f>Regional_Analysis!$D$3</c:f>
              <c:strCache>
                <c:ptCount val="1"/>
                <c:pt idx="0">
                  <c:v>Sum of Quantity_Sold</c:v>
                </c:pt>
              </c:strCache>
            </c:strRef>
          </c:tx>
          <c:spPr>
            <a:solidFill>
              <a:schemeClr val="accent3"/>
            </a:solidFill>
            <a:ln>
              <a:noFill/>
            </a:ln>
            <a:effectLst/>
          </c:spPr>
          <c:invertIfNegative val="0"/>
          <c:cat>
            <c:strRef>
              <c:f>Regional_Analysis!$A$4:$A$8</c:f>
              <c:strCache>
                <c:ptCount val="4"/>
                <c:pt idx="0">
                  <c:v>East</c:v>
                </c:pt>
                <c:pt idx="1">
                  <c:v>North</c:v>
                </c:pt>
                <c:pt idx="2">
                  <c:v>South</c:v>
                </c:pt>
                <c:pt idx="3">
                  <c:v>West</c:v>
                </c:pt>
              </c:strCache>
            </c:strRef>
          </c:cat>
          <c:val>
            <c:numRef>
              <c:f>Regional_Analysis!$D$4:$D$8</c:f>
              <c:numCache>
                <c:formatCode>General</c:formatCode>
                <c:ptCount val="4"/>
                <c:pt idx="0">
                  <c:v>6356</c:v>
                </c:pt>
                <c:pt idx="1">
                  <c:v>6705</c:v>
                </c:pt>
                <c:pt idx="2">
                  <c:v>5808</c:v>
                </c:pt>
                <c:pt idx="3">
                  <c:v>6486</c:v>
                </c:pt>
              </c:numCache>
            </c:numRef>
          </c:val>
          <c:extLst>
            <c:ext xmlns:c16="http://schemas.microsoft.com/office/drawing/2014/chart" uri="{C3380CC4-5D6E-409C-BE32-E72D297353CC}">
              <c16:uniqueId val="{00000002-F36A-4915-934D-4812F33E0B79}"/>
            </c:ext>
          </c:extLst>
        </c:ser>
        <c:dLbls>
          <c:showLegendKey val="0"/>
          <c:showVal val="0"/>
          <c:showCatName val="0"/>
          <c:showSerName val="0"/>
          <c:showPercent val="0"/>
          <c:showBubbleSize val="0"/>
        </c:dLbls>
        <c:gapWidth val="219"/>
        <c:overlap val="-27"/>
        <c:axId val="47247151"/>
        <c:axId val="2058850991"/>
      </c:barChart>
      <c:catAx>
        <c:axId val="4724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850991"/>
        <c:crosses val="autoZero"/>
        <c:auto val="1"/>
        <c:lblAlgn val="ctr"/>
        <c:lblOffset val="100"/>
        <c:noMultiLvlLbl val="0"/>
      </c:catAx>
      <c:valAx>
        <c:axId val="20588509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4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[retail_sales_analysis.xlsx]Product_Analysis!PivotTable2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Product Category</a:t>
            </a:r>
            <a:endParaRPr lang="en-IN"/>
          </a:p>
        </c:rich>
      </c:tx>
      <c:layout>
        <c:manualLayout>
          <c:xMode val="edge"/>
          <c:yMode val="edge"/>
          <c:x val="0.2611178915135608"/>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Product_Analysis!$B$3</c:f>
              <c:strCache>
                <c:ptCount val="1"/>
                <c:pt idx="0">
                  <c:v>Sum of Expected_Revenue</c:v>
                </c:pt>
              </c:strCache>
            </c:strRef>
          </c:tx>
          <c:spPr>
            <a:solidFill>
              <a:schemeClr val="accent1"/>
            </a:solidFill>
            <a:ln>
              <a:noFill/>
            </a:ln>
            <a:effectLst/>
          </c:spPr>
          <c:invertIfNegative val="0"/>
          <c:cat>
            <c:strRef>
              <c:f>Product_Analysis!$A$4:$A$8</c:f>
              <c:strCache>
                <c:ptCount val="4"/>
                <c:pt idx="0">
                  <c:v>Clothing</c:v>
                </c:pt>
                <c:pt idx="1">
                  <c:v>Electronics</c:v>
                </c:pt>
                <c:pt idx="2">
                  <c:v>Food</c:v>
                </c:pt>
                <c:pt idx="3">
                  <c:v>Furniture</c:v>
                </c:pt>
              </c:strCache>
            </c:strRef>
          </c:cat>
          <c:val>
            <c:numRef>
              <c:f>Product_Analysis!$B$4:$B$8</c:f>
              <c:numCache>
                <c:formatCode>#,##0.00</c:formatCode>
                <c:ptCount val="4"/>
                <c:pt idx="0">
                  <c:v>16360844.624699995</c:v>
                </c:pt>
                <c:pt idx="1">
                  <c:v>15153225.285399998</c:v>
                </c:pt>
                <c:pt idx="2">
                  <c:v>12808326.230800003</c:v>
                </c:pt>
                <c:pt idx="3">
                  <c:v>15363777.1428</c:v>
                </c:pt>
              </c:numCache>
            </c:numRef>
          </c:val>
          <c:extLst>
            <c:ext xmlns:c16="http://schemas.microsoft.com/office/drawing/2014/chart" uri="{C3380CC4-5D6E-409C-BE32-E72D297353CC}">
              <c16:uniqueId val="{00000000-7A5D-42D5-9C2B-AA42467EA97D}"/>
            </c:ext>
          </c:extLst>
        </c:ser>
        <c:ser>
          <c:idx val="1"/>
          <c:order val="1"/>
          <c:tx>
            <c:strRef>
              <c:f>Product_Analysis!$C$3</c:f>
              <c:strCache>
                <c:ptCount val="1"/>
                <c:pt idx="0">
                  <c:v>Sum of Profit</c:v>
                </c:pt>
              </c:strCache>
            </c:strRef>
          </c:tx>
          <c:spPr>
            <a:solidFill>
              <a:schemeClr val="accent2"/>
            </a:solidFill>
            <a:ln>
              <a:noFill/>
            </a:ln>
            <a:effectLst/>
          </c:spPr>
          <c:invertIfNegative val="0"/>
          <c:cat>
            <c:strRef>
              <c:f>Product_Analysis!$A$4:$A$8</c:f>
              <c:strCache>
                <c:ptCount val="4"/>
                <c:pt idx="0">
                  <c:v>Clothing</c:v>
                </c:pt>
                <c:pt idx="1">
                  <c:v>Electronics</c:v>
                </c:pt>
                <c:pt idx="2">
                  <c:v>Food</c:v>
                </c:pt>
                <c:pt idx="3">
                  <c:v>Furniture</c:v>
                </c:pt>
              </c:strCache>
            </c:strRef>
          </c:cat>
          <c:val>
            <c:numRef>
              <c:f>Product_Analysis!$C$4:$C$8</c:f>
              <c:numCache>
                <c:formatCode>#,##0.00</c:formatCode>
                <c:ptCount val="4"/>
                <c:pt idx="0">
                  <c:v>-1212931.5052999994</c:v>
                </c:pt>
                <c:pt idx="1">
                  <c:v>-843495.22459999949</c:v>
                </c:pt>
                <c:pt idx="2">
                  <c:v>-912451.36920000031</c:v>
                </c:pt>
                <c:pt idx="3">
                  <c:v>-1187042.2572000003</c:v>
                </c:pt>
              </c:numCache>
            </c:numRef>
          </c:val>
          <c:extLst>
            <c:ext xmlns:c16="http://schemas.microsoft.com/office/drawing/2014/chart" uri="{C3380CC4-5D6E-409C-BE32-E72D297353CC}">
              <c16:uniqueId val="{00000001-7A5D-42D5-9C2B-AA42467EA97D}"/>
            </c:ext>
          </c:extLst>
        </c:ser>
        <c:ser>
          <c:idx val="2"/>
          <c:order val="2"/>
          <c:tx>
            <c:strRef>
              <c:f>Product_Analysis!$D$3</c:f>
              <c:strCache>
                <c:ptCount val="1"/>
                <c:pt idx="0">
                  <c:v>Sum of Quantity_Sold</c:v>
                </c:pt>
              </c:strCache>
            </c:strRef>
          </c:tx>
          <c:spPr>
            <a:solidFill>
              <a:schemeClr val="accent3"/>
            </a:solidFill>
            <a:ln>
              <a:noFill/>
            </a:ln>
            <a:effectLst/>
          </c:spPr>
          <c:invertIfNegative val="0"/>
          <c:cat>
            <c:strRef>
              <c:f>Product_Analysis!$A$4:$A$8</c:f>
              <c:strCache>
                <c:ptCount val="4"/>
                <c:pt idx="0">
                  <c:v>Clothing</c:v>
                </c:pt>
                <c:pt idx="1">
                  <c:v>Electronics</c:v>
                </c:pt>
                <c:pt idx="2">
                  <c:v>Food</c:v>
                </c:pt>
                <c:pt idx="3">
                  <c:v>Furniture</c:v>
                </c:pt>
              </c:strCache>
            </c:strRef>
          </c:cat>
          <c:val>
            <c:numRef>
              <c:f>Product_Analysis!$D$4:$D$8</c:f>
              <c:numCache>
                <c:formatCode>General</c:formatCode>
                <c:ptCount val="4"/>
                <c:pt idx="0">
                  <c:v>6922</c:v>
                </c:pt>
                <c:pt idx="1">
                  <c:v>6096</c:v>
                </c:pt>
                <c:pt idx="2">
                  <c:v>5608</c:v>
                </c:pt>
                <c:pt idx="3">
                  <c:v>6729</c:v>
                </c:pt>
              </c:numCache>
            </c:numRef>
          </c:val>
          <c:extLst>
            <c:ext xmlns:c16="http://schemas.microsoft.com/office/drawing/2014/chart" uri="{C3380CC4-5D6E-409C-BE32-E72D297353CC}">
              <c16:uniqueId val="{00000002-7A5D-42D5-9C2B-AA42467EA97D}"/>
            </c:ext>
          </c:extLst>
        </c:ser>
        <c:dLbls>
          <c:showLegendKey val="0"/>
          <c:showVal val="0"/>
          <c:showCatName val="0"/>
          <c:showSerName val="0"/>
          <c:showPercent val="0"/>
          <c:showBubbleSize val="0"/>
        </c:dLbls>
        <c:gapWidth val="182"/>
        <c:axId val="42848159"/>
        <c:axId val="2058864911"/>
      </c:barChart>
      <c:catAx>
        <c:axId val="42848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864911"/>
        <c:crosses val="autoZero"/>
        <c:auto val="1"/>
        <c:lblAlgn val="ctr"/>
        <c:lblOffset val="100"/>
        <c:noMultiLvlLbl val="0"/>
      </c:catAx>
      <c:valAx>
        <c:axId val="205886491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4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[retail_sales_analysis.xlsx]Quarterly_Analysis!PivotTable3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Quarterly Revenue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Quarterly_Analysis!$B$3</c:f>
              <c:strCache>
                <c:ptCount val="1"/>
                <c:pt idx="0">
                  <c:v>Sum of Expected_Revenue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Quarterly_Analysis!$A$4:$A$11</c:f>
              <c:multiLvlStrCache>
                <c:ptCount val="5"/>
                <c:lvl>
                  <c:pt idx="0">
                    <c:v>Q1</c:v>
                  </c:pt>
                  <c:pt idx="1">
                    <c:v>Q2</c:v>
                  </c:pt>
                  <c:pt idx="2">
                    <c:v>Q3</c:v>
                  </c:pt>
                  <c:pt idx="3">
                    <c:v>Q4</c:v>
                  </c:pt>
                  <c:pt idx="4">
                    <c:v>Q1</c:v>
                  </c:pt>
                </c:lvl>
                <c:lvl>
                  <c:pt idx="0">
                    <c:v>2023</c:v>
                  </c:pt>
                  <c:pt idx="4">
                    <c:v>2024</c:v>
                  </c:pt>
                </c:lvl>
              </c:multiLvlStrCache>
            </c:multiLvlStrRef>
          </c:cat>
          <c:val>
            <c:numRef>
              <c:f>Quarterly_Analysis!$B$4:$B$11</c:f>
              <c:numCache>
                <c:formatCode>General</c:formatCode>
                <c:ptCount val="5"/>
                <c:pt idx="0">
                  <c:v>16149522.228499999</c:v>
                </c:pt>
                <c:pt idx="1">
                  <c:v>14692573.422600001</c:v>
                </c:pt>
                <c:pt idx="2">
                  <c:v>13563763.14330001</c:v>
                </c:pt>
                <c:pt idx="3">
                  <c:v>15233966.297899999</c:v>
                </c:pt>
                <c:pt idx="4">
                  <c:v>46348.191399999996</c:v>
                </c:pt>
              </c:numCache>
            </c:numRef>
          </c:val>
          <c:smooth val="0"/>
          <c:extLst>
            <c:ext xmlns:c16="http://schemas.microsoft.com/office/drawing/2014/chart" uri="{C3380CC4-5D6E-409C-BE32-E72D297353CC}">
              <c16:uniqueId val="{00000000-8D56-4F25-83EB-BB85C648F30B}"/>
            </c:ext>
          </c:extLst>
        </c:ser>
        <c:ser>
          <c:idx val="1"/>
          <c:order val="1"/>
          <c:tx>
            <c:strRef>
              <c:f>Quarterly_Analysis!$C$3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Quarterly_Analysis!$A$4:$A$11</c:f>
              <c:multiLvlStrCache>
                <c:ptCount val="5"/>
                <c:lvl>
                  <c:pt idx="0">
                    <c:v>Q1</c:v>
                  </c:pt>
                  <c:pt idx="1">
                    <c:v>Q2</c:v>
                  </c:pt>
                  <c:pt idx="2">
                    <c:v>Q3</c:v>
                  </c:pt>
                  <c:pt idx="3">
                    <c:v>Q4</c:v>
                  </c:pt>
                  <c:pt idx="4">
                    <c:v>Q1</c:v>
                  </c:pt>
                </c:lvl>
                <c:lvl>
                  <c:pt idx="0">
                    <c:v>2023</c:v>
                  </c:pt>
                  <c:pt idx="4">
                    <c:v>2024</c:v>
                  </c:pt>
                </c:lvl>
              </c:multiLvlStrCache>
            </c:multiLvlStrRef>
          </c:cat>
          <c:val>
            <c:numRef>
              <c:f>Quarterly_Analysis!$C$4:$C$11</c:f>
              <c:numCache>
                <c:formatCode>General</c:formatCode>
                <c:ptCount val="5"/>
                <c:pt idx="0">
                  <c:v>-1252148.2015000002</c:v>
                </c:pt>
                <c:pt idx="1">
                  <c:v>-1127640.7674000005</c:v>
                </c:pt>
                <c:pt idx="2">
                  <c:v>-981838.49670000013</c:v>
                </c:pt>
                <c:pt idx="3">
                  <c:v>-802923.63209999981</c:v>
                </c:pt>
                <c:pt idx="4">
                  <c:v>8630.741399999999</c:v>
                </c:pt>
              </c:numCache>
            </c:numRef>
          </c:val>
          <c:smooth val="0"/>
          <c:extLst>
            <c:ext xmlns:c16="http://schemas.microsoft.com/office/drawing/2014/chart" uri="{C3380CC4-5D6E-409C-BE32-E72D297353CC}">
              <c16:uniqueId val="{00000001-8D56-4F25-83EB-BB85C648F30B}"/>
            </c:ext>
          </c:extLst>
        </c:ser>
        <c:dLbls>
          <c:showLegendKey val="0"/>
          <c:showVal val="0"/>
          <c:showCatName val="0"/>
          <c:showSerName val="0"/>
          <c:showPercent val="0"/>
          <c:showBubbleSize val="0"/>
        </c:dLbls>
        <c:marker val="1"/>
        <c:smooth val="0"/>
        <c:axId val="42917295"/>
        <c:axId val="2058887951"/>
      </c:lineChart>
      <c:catAx>
        <c:axId val="4291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887951"/>
        <c:crosses val="autoZero"/>
        <c:auto val="1"/>
        <c:lblAlgn val="ctr"/>
        <c:lblOffset val="100"/>
        <c:noMultiLvlLbl val="0"/>
      </c:catAx>
      <c:valAx>
        <c:axId val="205888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1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53340</xdr:colOff>
      <xdr:row>10</xdr:row>
      <xdr:rowOff>121920</xdr:rowOff>
    </xdr:from>
    <xdr:to>
      <xdr:col>5</xdr:col>
      <xdr:colOff>15240</xdr:colOff>
      <xdr:row>23</xdr:row>
      <xdr:rowOff>15240</xdr:rowOff>
    </xdr:to>
    <xdr:graphicFrame macro="">
      <xdr:nvGraphicFramePr>
        <xdr:cNvPr id="2" name="Chart 1">
          <a:extLst>
            <a:ext uri="{FF2B5EF4-FFF2-40B4-BE49-F238E27FC236}">
              <a16:creationId xmlns:a16="http://schemas.microsoft.com/office/drawing/2014/main" id="{64AC41FD-CD79-49A2-A0EB-6125CD91E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365760</xdr:colOff>
      <xdr:row>11</xdr:row>
      <xdr:rowOff>60960</xdr:rowOff>
    </xdr:from>
    <xdr:to>
      <xdr:col>11</xdr:col>
      <xdr:colOff>533400</xdr:colOff>
      <xdr:row>22</xdr:row>
      <xdr:rowOff>99060</xdr:rowOff>
    </xdr:to>
    <xdr:graphicFrame macro="">
      <xdr:nvGraphicFramePr>
        <xdr:cNvPr id="3" name="Chart 2">
          <a:extLst>
            <a:ext uri="{FF2B5EF4-FFF2-40B4-BE49-F238E27FC236}">
              <a16:creationId xmlns:a16="http://schemas.microsoft.com/office/drawing/2014/main" id="{1842AC8A-556E-4497-98F6-21F4949FC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327660</xdr:colOff>
      <xdr:row>11</xdr:row>
      <xdr:rowOff>53340</xdr:rowOff>
    </xdr:from>
    <xdr:to>
      <xdr:col>18</xdr:col>
      <xdr:colOff>381000</xdr:colOff>
      <xdr:row>22</xdr:row>
      <xdr:rowOff>167640</xdr:rowOff>
    </xdr:to>
    <xdr:graphicFrame macro="">
      <xdr:nvGraphicFramePr>
        <xdr:cNvPr id="4" name="Chart 3">
          <a:extLst>
            <a:ext uri="{FF2B5EF4-FFF2-40B4-BE49-F238E27FC236}">
              <a16:creationId xmlns:a16="http://schemas.microsoft.com/office/drawing/2014/main" id="{EE3520A2-5025-4400-95EF-8EFEC53D6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152400</xdr:colOff>
      <xdr:row>4</xdr:row>
      <xdr:rowOff>0</xdr:rowOff>
    </xdr:from>
    <xdr:to>
      <xdr:col>7</xdr:col>
      <xdr:colOff>228600</xdr:colOff>
      <xdr:row>8</xdr:row>
      <xdr:rowOff>121920</xdr:rowOff>
    </xdr:to>
    <mc:AlternateContent xmlns:mc="http://schemas.openxmlformats.org/markup-compatibility/2006">
      <mc:Choice xmlns:a14="http://schemas.microsoft.com/office/drawing/2010/main" Requires="a14">
        <xdr:graphicFrame macro="">
          <xdr:nvGraphicFramePr>
            <xdr:cNvPr id="5" name="Product_Category">
              <a:extLst>
                <a:ext uri="{FF2B5EF4-FFF2-40B4-BE49-F238E27FC236}">
                  <a16:creationId xmlns:a16="http://schemas.microsoft.com/office/drawing/2014/main" id="{3BD6DABE-1836-4962-81C1-6EF3B97FB64B}"/>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2933700" y="1325880"/>
              <a:ext cx="1905000" cy="8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457200</xdr:colOff>
      <xdr:row>4</xdr:row>
      <xdr:rowOff>7620</xdr:rowOff>
    </xdr:from>
    <xdr:to>
      <xdr:col>3</xdr:col>
      <xdr:colOff>243840</xdr:colOff>
      <xdr:row>8</xdr:row>
      <xdr:rowOff>106680</xdr:rowOff>
    </xdr:to>
    <mc:AlternateContent xmlns:mc="http://schemas.openxmlformats.org/markup-compatibility/2006">
      <mc:Choice xmlns:a14="http://schemas.microsoft.com/office/drawing/2010/main" Requires="a14">
        <xdr:graphicFrame macro="">
          <xdr:nvGraphicFramePr>
            <xdr:cNvPr id="6" name="Customer_Type">
              <a:extLst>
                <a:ext uri="{FF2B5EF4-FFF2-40B4-BE49-F238E27FC236}">
                  <a16:creationId xmlns:a16="http://schemas.microsoft.com/office/drawing/2014/main" id="{1D9FF3CB-C840-49E5-95D9-772EE0916311}"/>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457200" y="1333500"/>
              <a:ext cx="1958340" cy="830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342900</xdr:colOff>
      <xdr:row>4</xdr:row>
      <xdr:rowOff>0</xdr:rowOff>
    </xdr:from>
    <xdr:to>
      <xdr:col>11</xdr:col>
      <xdr:colOff>472440</xdr:colOff>
      <xdr:row>8</xdr:row>
      <xdr:rowOff>137160</xdr:rowOff>
    </xdr:to>
    <mc:AlternateContent xmlns:mc="http://schemas.openxmlformats.org/markup-compatibility/2006">
      <mc:Choice xmlns:a14="http://schemas.microsoft.com/office/drawing/2010/main" Requires="a14">
        <xdr:graphicFrame macro="">
          <xdr:nvGraphicFramePr>
            <xdr:cNvPr id="7" name="Sales_Channel">
              <a:extLst>
                <a:ext uri="{FF2B5EF4-FFF2-40B4-BE49-F238E27FC236}">
                  <a16:creationId xmlns:a16="http://schemas.microsoft.com/office/drawing/2014/main" id="{4CF70517-413D-42AB-97BB-B7940D7A45D6}"/>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5562600" y="1325880"/>
              <a:ext cx="195834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53340</xdr:colOff>
      <xdr:row>4</xdr:row>
      <xdr:rowOff>30480</xdr:rowOff>
    </xdr:from>
    <xdr:to>
      <xdr:col>16</xdr:col>
      <xdr:colOff>190500</xdr:colOff>
      <xdr:row>8</xdr:row>
      <xdr:rowOff>106680</xdr:rowOff>
    </xdr:to>
    <mc:AlternateContent xmlns:mc="http://schemas.openxmlformats.org/markup-compatibility/2006">
      <mc:Choice xmlns:a14="http://schemas.microsoft.com/office/drawing/2010/main" Requires="a14">
        <xdr:graphicFrame macro="">
          <xdr:nvGraphicFramePr>
            <xdr:cNvPr id="8" name="Sales_Rep">
              <a:extLst>
                <a:ext uri="{FF2B5EF4-FFF2-40B4-BE49-F238E27FC236}">
                  <a16:creationId xmlns:a16="http://schemas.microsoft.com/office/drawing/2014/main" id="{34C2F40D-F0E6-4AF9-A138-E100E338DC65}"/>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dr:sp macro="" textlink="">
          <xdr:nvSpPr>
            <xdr:cNvPr id="0" name=""/>
            <xdr:cNvSpPr>
              <a:spLocks noTextEdit="1"/>
            </xdr:cNvSpPr>
          </xdr:nvSpPr>
          <xdr:spPr>
            <a:xfrm>
              <a:off x="8321040" y="1356360"/>
              <a:ext cx="1965960" cy="807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365760</xdr:colOff>
      <xdr:row>4</xdr:row>
      <xdr:rowOff>53340</xdr:rowOff>
    </xdr:from>
    <xdr:to>
      <xdr:col>20</xdr:col>
      <xdr:colOff>518160</xdr:colOff>
      <xdr:row>8</xdr:row>
      <xdr:rowOff>106680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C63A3F12-29E2-478B-8FDC-7F156FD00F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071860" y="1379220"/>
              <a:ext cx="1981200" cy="784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ti rajput" refreshedDate="46325.842324884259" createdVersion="8" refreshedVersion="8" minRefreshableVersion="3" recordCount="1000" xr:uid="{CF8DB620-5C6C-44AE-9A1F-4EE84FA64242}">
  <cacheSource type="worksheet">
    <worksheetSource name="excel"/>
  </cacheSource>
  <cacheFields count="21">
    <cacheField name="Source.Name" numFmtId="0">
      <sharedItems/>
    </cacheField>
    <cacheField name="Product_ID" numFmtId="0">
      <sharedItems/>
    </cacheField>
    <cacheField name="Sale_Date" numFmtId="14">
      <sharedItems containsSemiMixedTypes="0" containsNonDate="0" containsDate="1" containsString="0" minDate="2023-01-01T00:00:00" maxDate="2024-01-02T00:00:00"/>
    </cacheField>
    <cacheField name="Sales_Rep" numFmtId="0">
      <sharedItems count="5">
        <s v="Eve"/>
        <s v="Charlie"/>
        <s v="David"/>
        <s v="Bob"/>
        <s v="Alice"/>
      </sharedItems>
    </cacheField>
    <cacheField name="Region" numFmtId="0">
      <sharedItems count="4">
        <s v="North"/>
        <s v="South"/>
        <s v="West"/>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Clothing"/>
        <s v="Furniture"/>
        <s v="Electronics"/>
        <s v="Food"/>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ount="2">
        <s v="Returning"/>
        <s v="New"/>
      </sharedItems>
    </cacheField>
    <cacheField name="Discount" numFmtId="0">
      <sharedItems containsSemiMixedTypes="0" containsString="0" containsNumber="1" minValue="0" maxValue="0.3"/>
    </cacheField>
    <cacheField name="Payment_Method" numFmtId="0">
      <sharedItems/>
    </cacheField>
    <cacheField name="Sales_Channel" numFmtId="0">
      <sharedItems count="2">
        <s v="Online"/>
        <s v="Retail"/>
      </sharedItems>
    </cacheField>
    <cacheField name="Region_and_Sales_Rep" numFmtId="0">
      <sharedItems/>
    </cacheField>
    <cacheField name="Total_Cost" numFmtId="0">
      <sharedItems containsSemiMixedTypes="0" containsString="0" containsNumber="1" minValue="60.28" maxValue="235808.09"/>
    </cacheField>
    <cacheField name="Year" numFmtId="0">
      <sharedItems containsSemiMixedTypes="0" containsString="0" containsNumber="1" containsInteger="1" minValue="2023" maxValue="2024" count="2">
        <n v="2023"/>
        <n v="2024"/>
      </sharedItems>
    </cacheField>
    <cacheField name="Expected_Revenue" numFmtId="0">
      <sharedItems containsSemiMixedTypes="0" containsString="0" containsNumber="1" minValue="154.16140000000001" maxValue="249625.88639999999"/>
    </cacheField>
    <cacheField name="Profit" numFmtId="0">
      <sharedItems containsSemiMixedTypes="0" containsString="0" containsNumber="1" minValue="-54935.73000000001" maxValue="20832.446399999986"/>
    </cacheField>
    <cacheField name="Quarter" numFmtId="0">
      <sharedItems count="4">
        <s v="Q1"/>
        <s v="Q2"/>
        <s v="Q3"/>
        <s v="Q4"/>
      </sharedItems>
    </cacheField>
    <cacheField name="Profit_Margin" numFmtId="0">
      <sharedItems containsSemiMixedTypes="0" containsString="0" containsNumber="1" minValue="-0.40229579704148599" maxValue="0.820913218722919"/>
    </cacheField>
  </cacheFields>
  <extLst>
    <ext xmlns:x14="http://schemas.microsoft.com/office/spreadsheetml/2009/9/main" uri="{725AE2AE-9491-48be-B2B4-4EB974FC3084}">
      <x14:pivotCacheDefinition pivotCacheId="1146386119"/>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ales_2023_H1.csv"/>
    <s v="1008"/>
    <d v="2023-01-01T00:00:00"/>
    <x v="0"/>
    <x v="0"/>
    <n v="5227.8100000000004"/>
    <n v="38"/>
    <x v="0"/>
    <n v="4635.2299999999996"/>
    <n v="5075.4399999999996"/>
    <x v="0"/>
    <n v="0.05"/>
    <s v="Cash"/>
    <x v="0"/>
    <s v="North-Eve"/>
    <n v="176138.74"/>
    <x v="0"/>
    <n v="183223.38399999996"/>
    <n v="7084.6439999999711"/>
    <x v="0"/>
    <n v="3.8666702062439703E-2"/>
  </r>
  <r>
    <s v="sales_2023_H1.csv"/>
    <s v="1089"/>
    <d v="2023-01-01T00:00:00"/>
    <x v="1"/>
    <x v="0"/>
    <n v="8130.13"/>
    <n v="35"/>
    <x v="0"/>
    <n v="4071.01"/>
    <n v="4304.7"/>
    <x v="1"/>
    <n v="0.14000000000000001"/>
    <s v="Credit Card"/>
    <x v="0"/>
    <s v="North-Charlie"/>
    <n v="142485.35"/>
    <x v="0"/>
    <n v="129571.47"/>
    <n v="-12913.880000000005"/>
    <x v="0"/>
    <n v="-9.9666076181739699E-2"/>
  </r>
  <r>
    <s v="sales_2023_H1.csv"/>
    <s v="1070"/>
    <d v="2023-01-01T00:00:00"/>
    <x v="0"/>
    <x v="1"/>
    <n v="783.18"/>
    <n v="12"/>
    <x v="1"/>
    <n v="664.33"/>
    <n v="863.03"/>
    <x v="0"/>
    <n v="0.25"/>
    <s v="Bank Transfer"/>
    <x v="1"/>
    <s v="South-Eve"/>
    <n v="7971.9600000000009"/>
    <x v="0"/>
    <n v="7767.27"/>
    <n v="-204.69000000000051"/>
    <x v="0"/>
    <n v="-2.6352888466604201E-2"/>
  </r>
  <r>
    <s v="sales_2023_H1.csv"/>
    <s v="1064"/>
    <d v="2023-01-02T00:00:00"/>
    <x v="2"/>
    <x v="1"/>
    <n v="5533.7"/>
    <n v="10"/>
    <x v="2"/>
    <n v="2242.0100000000002"/>
    <n v="2282.23"/>
    <x v="0"/>
    <n v="0.2"/>
    <s v="Credit Card"/>
    <x v="0"/>
    <s v="South-David"/>
    <n v="22420.100000000002"/>
    <x v="0"/>
    <n v="18257.84"/>
    <n v="-4162.260000000002"/>
    <x v="0"/>
    <n v="-0.22797110720654801"/>
  </r>
  <r>
    <s v="sales_2023_H1.csv"/>
    <s v="1075"/>
    <d v="2023-01-02T00:00:00"/>
    <x v="2"/>
    <x v="2"/>
    <n v="919.09"/>
    <n v="26"/>
    <x v="2"/>
    <n v="4535.38"/>
    <n v="4557.5600000000004"/>
    <x v="1"/>
    <n v="0"/>
    <s v="Credit Card"/>
    <x v="0"/>
    <s v="West-David"/>
    <n v="117919.88"/>
    <x v="0"/>
    <n v="118496.56000000001"/>
    <n v="576.68000000000757"/>
    <x v="0"/>
    <n v="4.8666391665716504E-3"/>
  </r>
  <r>
    <s v="sales_2023_H1.csv"/>
    <s v="1099"/>
    <d v="2023-01-03T00:00:00"/>
    <x v="3"/>
    <x v="3"/>
    <n v="5613.1"/>
    <n v="31"/>
    <x v="1"/>
    <n v="4632.8500000000004"/>
    <n v="4711.7"/>
    <x v="1"/>
    <n v="0.21"/>
    <s v="Cash"/>
    <x v="1"/>
    <s v="East-Bob"/>
    <n v="143618.35"/>
    <x v="0"/>
    <n v="115389.533"/>
    <n v="-28228.81700000001"/>
    <x v="0"/>
    <n v="-0.244639320968567"/>
  </r>
  <r>
    <s v="sales_2023_H1.csv"/>
    <s v="1087"/>
    <d v="2023-01-03T00:00:00"/>
    <x v="1"/>
    <x v="3"/>
    <n v="8057.76"/>
    <n v="20"/>
    <x v="1"/>
    <n v="3625.94"/>
    <n v="3880.53"/>
    <x v="1"/>
    <n v="0.24"/>
    <s v="Bank Transfer"/>
    <x v="0"/>
    <s v="East-Charlie"/>
    <n v="72518.8"/>
    <x v="0"/>
    <n v="58984.056000000004"/>
    <n v="-13534.743999999999"/>
    <x v="0"/>
    <n v="-0.22946445052879999"/>
  </r>
  <r>
    <s v="sales_2023_H1.csv"/>
    <s v="1027"/>
    <d v="2023-01-03T00:00:00"/>
    <x v="3"/>
    <x v="3"/>
    <n v="7648.22"/>
    <n v="30"/>
    <x v="1"/>
    <n v="745.93"/>
    <n v="1143.02"/>
    <x v="0"/>
    <n v="0.2"/>
    <s v="Credit Card"/>
    <x v="0"/>
    <s v="East-Bob"/>
    <n v="22377.899999999998"/>
    <x v="0"/>
    <n v="27432.48"/>
    <n v="5054.5800000000017"/>
    <x v="0"/>
    <n v="0.184255306118878"/>
  </r>
  <r>
    <s v="sales_2023_H1.csv"/>
    <s v="1064"/>
    <d v="2023-01-04T00:00:00"/>
    <x v="0"/>
    <x v="3"/>
    <n v="7412.11"/>
    <n v="10"/>
    <x v="2"/>
    <n v="4764.96"/>
    <n v="5074.42"/>
    <x v="1"/>
    <n v="0.12"/>
    <s v="Cash"/>
    <x v="0"/>
    <s v="East-Eve"/>
    <n v="47649.599999999999"/>
    <x v="0"/>
    <n v="44654.896000000001"/>
    <n v="-2994.7039999999979"/>
    <x v="0"/>
    <n v="-6.7063284617211893E-2"/>
  </r>
  <r>
    <s v="sales_2023_H1.csv"/>
    <s v="1051"/>
    <d v="2023-01-04T00:00:00"/>
    <x v="0"/>
    <x v="0"/>
    <n v="4979.3599999999997"/>
    <n v="14"/>
    <x v="2"/>
    <n v="3686.81"/>
    <n v="3710.92"/>
    <x v="1"/>
    <n v="0.1"/>
    <s v="Bank Transfer"/>
    <x v="1"/>
    <s v="North-Eve"/>
    <n v="51615.34"/>
    <x v="0"/>
    <n v="46757.592000000004"/>
    <n v="-4857.7479999999923"/>
    <x v="0"/>
    <n v="-0.10389217648334"/>
  </r>
  <r>
    <s v="sales_2023_H1.csv"/>
    <s v="1002"/>
    <d v="2023-01-04T00:00:00"/>
    <x v="3"/>
    <x v="3"/>
    <n v="2716.34"/>
    <n v="17"/>
    <x v="1"/>
    <n v="1727.12"/>
    <n v="1865.83"/>
    <x v="1"/>
    <n v="0.21"/>
    <s v="Cash"/>
    <x v="0"/>
    <s v="East-Bob"/>
    <n v="29361.039999999997"/>
    <x v="0"/>
    <n v="25058.0969"/>
    <n v="-4302.9430999999968"/>
    <x v="0"/>
    <n v="-0.17171867110147501"/>
  </r>
  <r>
    <s v="sales_2023_H1.csv"/>
    <s v="1074"/>
    <d v="2023-01-04T00:00:00"/>
    <x v="0"/>
    <x v="1"/>
    <n v="7508.72"/>
    <n v="38"/>
    <x v="1"/>
    <n v="1394.74"/>
    <n v="1848.69"/>
    <x v="0"/>
    <n v="0"/>
    <s v="Bank Transfer"/>
    <x v="1"/>
    <s v="South-Eve"/>
    <n v="53000.12"/>
    <x v="0"/>
    <n v="70250.22"/>
    <n v="17250.099999999999"/>
    <x v="0"/>
    <n v="0.245552255921761"/>
  </r>
  <r>
    <s v="sales_2023_H1.csv"/>
    <s v="1086"/>
    <d v="2023-01-04T00:00:00"/>
    <x v="3"/>
    <x v="1"/>
    <n v="6530.14"/>
    <n v="8"/>
    <x v="1"/>
    <n v="1569.31"/>
    <n v="1798.02"/>
    <x v="1"/>
    <n v="7.0000000000000007E-2"/>
    <s v="Credit Card"/>
    <x v="0"/>
    <s v="South-Bob"/>
    <n v="12554.48"/>
    <x v="0"/>
    <n v="13377.2688"/>
    <n v="822.78880000000026"/>
    <x v="0"/>
    <n v="6.1506486286647698E-2"/>
  </r>
  <r>
    <s v="sales_2023_H1.csv"/>
    <s v="1090"/>
    <d v="2023-01-04T00:00:00"/>
    <x v="0"/>
    <x v="0"/>
    <n v="1028.3900000000001"/>
    <n v="14"/>
    <x v="1"/>
    <n v="4037.21"/>
    <n v="4323.71"/>
    <x v="0"/>
    <n v="0.27"/>
    <s v="Credit Card"/>
    <x v="0"/>
    <s v="North-Eve"/>
    <n v="56520.94"/>
    <x v="0"/>
    <n v="44188.316200000001"/>
    <n v="-12332.623800000001"/>
    <x v="0"/>
    <n v="-0.27909241312073402"/>
  </r>
  <r>
    <s v="sales_2023_H1.csv"/>
    <s v="1081"/>
    <d v="2023-01-05T00:00:00"/>
    <x v="3"/>
    <x v="1"/>
    <n v="1429.32"/>
    <n v="44"/>
    <x v="3"/>
    <n v="618.79"/>
    <n v="938.04"/>
    <x v="0"/>
    <n v="0.03"/>
    <s v="Cash"/>
    <x v="0"/>
    <s v="South-Bob"/>
    <n v="27226.76"/>
    <x v="0"/>
    <n v="40035.547199999994"/>
    <n v="12808.787199999995"/>
    <x v="0"/>
    <n v="0.31993535984441301"/>
  </r>
  <r>
    <s v="sales_2023_H1.csv"/>
    <s v="1023"/>
    <d v="2023-01-05T00:00:00"/>
    <x v="4"/>
    <x v="3"/>
    <n v="6442.09"/>
    <n v="2"/>
    <x v="0"/>
    <n v="575.32000000000005"/>
    <n v="914.77"/>
    <x v="0"/>
    <n v="0.26"/>
    <s v="Bank Transfer"/>
    <x v="0"/>
    <s v="East-Alice"/>
    <n v="1150.6400000000001"/>
    <x v="0"/>
    <n v="1353.8596"/>
    <n v="203.2195999999999"/>
    <x v="0"/>
    <n v="0.150103895559037"/>
  </r>
  <r>
    <s v="sales_2023_H1.csv"/>
    <s v="1052"/>
    <d v="2023-01-05T00:00:00"/>
    <x v="3"/>
    <x v="0"/>
    <n v="8837.34"/>
    <n v="11"/>
    <x v="0"/>
    <n v="3451.59"/>
    <n v="3929.26"/>
    <x v="1"/>
    <n v="0.3"/>
    <s v="Credit Card"/>
    <x v="1"/>
    <s v="North-Bob"/>
    <n v="37967.490000000005"/>
    <x v="0"/>
    <n v="30255.302"/>
    <n v="-7712.1880000000056"/>
    <x v="0"/>
    <n v="-0.25490368597213198"/>
  </r>
  <r>
    <s v="sales_2023_H1.csv"/>
    <s v="1087"/>
    <d v="2023-01-06T00:00:00"/>
    <x v="0"/>
    <x v="1"/>
    <n v="7698.92"/>
    <n v="46"/>
    <x v="1"/>
    <n v="3702.51"/>
    <n v="3964.65"/>
    <x v="1"/>
    <n v="0.12"/>
    <s v="Bank Transfer"/>
    <x v="0"/>
    <s v="South-Eve"/>
    <n v="170315.46000000002"/>
    <x v="0"/>
    <n v="160489.03200000001"/>
    <n v="-9826.4280000000144"/>
    <x v="0"/>
    <n v="-6.1228034573727198E-2"/>
  </r>
  <r>
    <s v="sales_2023_H1.csv"/>
    <s v="1062"/>
    <d v="2023-01-06T00:00:00"/>
    <x v="0"/>
    <x v="3"/>
    <n v="3439.72"/>
    <n v="15"/>
    <x v="0"/>
    <n v="4756.55"/>
    <n v="4888.46"/>
    <x v="1"/>
    <n v="0.28999999999999998"/>
    <s v="Credit Card"/>
    <x v="0"/>
    <s v="East-Eve"/>
    <n v="71348.25"/>
    <x v="0"/>
    <n v="52062.098999999995"/>
    <n v="-19286.151000000005"/>
    <x v="0"/>
    <n v="-0.37044512938289298"/>
  </r>
  <r>
    <s v="sales_2023_H1.csv"/>
    <s v="1021"/>
    <d v="2023-01-07T00:00:00"/>
    <x v="3"/>
    <x v="0"/>
    <n v="2971.45"/>
    <n v="9"/>
    <x v="1"/>
    <n v="3365.28"/>
    <n v="3730.43"/>
    <x v="1"/>
    <n v="0.17"/>
    <s v="Bank Transfer"/>
    <x v="0"/>
    <s v="North-Bob"/>
    <n v="30287.52"/>
    <x v="0"/>
    <n v="27866.312099999996"/>
    <n v="-2421.2079000000049"/>
    <x v="0"/>
    <n v="-8.6886556474044696E-2"/>
  </r>
  <r>
    <s v="sales_2023_H1.csv"/>
    <s v="1069"/>
    <d v="2023-01-07T00:00:00"/>
    <x v="4"/>
    <x v="3"/>
    <n v="2574.5700000000002"/>
    <n v="6"/>
    <x v="3"/>
    <n v="1768.6"/>
    <n v="2152.1999999999998"/>
    <x v="1"/>
    <n v="0.25"/>
    <s v="Bank Transfer"/>
    <x v="1"/>
    <s v="East-Alice"/>
    <n v="10611.599999999999"/>
    <x v="0"/>
    <n v="9684.9"/>
    <n v="-926.69999999999891"/>
    <x v="0"/>
    <n v="-9.5685035467583404E-2"/>
  </r>
  <r>
    <s v="sales_2023_H1.csv"/>
    <s v="1085"/>
    <d v="2023-01-07T00:00:00"/>
    <x v="0"/>
    <x v="2"/>
    <n v="2719.89"/>
    <n v="16"/>
    <x v="3"/>
    <n v="472.08"/>
    <n v="842.46"/>
    <x v="1"/>
    <n v="0"/>
    <s v="Cash"/>
    <x v="1"/>
    <s v="West-Eve"/>
    <n v="7553.28"/>
    <x v="0"/>
    <n v="13479.36"/>
    <n v="5926.0800000000008"/>
    <x v="0"/>
    <n v="0.439641051207179"/>
  </r>
  <r>
    <s v="sales_2023_H1.csv"/>
    <s v="1065"/>
    <d v="2023-01-07T00:00:00"/>
    <x v="0"/>
    <x v="0"/>
    <n v="2365.87"/>
    <n v="6"/>
    <x v="0"/>
    <n v="2019.9"/>
    <n v="2116.7399999999998"/>
    <x v="1"/>
    <n v="0.11"/>
    <s v="Credit Card"/>
    <x v="0"/>
    <s v="North-Eve"/>
    <n v="12119.400000000001"/>
    <x v="0"/>
    <n v="11303.391599999999"/>
    <n v="-816.00840000000244"/>
    <x v="0"/>
    <n v="-7.2191465082038095E-2"/>
  </r>
  <r>
    <s v="sales_2023_H1.csv"/>
    <s v="1034"/>
    <d v="2023-01-07T00:00:00"/>
    <x v="2"/>
    <x v="2"/>
    <n v="3677.9"/>
    <n v="28"/>
    <x v="1"/>
    <n v="137.47"/>
    <n v="234.63"/>
    <x v="1"/>
    <n v="0.27"/>
    <s v="Bank Transfer"/>
    <x v="1"/>
    <s v="West-David"/>
    <n v="3849.16"/>
    <x v="0"/>
    <n v="4795.837199999999"/>
    <n v="946.67719999999917"/>
    <x v="0"/>
    <n v="0.197395608007711"/>
  </r>
  <r>
    <s v="sales_2023_H1.csv"/>
    <s v="1041"/>
    <d v="2023-01-08T00:00:00"/>
    <x v="2"/>
    <x v="3"/>
    <n v="1714.05"/>
    <n v="36"/>
    <x v="3"/>
    <n v="864.77"/>
    <n v="1170.1600000000001"/>
    <x v="0"/>
    <n v="0.11"/>
    <s v="Cash"/>
    <x v="1"/>
    <s v="East-David"/>
    <n v="31131.72"/>
    <x v="0"/>
    <n v="37491.926400000004"/>
    <n v="6360.2064000000028"/>
    <x v="0"/>
    <n v="0.16964202724989899"/>
  </r>
  <r>
    <s v="sales_2023_H1.csv"/>
    <s v="1039"/>
    <d v="2023-01-08T00:00:00"/>
    <x v="0"/>
    <x v="1"/>
    <n v="3613.75"/>
    <n v="4"/>
    <x v="2"/>
    <n v="1054.1199999999999"/>
    <n v="1175.22"/>
    <x v="0"/>
    <n v="0.12"/>
    <s v="Bank Transfer"/>
    <x v="1"/>
    <s v="South-Eve"/>
    <n v="4216.4799999999996"/>
    <x v="0"/>
    <n v="4136.7744000000002"/>
    <n v="-79.705599999999322"/>
    <x v="0"/>
    <n v="-1.92675723384866E-2"/>
  </r>
  <r>
    <s v="sales_2023_H1.csv"/>
    <s v="1067"/>
    <d v="2023-01-09T00:00:00"/>
    <x v="1"/>
    <x v="0"/>
    <n v="1875.71"/>
    <n v="48"/>
    <x v="2"/>
    <n v="210.63"/>
    <n v="533.58000000000004"/>
    <x v="1"/>
    <n v="0.04"/>
    <s v="Bank Transfer"/>
    <x v="0"/>
    <s v="North-Charlie"/>
    <n v="10110.24"/>
    <x v="0"/>
    <n v="24587.366400000003"/>
    <n v="14477.126400000003"/>
    <x v="0"/>
    <n v="0.58880345964991199"/>
  </r>
  <r>
    <s v="sales_2023_H1.csv"/>
    <s v="1057"/>
    <d v="2023-01-09T00:00:00"/>
    <x v="1"/>
    <x v="0"/>
    <n v="2114.38"/>
    <n v="12"/>
    <x v="1"/>
    <n v="639.16"/>
    <n v="746.28"/>
    <x v="0"/>
    <n v="0.04"/>
    <s v="Bank Transfer"/>
    <x v="1"/>
    <s v="North-Charlie"/>
    <n v="7669.92"/>
    <x v="0"/>
    <n v="8597.1455999999998"/>
    <n v="927.22559999999976"/>
    <x v="0"/>
    <n v="0.107852727305212"/>
  </r>
  <r>
    <s v="sales_2023_H1.csv"/>
    <s v="1037"/>
    <d v="2023-01-09T00:00:00"/>
    <x v="1"/>
    <x v="0"/>
    <n v="7750.81"/>
    <n v="41"/>
    <x v="0"/>
    <n v="4965.07"/>
    <n v="5243.13"/>
    <x v="1"/>
    <n v="0.01"/>
    <s v="Credit Card"/>
    <x v="0"/>
    <s v="North-Charlie"/>
    <n v="203567.87"/>
    <x v="0"/>
    <n v="212818.64670000001"/>
    <n v="9250.7767000000167"/>
    <x v="0"/>
    <n v="4.3467886124848698E-2"/>
  </r>
  <r>
    <s v="sales_2023_H1.csv"/>
    <s v="1066"/>
    <d v="2023-01-09T00:00:00"/>
    <x v="4"/>
    <x v="0"/>
    <n v="6264.04"/>
    <n v="48"/>
    <x v="0"/>
    <n v="2588.54"/>
    <n v="2872.8"/>
    <x v="1"/>
    <n v="0.17"/>
    <s v="Cash"/>
    <x v="0"/>
    <s v="North-Alice"/>
    <n v="124249.92"/>
    <x v="0"/>
    <n v="114452.35200000001"/>
    <n v="-9797.5679999999847"/>
    <x v="0"/>
    <n v="-8.5603902661607001E-2"/>
  </r>
  <r>
    <s v="sales_2023_H1.csv"/>
    <s v="1051"/>
    <d v="2023-01-09T00:00:00"/>
    <x v="2"/>
    <x v="1"/>
    <n v="5785.45"/>
    <n v="23"/>
    <x v="1"/>
    <n v="2598.1799999999998"/>
    <n v="3042.73"/>
    <x v="0"/>
    <n v="0.24"/>
    <s v="Credit Card"/>
    <x v="0"/>
    <s v="South-David"/>
    <n v="59758.14"/>
    <x v="0"/>
    <n v="53186.920399999995"/>
    <n v="-6571.219600000004"/>
    <x v="0"/>
    <n v="-0.123549540950673"/>
  </r>
  <r>
    <s v="sales_2023_H1.csv"/>
    <s v="1054"/>
    <d v="2023-01-10T00:00:00"/>
    <x v="0"/>
    <x v="1"/>
    <n v="4634.16"/>
    <n v="40"/>
    <x v="1"/>
    <n v="2654.11"/>
    <n v="2929.32"/>
    <x v="0"/>
    <n v="0.08"/>
    <s v="Cash"/>
    <x v="0"/>
    <s v="South-Eve"/>
    <n v="106164.40000000001"/>
    <x v="0"/>
    <n v="107798.97600000001"/>
    <n v="1634.5760000000009"/>
    <x v="0"/>
    <n v="1.51631867078218E-2"/>
  </r>
  <r>
    <s v="sales_2023_H1.csv"/>
    <s v="1094"/>
    <d v="2023-01-10T00:00:00"/>
    <x v="0"/>
    <x v="0"/>
    <n v="2548.67"/>
    <n v="25"/>
    <x v="2"/>
    <n v="1933.39"/>
    <n v="1982.92"/>
    <x v="1"/>
    <n v="0.17"/>
    <s v="Bank Transfer"/>
    <x v="0"/>
    <s v="North-Eve"/>
    <n v="48334.75"/>
    <x v="0"/>
    <n v="41145.589999999997"/>
    <n v="-7189.1600000000035"/>
    <x v="0"/>
    <n v="-0.17472492191751299"/>
  </r>
  <r>
    <s v="sales_2023_H1.csv"/>
    <s v="1077"/>
    <d v="2023-01-11T00:00:00"/>
    <x v="0"/>
    <x v="0"/>
    <n v="9192.42"/>
    <n v="35"/>
    <x v="2"/>
    <n v="585.37"/>
    <n v="970.49"/>
    <x v="0"/>
    <n v="0.15"/>
    <s v="Bank Transfer"/>
    <x v="1"/>
    <s v="North-Eve"/>
    <n v="20487.95"/>
    <x v="0"/>
    <n v="28872.077499999999"/>
    <n v="8384.1274999999987"/>
    <x v="0"/>
    <n v="0.29038878480427999"/>
  </r>
  <r>
    <s v="sales_2023_H1.csv"/>
    <s v="1044"/>
    <d v="2023-01-11T00:00:00"/>
    <x v="0"/>
    <x v="0"/>
    <n v="3594.29"/>
    <n v="5"/>
    <x v="3"/>
    <n v="4762.87"/>
    <n v="5050.46"/>
    <x v="1"/>
    <n v="0.25"/>
    <s v="Cash"/>
    <x v="1"/>
    <s v="North-Eve"/>
    <n v="23814.35"/>
    <x v="0"/>
    <n v="18939.224999999999"/>
    <n v="-4875.125"/>
    <x v="0"/>
    <n v="-0.25740889608735301"/>
  </r>
  <r>
    <s v="sales_2023_H1.csv"/>
    <s v="1060"/>
    <d v="2023-01-11T00:00:00"/>
    <x v="1"/>
    <x v="2"/>
    <n v="1016.99"/>
    <n v="34"/>
    <x v="2"/>
    <n v="4984.21"/>
    <n v="5184.6400000000003"/>
    <x v="1"/>
    <n v="0.17"/>
    <s v="Cash"/>
    <x v="0"/>
    <s v="West-Charlie"/>
    <n v="169463.14"/>
    <x v="0"/>
    <n v="146310.54079999999"/>
    <n v="-23152.599200000026"/>
    <x v="0"/>
    <n v="-0.158242865301473"/>
  </r>
  <r>
    <s v="sales_2023_H1.csv"/>
    <s v="1084"/>
    <d v="2023-01-11T00:00:00"/>
    <x v="3"/>
    <x v="3"/>
    <n v="8967.18"/>
    <n v="21"/>
    <x v="0"/>
    <n v="576.74"/>
    <n v="648.29"/>
    <x v="0"/>
    <n v="0.2"/>
    <s v="Bank Transfer"/>
    <x v="0"/>
    <s v="East-Bob"/>
    <n v="12111.54"/>
    <x v="0"/>
    <n v="10891.272000000001"/>
    <n v="-1220.268"/>
    <x v="0"/>
    <n v="-0.11204090761850399"/>
  </r>
  <r>
    <s v="sales_2023_H1.csv"/>
    <s v="1088"/>
    <d v="2023-01-11T00:00:00"/>
    <x v="4"/>
    <x v="1"/>
    <n v="1758.16"/>
    <n v="11"/>
    <x v="3"/>
    <n v="3884.13"/>
    <n v="3915.41"/>
    <x v="0"/>
    <n v="0.02"/>
    <s v="Cash"/>
    <x v="0"/>
    <s v="South-Alice"/>
    <n v="42725.43"/>
    <x v="0"/>
    <n v="42208.119799999993"/>
    <n v="-517.31020000000717"/>
    <x v="0"/>
    <n v="-1.2256177305486299E-2"/>
  </r>
  <r>
    <s v="sales_2023_H1.csv"/>
    <s v="1022"/>
    <d v="2023-01-12T00:00:00"/>
    <x v="0"/>
    <x v="3"/>
    <n v="2761.65"/>
    <n v="13"/>
    <x v="3"/>
    <n v="2312.4499999999998"/>
    <n v="2504.6"/>
    <x v="0"/>
    <n v="0.06"/>
    <s v="Bank Transfer"/>
    <x v="0"/>
    <s v="East-Eve"/>
    <n v="30061.85"/>
    <x v="0"/>
    <n v="30606.211999999996"/>
    <n v="544.36199999999735"/>
    <x v="0"/>
    <n v="1.7785997169463399E-2"/>
  </r>
  <r>
    <s v="sales_2023_H1.csv"/>
    <s v="1078"/>
    <d v="2023-01-12T00:00:00"/>
    <x v="0"/>
    <x v="3"/>
    <n v="4481.2"/>
    <n v="36"/>
    <x v="3"/>
    <n v="4548.88"/>
    <n v="4853.41"/>
    <x v="0"/>
    <n v="0.25"/>
    <s v="Credit Card"/>
    <x v="1"/>
    <s v="East-Eve"/>
    <n v="163759.67999999999"/>
    <x v="0"/>
    <n v="131042.07"/>
    <n v="-32717.609999999986"/>
    <x v="0"/>
    <n v="-0.24967256698554899"/>
  </r>
  <r>
    <s v="sales_2023_H1.csv"/>
    <s v="1087"/>
    <d v="2023-01-12T00:00:00"/>
    <x v="1"/>
    <x v="0"/>
    <n v="6701.79"/>
    <n v="21"/>
    <x v="3"/>
    <n v="3724.38"/>
    <n v="3988.7"/>
    <x v="1"/>
    <n v="0.03"/>
    <s v="Bank Transfer"/>
    <x v="1"/>
    <s v="North-Charlie"/>
    <n v="78211.98"/>
    <x v="0"/>
    <n v="81249.818999999989"/>
    <n v="3037.8389999999927"/>
    <x v="0"/>
    <n v="3.7388870983207902E-2"/>
  </r>
  <r>
    <s v="sales_2023_H1.csv"/>
    <s v="1013"/>
    <d v="2023-01-12T00:00:00"/>
    <x v="4"/>
    <x v="2"/>
    <n v="7646.8"/>
    <n v="35"/>
    <x v="2"/>
    <n v="1312.71"/>
    <n v="1352.11"/>
    <x v="0"/>
    <n v="0.22"/>
    <s v="Bank Transfer"/>
    <x v="1"/>
    <s v="West-Alice"/>
    <n v="45944.85"/>
    <x v="0"/>
    <n v="36912.603000000003"/>
    <n v="-9032.2469999999958"/>
    <x v="0"/>
    <n v="-0.24469276794161601"/>
  </r>
  <r>
    <s v="sales_2023_H1.csv"/>
    <s v="1045"/>
    <d v="2023-01-12T00:00:00"/>
    <x v="1"/>
    <x v="1"/>
    <n v="9613.11"/>
    <n v="35"/>
    <x v="1"/>
    <n v="3777.94"/>
    <n v="4188.66"/>
    <x v="1"/>
    <n v="0.17"/>
    <s v="Bank Transfer"/>
    <x v="0"/>
    <s v="South-Charlie"/>
    <n v="132227.9"/>
    <x v="0"/>
    <n v="121680.573"/>
    <n v="-10547.32699999999"/>
    <x v="0"/>
    <n v="-8.6680451447249396E-2"/>
  </r>
  <r>
    <s v="sales_2023_H1.csv"/>
    <s v="1094"/>
    <d v="2023-01-12T00:00:00"/>
    <x v="0"/>
    <x v="2"/>
    <n v="5835.21"/>
    <n v="38"/>
    <x v="3"/>
    <n v="3443.98"/>
    <n v="3820.3"/>
    <x v="0"/>
    <n v="0.01"/>
    <s v="Credit Card"/>
    <x v="1"/>
    <s v="West-Eve"/>
    <n v="130871.24"/>
    <x v="0"/>
    <n v="143719.68599999999"/>
    <n v="12848.445999999982"/>
    <x v="0"/>
    <n v="8.9399346447222194E-2"/>
  </r>
  <r>
    <s v="sales_2023_H1.csv"/>
    <s v="1048"/>
    <d v="2023-01-12T00:00:00"/>
    <x v="1"/>
    <x v="3"/>
    <n v="6482.98"/>
    <n v="47"/>
    <x v="0"/>
    <n v="702.44"/>
    <n v="1067.6600000000001"/>
    <x v="1"/>
    <n v="0.24"/>
    <s v="Cash"/>
    <x v="1"/>
    <s v="East-Charlie"/>
    <n v="33014.68"/>
    <x v="0"/>
    <n v="38136.815200000005"/>
    <n v="5122.1352000000043"/>
    <x v="0"/>
    <n v="0.13430946378553399"/>
  </r>
  <r>
    <s v="sales_2023_H1.csv"/>
    <s v="1090"/>
    <d v="2023-01-13T00:00:00"/>
    <x v="4"/>
    <x v="3"/>
    <n v="2359.5300000000002"/>
    <n v="17"/>
    <x v="0"/>
    <n v="2382.98"/>
    <n v="2839.73"/>
    <x v="0"/>
    <n v="0.23"/>
    <s v="Bank Transfer"/>
    <x v="1"/>
    <s v="East-Alice"/>
    <n v="40510.660000000003"/>
    <x v="0"/>
    <n v="37172.065700000006"/>
    <n v="-3338.594299999997"/>
    <x v="0"/>
    <n v="-8.9814602366852E-2"/>
  </r>
  <r>
    <s v="sales_2023_H1.csv"/>
    <s v="1012"/>
    <d v="2023-01-13T00:00:00"/>
    <x v="4"/>
    <x v="3"/>
    <n v="8892.3700000000008"/>
    <n v="39"/>
    <x v="1"/>
    <n v="3126.52"/>
    <n v="3465.79"/>
    <x v="1"/>
    <n v="0.08"/>
    <s v="Cash"/>
    <x v="0"/>
    <s v="East-Alice"/>
    <n v="121934.28"/>
    <x v="0"/>
    <n v="124352.54520000001"/>
    <n v="2418.2652000000089"/>
    <x v="0"/>
    <n v="1.9446849247119501E-2"/>
  </r>
  <r>
    <s v="sales_2023_H1.csv"/>
    <s v="1033"/>
    <d v="2023-01-14T00:00:00"/>
    <x v="4"/>
    <x v="2"/>
    <n v="1740.92"/>
    <n v="24"/>
    <x v="0"/>
    <n v="1345.67"/>
    <n v="1367.76"/>
    <x v="1"/>
    <n v="0.06"/>
    <s v="Bank Transfer"/>
    <x v="0"/>
    <s v="West-Alice"/>
    <n v="32296.080000000002"/>
    <x v="0"/>
    <n v="30856.665599999997"/>
    <n v="-1439.4144000000051"/>
    <x v="0"/>
    <n v="-4.6648410384303E-2"/>
  </r>
  <r>
    <s v="sales_2023_H1.csv"/>
    <s v="1058"/>
    <d v="2023-01-14T00:00:00"/>
    <x v="3"/>
    <x v="3"/>
    <n v="5235.1400000000003"/>
    <n v="6"/>
    <x v="3"/>
    <n v="4987.71"/>
    <n v="4998.78"/>
    <x v="0"/>
    <n v="0.17"/>
    <s v="Cash"/>
    <x v="1"/>
    <s v="East-Bob"/>
    <n v="29926.260000000002"/>
    <x v="0"/>
    <n v="24893.9244"/>
    <n v="-5032.3356000000022"/>
    <x v="0"/>
    <n v="-0.202151156207416"/>
  </r>
  <r>
    <s v="sales_2023_H1.csv"/>
    <s v="1024"/>
    <d v="2023-01-14T00:00:00"/>
    <x v="3"/>
    <x v="1"/>
    <n v="3334.75"/>
    <n v="45"/>
    <x v="0"/>
    <n v="2693.99"/>
    <n v="3045.94"/>
    <x v="1"/>
    <n v="0.01"/>
    <s v="Cash"/>
    <x v="1"/>
    <s v="South-Bob"/>
    <n v="121229.54999999999"/>
    <x v="0"/>
    <n v="135696.62699999998"/>
    <n v="14467.07699999999"/>
    <x v="0"/>
    <n v="0.106613386934076"/>
  </r>
  <r>
    <s v="sales_2023_H1.csv"/>
    <s v="1056"/>
    <d v="2023-01-14T00:00:00"/>
    <x v="1"/>
    <x v="2"/>
    <n v="5720.5"/>
    <n v="25"/>
    <x v="3"/>
    <n v="2361.7399999999998"/>
    <n v="2584.35"/>
    <x v="0"/>
    <n v="0.2"/>
    <s v="Cash"/>
    <x v="0"/>
    <s v="West-Charlie"/>
    <n v="59043.499999999993"/>
    <x v="0"/>
    <n v="51687"/>
    <n v="-7356.4999999999927"/>
    <x v="0"/>
    <n v="-0.14232785806876"/>
  </r>
  <r>
    <s v="sales_2023_H1.csv"/>
    <s v="1027"/>
    <d v="2023-01-15T00:00:00"/>
    <x v="3"/>
    <x v="2"/>
    <n v="6261.2"/>
    <n v="26"/>
    <x v="3"/>
    <n v="149.11000000000001"/>
    <n v="477.67"/>
    <x v="0"/>
    <n v="0.14000000000000001"/>
    <s v="Cash"/>
    <x v="1"/>
    <s v="West-Bob"/>
    <n v="3876.8600000000006"/>
    <x v="0"/>
    <n v="10680.7012"/>
    <n v="6803.8411999999989"/>
    <x v="0"/>
    <n v="0.63702195882045598"/>
  </r>
  <r>
    <s v="sales_2023_H1.csv"/>
    <s v="1042"/>
    <d v="2023-01-15T00:00:00"/>
    <x v="2"/>
    <x v="1"/>
    <n v="2298.5500000000002"/>
    <n v="46"/>
    <x v="1"/>
    <n v="2172.38"/>
    <n v="2367.11"/>
    <x v="1"/>
    <n v="0.16"/>
    <s v="Cash"/>
    <x v="1"/>
    <s v="South-David"/>
    <n v="99929.48000000001"/>
    <x v="0"/>
    <n v="91465.130400000009"/>
    <n v="-8464.3496000000014"/>
    <x v="0"/>
    <n v="-9.2541819630970495E-2"/>
  </r>
  <r>
    <s v="sales_2023_H1.csv"/>
    <s v="1040"/>
    <d v="2023-01-15T00:00:00"/>
    <x v="1"/>
    <x v="0"/>
    <n v="8601.77"/>
    <n v="19"/>
    <x v="1"/>
    <n v="342.3"/>
    <n v="768.06"/>
    <x v="0"/>
    <n v="0.09"/>
    <s v="Credit Card"/>
    <x v="0"/>
    <s v="North-Charlie"/>
    <n v="6503.7"/>
    <x v="0"/>
    <n v="13279.7574"/>
    <n v="6776.0574000000006"/>
    <x v="0"/>
    <n v="0.51025460751263396"/>
  </r>
  <r>
    <s v="sales_2023_H1.csv"/>
    <s v="1017"/>
    <d v="2023-01-15T00:00:00"/>
    <x v="0"/>
    <x v="0"/>
    <n v="289.52999999999997"/>
    <n v="6"/>
    <x v="1"/>
    <n v="2594.42"/>
    <n v="3081.04"/>
    <x v="0"/>
    <n v="0.1"/>
    <s v="Bank Transfer"/>
    <x v="1"/>
    <s v="North-Eve"/>
    <n v="15566.52"/>
    <x v="0"/>
    <n v="16637.615999999998"/>
    <n v="1071.0959999999977"/>
    <x v="0"/>
    <n v="6.4377973382724898E-2"/>
  </r>
  <r>
    <s v="sales_2023_H1.csv"/>
    <s v="1094"/>
    <d v="2023-01-15T00:00:00"/>
    <x v="3"/>
    <x v="0"/>
    <n v="8872.33"/>
    <n v="45"/>
    <x v="1"/>
    <n v="4470.91"/>
    <n v="4695.54"/>
    <x v="0"/>
    <n v="0.06"/>
    <s v="Cash"/>
    <x v="1"/>
    <s v="North-Bob"/>
    <n v="201190.94999999998"/>
    <x v="0"/>
    <n v="198621.34199999998"/>
    <n v="-2569.6080000000075"/>
    <x v="0"/>
    <n v="-1.2937220009318099E-2"/>
  </r>
  <r>
    <s v="sales_2023_H1.csv"/>
    <s v="1034"/>
    <d v="2023-01-16T00:00:00"/>
    <x v="4"/>
    <x v="0"/>
    <n v="1937.9"/>
    <n v="13"/>
    <x v="1"/>
    <n v="366.31"/>
    <n v="492.68"/>
    <x v="1"/>
    <n v="0.12"/>
    <s v="Credit Card"/>
    <x v="1"/>
    <s v="North-Alice"/>
    <n v="4762.03"/>
    <x v="0"/>
    <n v="5636.2592000000004"/>
    <n v="874.22920000000067"/>
    <x v="0"/>
    <n v="0.15510805464730901"/>
  </r>
  <r>
    <s v="sales_2023_H1.csv"/>
    <s v="1013"/>
    <d v="2023-01-16T00:00:00"/>
    <x v="0"/>
    <x v="3"/>
    <n v="6769.09"/>
    <n v="20"/>
    <x v="0"/>
    <n v="3356.62"/>
    <n v="3759.01"/>
    <x v="0"/>
    <n v="0.05"/>
    <s v="Credit Card"/>
    <x v="1"/>
    <s v="East-Eve"/>
    <n v="67132.399999999994"/>
    <x v="0"/>
    <n v="71421.19"/>
    <n v="4288.7900000000081"/>
    <x v="0"/>
    <n v="6.0049265491096002E-2"/>
  </r>
  <r>
    <s v="sales_2023_H1.csv"/>
    <s v="1080"/>
    <d v="2023-01-17T00:00:00"/>
    <x v="3"/>
    <x v="1"/>
    <n v="4224"/>
    <n v="47"/>
    <x v="1"/>
    <n v="4035.33"/>
    <n v="4211.25"/>
    <x v="0"/>
    <n v="7.0000000000000007E-2"/>
    <s v="Bank Transfer"/>
    <x v="0"/>
    <s v="South-Bob"/>
    <n v="189660.51"/>
    <x v="0"/>
    <n v="184073.73749999999"/>
    <n v="-5586.772500000021"/>
    <x v="0"/>
    <n v="-3.0350731048746301E-2"/>
  </r>
  <r>
    <s v="sales_2023_H1.csv"/>
    <s v="1060"/>
    <d v="2023-01-17T00:00:00"/>
    <x v="3"/>
    <x v="1"/>
    <n v="2747.28"/>
    <n v="3"/>
    <x v="2"/>
    <n v="1190.4100000000001"/>
    <n v="1582.89"/>
    <x v="1"/>
    <n v="0.02"/>
    <s v="Credit Card"/>
    <x v="1"/>
    <s v="South-Bob"/>
    <n v="3571.2300000000005"/>
    <x v="0"/>
    <n v="4653.6966000000002"/>
    <n v="1082.4665999999997"/>
    <x v="0"/>
    <n v="0.23260360376737901"/>
  </r>
  <r>
    <s v="sales_2023_H1.csv"/>
    <s v="1009"/>
    <d v="2023-01-17T00:00:00"/>
    <x v="2"/>
    <x v="2"/>
    <n v="8401.07"/>
    <n v="12"/>
    <x v="1"/>
    <n v="2278.67"/>
    <n v="2476.8000000000002"/>
    <x v="1"/>
    <n v="0.09"/>
    <s v="Cash"/>
    <x v="1"/>
    <s v="West-David"/>
    <n v="27344.04"/>
    <x v="0"/>
    <n v="27046.656000000003"/>
    <n v="-297.3839999999982"/>
    <x v="0"/>
    <n v="-1.09952224777806E-2"/>
  </r>
  <r>
    <s v="sales_2023_H1.csv"/>
    <s v="1016"/>
    <d v="2023-01-17T00:00:00"/>
    <x v="0"/>
    <x v="2"/>
    <n v="4598.0200000000004"/>
    <n v="21"/>
    <x v="2"/>
    <n v="2863.74"/>
    <n v="2953.91"/>
    <x v="1"/>
    <n v="0.1"/>
    <s v="Bank Transfer"/>
    <x v="1"/>
    <s v="West-Eve"/>
    <n v="60138.539999999994"/>
    <x v="0"/>
    <n v="55828.899000000005"/>
    <n v="-4309.6409999999887"/>
    <x v="0"/>
    <n v="-7.7193730795228302E-2"/>
  </r>
  <r>
    <s v="sales_2023_H1.csv"/>
    <s v="1076"/>
    <d v="2023-01-17T00:00:00"/>
    <x v="1"/>
    <x v="1"/>
    <n v="8464.23"/>
    <n v="16"/>
    <x v="0"/>
    <n v="1964.15"/>
    <n v="2211.17"/>
    <x v="0"/>
    <n v="0.21"/>
    <s v="Bank Transfer"/>
    <x v="0"/>
    <s v="South-Charlie"/>
    <n v="31426.400000000001"/>
    <x v="0"/>
    <n v="27949.188800000004"/>
    <n v="-3477.2111999999979"/>
    <x v="0"/>
    <n v="-0.12441188275203199"/>
  </r>
  <r>
    <s v="sales_2023_H1.csv"/>
    <s v="1029"/>
    <d v="2023-01-17T00:00:00"/>
    <x v="1"/>
    <x v="0"/>
    <n v="6275.06"/>
    <n v="31"/>
    <x v="2"/>
    <n v="2719"/>
    <n v="3133.55"/>
    <x v="0"/>
    <n v="0.17"/>
    <s v="Bank Transfer"/>
    <x v="1"/>
    <s v="North-Charlie"/>
    <n v="84289"/>
    <x v="0"/>
    <n v="80626.241500000004"/>
    <n v="-3662.7584999999963"/>
    <x v="0"/>
    <n v="-4.5428863256635803E-2"/>
  </r>
  <r>
    <s v="sales_2023_H1.csv"/>
    <s v="1080"/>
    <d v="2023-01-18T00:00:00"/>
    <x v="1"/>
    <x v="3"/>
    <n v="5138.0200000000004"/>
    <n v="44"/>
    <x v="2"/>
    <n v="1763.67"/>
    <n v="1983.82"/>
    <x v="1"/>
    <n v="0.24"/>
    <s v="Credit Card"/>
    <x v="0"/>
    <s v="East-Charlie"/>
    <n v="77601.48000000001"/>
    <x v="0"/>
    <n v="66338.940799999997"/>
    <n v="-11262.539200000014"/>
    <x v="0"/>
    <n v="-0.169772671438251"/>
  </r>
  <r>
    <s v="sales_2023_H1.csv"/>
    <s v="1048"/>
    <d v="2023-01-19T00:00:00"/>
    <x v="3"/>
    <x v="2"/>
    <n v="5187.16"/>
    <n v="7"/>
    <x v="0"/>
    <n v="4310.95"/>
    <n v="4723.2"/>
    <x v="0"/>
    <n v="0.05"/>
    <s v="Credit Card"/>
    <x v="1"/>
    <s v="West-Bob"/>
    <n v="30176.649999999998"/>
    <x v="0"/>
    <n v="31409.279999999999"/>
    <n v="1232.630000000001"/>
    <x v="0"/>
    <n v="3.9244134217658003E-2"/>
  </r>
  <r>
    <s v="sales_2023_H1.csv"/>
    <s v="1092"/>
    <d v="2023-01-20T00:00:00"/>
    <x v="1"/>
    <x v="3"/>
    <n v="2729.27"/>
    <n v="40"/>
    <x v="2"/>
    <n v="4624.16"/>
    <n v="4731.9799999999996"/>
    <x v="1"/>
    <n v="0.2"/>
    <s v="Bank Transfer"/>
    <x v="1"/>
    <s v="East-Charlie"/>
    <n v="184966.39999999999"/>
    <x v="0"/>
    <n v="151423.35999999999"/>
    <n v="-33543.040000000008"/>
    <x v="0"/>
    <n v="-0.221518265081425"/>
  </r>
  <r>
    <s v="sales_2023_H1.csv"/>
    <s v="1046"/>
    <d v="2023-01-20T00:00:00"/>
    <x v="0"/>
    <x v="3"/>
    <n v="4104.82"/>
    <n v="43"/>
    <x v="0"/>
    <n v="4052.42"/>
    <n v="4199.3"/>
    <x v="1"/>
    <n v="0.1"/>
    <s v="Bank Transfer"/>
    <x v="1"/>
    <s v="East-Eve"/>
    <n v="174254.06"/>
    <x v="0"/>
    <n v="162512.91"/>
    <n v="-11741.149999999994"/>
    <x v="0"/>
    <n v="-7.2247490983947005E-2"/>
  </r>
  <r>
    <s v="sales_2023_H1.csv"/>
    <s v="1053"/>
    <d v="2023-01-20T00:00:00"/>
    <x v="2"/>
    <x v="2"/>
    <n v="8785.77"/>
    <n v="42"/>
    <x v="1"/>
    <n v="2443.5700000000002"/>
    <n v="2943.31"/>
    <x v="1"/>
    <n v="0.28999999999999998"/>
    <s v="Cash"/>
    <x v="0"/>
    <s v="West-David"/>
    <n v="102629.94"/>
    <x v="0"/>
    <n v="87769.504199999996"/>
    <n v="-14860.435800000007"/>
    <x v="0"/>
    <n v="-0.169312062719844"/>
  </r>
  <r>
    <s v="sales_2023_H1.csv"/>
    <s v="1017"/>
    <d v="2023-01-20T00:00:00"/>
    <x v="3"/>
    <x v="3"/>
    <n v="496.59"/>
    <n v="29"/>
    <x v="0"/>
    <n v="3410.49"/>
    <n v="3481.72"/>
    <x v="1"/>
    <n v="0.24"/>
    <s v="Bank Transfer"/>
    <x v="1"/>
    <s v="East-Bob"/>
    <n v="98904.209999999992"/>
    <x v="0"/>
    <n v="76737.108799999987"/>
    <n v="-22167.101200000005"/>
    <x v="0"/>
    <n v="-0.28887068520882297"/>
  </r>
  <r>
    <s v="sales_2023_H1.csv"/>
    <s v="1003"/>
    <d v="2023-01-21T00:00:00"/>
    <x v="1"/>
    <x v="0"/>
    <n v="6395.81"/>
    <n v="3"/>
    <x v="1"/>
    <n v="1792.05"/>
    <n v="2091.23"/>
    <x v="0"/>
    <n v="0.09"/>
    <s v="Cash"/>
    <x v="1"/>
    <s v="North-Charlie"/>
    <n v="5376.15"/>
    <x v="0"/>
    <n v="5709.0579000000007"/>
    <n v="332.90790000000106"/>
    <x v="0"/>
    <n v="5.8312230464504698E-2"/>
  </r>
  <r>
    <s v="sales_2023_H1.csv"/>
    <s v="1035"/>
    <d v="2023-01-22T00:00:00"/>
    <x v="4"/>
    <x v="0"/>
    <n v="8387.48"/>
    <n v="28"/>
    <x v="1"/>
    <n v="3771.38"/>
    <n v="4234.92"/>
    <x v="1"/>
    <n v="0.28000000000000003"/>
    <s v="Credit Card"/>
    <x v="1"/>
    <s v="North-Alice"/>
    <n v="105598.64"/>
    <x v="0"/>
    <n v="85375.987200000003"/>
    <n v="-20222.652799999996"/>
    <x v="0"/>
    <n v="-0.236865815122311"/>
  </r>
  <r>
    <s v="sales_2023_H1.csv"/>
    <s v="1006"/>
    <d v="2023-01-22T00:00:00"/>
    <x v="4"/>
    <x v="1"/>
    <n v="5053.5600000000004"/>
    <n v="29"/>
    <x v="2"/>
    <n v="4353.29"/>
    <n v="4405.8"/>
    <x v="1"/>
    <n v="0.04"/>
    <s v="Bank Transfer"/>
    <x v="0"/>
    <s v="South-Alice"/>
    <n v="126245.41"/>
    <x v="0"/>
    <n v="122657.47200000001"/>
    <n v="-3587.9379999999946"/>
    <x v="0"/>
    <n v="-2.92516871699426E-2"/>
  </r>
  <r>
    <s v="sales_2023_H1.csv"/>
    <s v="1045"/>
    <d v="2023-01-22T00:00:00"/>
    <x v="3"/>
    <x v="3"/>
    <n v="4594.5"/>
    <n v="46"/>
    <x v="3"/>
    <n v="2577.08"/>
    <n v="2961.56"/>
    <x v="0"/>
    <n v="0.1"/>
    <s v="Cash"/>
    <x v="0"/>
    <s v="East-Bob"/>
    <n v="118545.68"/>
    <x v="0"/>
    <n v="122608.58400000002"/>
    <n v="4062.9040000000241"/>
    <x v="0"/>
    <n v="3.3137190459682803E-2"/>
  </r>
  <r>
    <s v="sales_2023_H1.csv"/>
    <s v="1037"/>
    <d v="2023-01-23T00:00:00"/>
    <x v="3"/>
    <x v="0"/>
    <n v="9813.81"/>
    <n v="40"/>
    <x v="0"/>
    <n v="2790.11"/>
    <n v="3192.37"/>
    <x v="0"/>
    <n v="0.26"/>
    <s v="Bank Transfer"/>
    <x v="0"/>
    <s v="North-Bob"/>
    <n v="111604.40000000001"/>
    <x v="0"/>
    <n v="94494.151999999987"/>
    <n v="-17110.248000000021"/>
    <x v="0"/>
    <n v="-0.181072030785567"/>
  </r>
  <r>
    <s v="sales_2023_H1.csv"/>
    <s v="1037"/>
    <d v="2023-01-23T00:00:00"/>
    <x v="1"/>
    <x v="3"/>
    <n v="3649.93"/>
    <n v="25"/>
    <x v="3"/>
    <n v="1074.6199999999999"/>
    <n v="1382.43"/>
    <x v="0"/>
    <n v="0.24"/>
    <s v="Credit Card"/>
    <x v="1"/>
    <s v="East-Charlie"/>
    <n v="26865.499999999996"/>
    <x v="0"/>
    <n v="26266.170000000002"/>
    <n v="-599.32999999999447"/>
    <x v="0"/>
    <n v="-2.2817563428546801E-2"/>
  </r>
  <r>
    <s v="sales_2023_H1.csv"/>
    <s v="1018"/>
    <d v="2023-01-23T00:00:00"/>
    <x v="2"/>
    <x v="0"/>
    <n v="7019.59"/>
    <n v="20"/>
    <x v="1"/>
    <n v="1140.6199999999999"/>
    <n v="1258.6300000000001"/>
    <x v="0"/>
    <n v="0.26"/>
    <s v="Bank Transfer"/>
    <x v="0"/>
    <s v="North-David"/>
    <n v="22812.399999999998"/>
    <x v="0"/>
    <n v="18627.724000000002"/>
    <n v="-4184.6759999999958"/>
    <x v="0"/>
    <n v="-0.224647734742043"/>
  </r>
  <r>
    <s v="sales_2023_H1.csv"/>
    <s v="1054"/>
    <d v="2023-01-24T00:00:00"/>
    <x v="3"/>
    <x v="3"/>
    <n v="6624.55"/>
    <n v="22"/>
    <x v="2"/>
    <n v="4200.08"/>
    <n v="4647.28"/>
    <x v="0"/>
    <n v="0.11"/>
    <s v="Cash"/>
    <x v="0"/>
    <s v="East-Bob"/>
    <n v="92401.76"/>
    <x v="0"/>
    <n v="90993.742399999988"/>
    <n v="-1408.0176000000065"/>
    <x v="0"/>
    <n v="-1.5473784931391101E-2"/>
  </r>
  <r>
    <s v="sales_2023_H1.csv"/>
    <s v="1017"/>
    <d v="2023-01-24T00:00:00"/>
    <x v="0"/>
    <x v="0"/>
    <n v="4637.3999999999996"/>
    <n v="27"/>
    <x v="2"/>
    <n v="927.89"/>
    <n v="1399.09"/>
    <x v="0"/>
    <n v="0.27"/>
    <s v="Credit Card"/>
    <x v="0"/>
    <s v="North-Eve"/>
    <n v="25053.03"/>
    <x v="0"/>
    <n v="27576.063900000001"/>
    <n v="2523.0339000000022"/>
    <x v="0"/>
    <n v="9.1493619580711893E-2"/>
  </r>
  <r>
    <s v="sales_2023_H1.csv"/>
    <s v="1011"/>
    <d v="2023-01-25T00:00:00"/>
    <x v="0"/>
    <x v="0"/>
    <n v="2896.48"/>
    <n v="22"/>
    <x v="2"/>
    <n v="1324.52"/>
    <n v="1510.3"/>
    <x v="0"/>
    <n v="0.15"/>
    <s v="Cash"/>
    <x v="1"/>
    <s v="North-Eve"/>
    <n v="29139.439999999999"/>
    <x v="0"/>
    <n v="28242.609999999997"/>
    <n v="-896.83000000000175"/>
    <x v="0"/>
    <n v="-3.17545014430324E-2"/>
  </r>
  <r>
    <s v="sales_2023_H1.csv"/>
    <s v="1090"/>
    <d v="2023-01-25T00:00:00"/>
    <x v="1"/>
    <x v="1"/>
    <n v="2381.12"/>
    <n v="17"/>
    <x v="0"/>
    <n v="4190.26"/>
    <n v="4645.3500000000004"/>
    <x v="1"/>
    <n v="0.12"/>
    <s v="Credit Card"/>
    <x v="1"/>
    <s v="South-Charlie"/>
    <n v="71234.42"/>
    <x v="0"/>
    <n v="69494.436000000016"/>
    <n v="-1739.9839999999822"/>
    <x v="0"/>
    <n v="-2.5037745467852701E-2"/>
  </r>
  <r>
    <s v="sales_2023_H1.csv"/>
    <s v="1096"/>
    <d v="2023-01-25T00:00:00"/>
    <x v="1"/>
    <x v="2"/>
    <n v="6206.16"/>
    <n v="27"/>
    <x v="0"/>
    <n v="4809"/>
    <n v="4967.4399999999996"/>
    <x v="1"/>
    <n v="0.12"/>
    <s v="Cash"/>
    <x v="0"/>
    <s v="West-Charlie"/>
    <n v="129843"/>
    <x v="0"/>
    <n v="118026.37439999999"/>
    <n v="-11816.625600000014"/>
    <x v="0"/>
    <n v="-0.10011851723880499"/>
  </r>
  <r>
    <s v="sales_2023_H1.csv"/>
    <s v="1048"/>
    <d v="2023-01-25T00:00:00"/>
    <x v="0"/>
    <x v="1"/>
    <n v="4961.8500000000004"/>
    <n v="7"/>
    <x v="2"/>
    <n v="1655.43"/>
    <n v="2001.08"/>
    <x v="1"/>
    <n v="0.19"/>
    <s v="Bank Transfer"/>
    <x v="0"/>
    <s v="South-Eve"/>
    <n v="11588.01"/>
    <x v="0"/>
    <n v="11346.123600000001"/>
    <n v="-241.88639999999941"/>
    <x v="0"/>
    <n v="-2.13188581869494E-2"/>
  </r>
  <r>
    <s v="sales_2023_H1.csv"/>
    <s v="1083"/>
    <d v="2023-01-25T00:00:00"/>
    <x v="2"/>
    <x v="3"/>
    <n v="757.99"/>
    <n v="34"/>
    <x v="0"/>
    <n v="1167.9100000000001"/>
    <n v="1547.26"/>
    <x v="1"/>
    <n v="0.11"/>
    <s v="Bank Transfer"/>
    <x v="0"/>
    <s v="East-David"/>
    <n v="39708.94"/>
    <x v="0"/>
    <n v="46820.087599999999"/>
    <n v="7111.1475999999966"/>
    <x v="0"/>
    <n v="0.151882406986355"/>
  </r>
  <r>
    <s v="sales_2023_H1.csv"/>
    <s v="1061"/>
    <d v="2023-01-25T00:00:00"/>
    <x v="3"/>
    <x v="3"/>
    <n v="2375.2800000000002"/>
    <n v="38"/>
    <x v="1"/>
    <n v="4440.8599999999997"/>
    <n v="4506.8100000000004"/>
    <x v="0"/>
    <n v="0.24"/>
    <s v="Bank Transfer"/>
    <x v="0"/>
    <s v="East-Bob"/>
    <n v="168752.68"/>
    <x v="0"/>
    <n v="130156.67280000003"/>
    <n v="-38596.007199999964"/>
    <x v="0"/>
    <n v="-0.29653498641062298"/>
  </r>
  <r>
    <s v="sales_2023_H1.csv"/>
    <s v="1018"/>
    <d v="2023-01-26T00:00:00"/>
    <x v="4"/>
    <x v="3"/>
    <n v="3187.45"/>
    <n v="11"/>
    <x v="0"/>
    <n v="2414.8200000000002"/>
    <n v="2519.0700000000002"/>
    <x v="0"/>
    <n v="0"/>
    <s v="Cash"/>
    <x v="0"/>
    <s v="East-Alice"/>
    <n v="26563.02"/>
    <x v="0"/>
    <n v="27709.77"/>
    <n v="1146.75"/>
    <x v="0"/>
    <n v="4.1384320403958598E-2"/>
  </r>
  <r>
    <s v="sales_2023_H1.csv"/>
    <s v="1023"/>
    <d v="2023-01-26T00:00:00"/>
    <x v="2"/>
    <x v="0"/>
    <n v="2676.34"/>
    <n v="36"/>
    <x v="0"/>
    <n v="1991.72"/>
    <n v="2329.37"/>
    <x v="1"/>
    <n v="0.28000000000000003"/>
    <s v="Credit Card"/>
    <x v="1"/>
    <s v="North-David"/>
    <n v="71701.919999999998"/>
    <x v="0"/>
    <n v="60377.270399999994"/>
    <n v="-11324.649600000004"/>
    <x v="0"/>
    <n v="-0.18756478265701801"/>
  </r>
  <r>
    <s v="sales_2023_H1.csv"/>
    <s v="1026"/>
    <d v="2023-01-26T00:00:00"/>
    <x v="2"/>
    <x v="3"/>
    <n v="2195.1999999999998"/>
    <n v="5"/>
    <x v="3"/>
    <n v="4093.61"/>
    <n v="4117.88"/>
    <x v="0"/>
    <n v="0.12"/>
    <s v="Credit Card"/>
    <x v="1"/>
    <s v="East-David"/>
    <n v="20468.05"/>
    <x v="0"/>
    <n v="18118.672000000002"/>
    <n v="-2349.377999999997"/>
    <x v="0"/>
    <n v="-0.129666125640996"/>
  </r>
  <r>
    <s v="sales_2023_H1.csv"/>
    <s v="1016"/>
    <d v="2023-01-27T00:00:00"/>
    <x v="0"/>
    <x v="0"/>
    <n v="2783.85"/>
    <n v="41"/>
    <x v="3"/>
    <n v="3386.49"/>
    <n v="3430.99"/>
    <x v="1"/>
    <n v="0.21"/>
    <s v="Bank Transfer"/>
    <x v="1"/>
    <s v="North-Eve"/>
    <n v="138846.09"/>
    <x v="0"/>
    <n v="111129.76610000001"/>
    <n v="-27716.323899999988"/>
    <x v="0"/>
    <n v="-0.249405041265537"/>
  </r>
  <r>
    <s v="sales_2023_H1.csv"/>
    <s v="1092"/>
    <d v="2023-01-27T00:00:00"/>
    <x v="2"/>
    <x v="2"/>
    <n v="6939.75"/>
    <n v="26"/>
    <x v="1"/>
    <n v="3697.29"/>
    <n v="4003.96"/>
    <x v="1"/>
    <n v="0.24"/>
    <s v="Cash"/>
    <x v="0"/>
    <s v="West-David"/>
    <n v="96129.54"/>
    <x v="0"/>
    <n v="79118.24960000001"/>
    <n v="-17011.290399999983"/>
    <x v="0"/>
    <n v="-0.21501095494407901"/>
  </r>
  <r>
    <s v="sales_2023_H1.csv"/>
    <s v="1065"/>
    <d v="2023-01-27T00:00:00"/>
    <x v="3"/>
    <x v="1"/>
    <n v="1621.54"/>
    <n v="12"/>
    <x v="2"/>
    <n v="2035.68"/>
    <n v="2079.64"/>
    <x v="0"/>
    <n v="0.04"/>
    <s v="Cash"/>
    <x v="0"/>
    <s v="South-Bob"/>
    <n v="24428.16"/>
    <x v="0"/>
    <n v="23957.452799999999"/>
    <n v="-470.70720000000074"/>
    <x v="0"/>
    <n v="-1.96476313208056E-2"/>
  </r>
  <r>
    <s v="sales_2023_H1.csv"/>
    <s v="1034"/>
    <d v="2023-01-27T00:00:00"/>
    <x v="3"/>
    <x v="3"/>
    <n v="414.26"/>
    <n v="38"/>
    <x v="3"/>
    <n v="2729.75"/>
    <n v="3081.5"/>
    <x v="1"/>
    <n v="0.01"/>
    <s v="Bank Transfer"/>
    <x v="0"/>
    <s v="East-Bob"/>
    <n v="103730.5"/>
    <x v="0"/>
    <n v="115926.03"/>
    <n v="12195.529999999999"/>
    <x v="0"/>
    <n v="0.105200963062394"/>
  </r>
  <r>
    <s v="sales_2023_H1.csv"/>
    <s v="1092"/>
    <d v="2023-01-29T00:00:00"/>
    <x v="3"/>
    <x v="1"/>
    <n v="8936.33"/>
    <n v="13"/>
    <x v="0"/>
    <n v="2684.5"/>
    <n v="2913.78"/>
    <x v="1"/>
    <n v="0.08"/>
    <s v="Credit Card"/>
    <x v="1"/>
    <s v="South-Bob"/>
    <n v="34898.5"/>
    <x v="0"/>
    <n v="34848.808799999999"/>
    <n v="-49.691200000001118"/>
    <x v="0"/>
    <n v="-1.42590813606235E-3"/>
  </r>
  <r>
    <s v="sales_2023_H1.csv"/>
    <s v="1017"/>
    <d v="2023-01-29T00:00:00"/>
    <x v="1"/>
    <x v="1"/>
    <n v="4882.09"/>
    <n v="19"/>
    <x v="2"/>
    <n v="1233.1199999999999"/>
    <n v="1697.19"/>
    <x v="1"/>
    <n v="0.1"/>
    <s v="Credit Card"/>
    <x v="0"/>
    <s v="South-Charlie"/>
    <n v="23429.279999999999"/>
    <x v="0"/>
    <n v="29021.949000000001"/>
    <n v="5592.6690000000017"/>
    <x v="0"/>
    <n v="0.19270480421559599"/>
  </r>
  <r>
    <s v="sales_2023_H1.csv"/>
    <s v="1042"/>
    <d v="2023-01-29T00:00:00"/>
    <x v="0"/>
    <x v="0"/>
    <n v="9772.3700000000008"/>
    <n v="25"/>
    <x v="3"/>
    <n v="2403.54"/>
    <n v="2850.56"/>
    <x v="1"/>
    <n v="0.13"/>
    <s v="Bank Transfer"/>
    <x v="0"/>
    <s v="North-Eve"/>
    <n v="60088.5"/>
    <x v="0"/>
    <n v="61999.68"/>
    <n v="1911.1800000000003"/>
    <x v="0"/>
    <n v="3.08256429710605E-2"/>
  </r>
  <r>
    <s v="sales_2023_H1.csv"/>
    <s v="1007"/>
    <d v="2023-01-29T00:00:00"/>
    <x v="1"/>
    <x v="2"/>
    <n v="2491.21"/>
    <n v="13"/>
    <x v="1"/>
    <n v="3765.46"/>
    <n v="3860.56"/>
    <x v="0"/>
    <n v="0.22"/>
    <s v="Cash"/>
    <x v="1"/>
    <s v="West-Charlie"/>
    <n v="48950.98"/>
    <x v="0"/>
    <n v="39146.078399999999"/>
    <n v="-9804.9016000000047"/>
    <x v="0"/>
    <n v="-0.25046957449510499"/>
  </r>
  <r>
    <s v="sales_2023_H1.csv"/>
    <s v="1009"/>
    <d v="2023-01-29T00:00:00"/>
    <x v="0"/>
    <x v="2"/>
    <n v="182.8"/>
    <n v="16"/>
    <x v="0"/>
    <n v="3745.69"/>
    <n v="3883.77"/>
    <x v="0"/>
    <n v="0.18"/>
    <s v="Bank Transfer"/>
    <x v="1"/>
    <s v="West-Eve"/>
    <n v="59931.040000000001"/>
    <x v="0"/>
    <n v="50955.062400000003"/>
    <n v="-8975.9775999999983"/>
    <x v="0"/>
    <n v="-0.176154775938416"/>
  </r>
  <r>
    <s v="sales_2023_H1.csv"/>
    <s v="1018"/>
    <d v="2023-01-29T00:00:00"/>
    <x v="2"/>
    <x v="2"/>
    <n v="6008.83"/>
    <n v="25"/>
    <x v="3"/>
    <n v="4660.82"/>
    <n v="5011.43"/>
    <x v="1"/>
    <n v="7.0000000000000007E-2"/>
    <s v="Bank Transfer"/>
    <x v="0"/>
    <s v="West-David"/>
    <n v="116520.5"/>
    <x v="0"/>
    <n v="116515.7475"/>
    <n v="-4.7525000000023283"/>
    <x v="0"/>
    <n v="-4.0788477969489301E-5"/>
  </r>
  <r>
    <s v="sales_2023_H1.csv"/>
    <s v="1042"/>
    <d v="2023-01-31T00:00:00"/>
    <x v="4"/>
    <x v="0"/>
    <n v="5207.03"/>
    <n v="11"/>
    <x v="3"/>
    <n v="635.20000000000005"/>
    <n v="814.14"/>
    <x v="0"/>
    <n v="0.02"/>
    <s v="Cash"/>
    <x v="0"/>
    <s v="North-Alice"/>
    <n v="6987.2000000000007"/>
    <x v="0"/>
    <n v="8776.4291999999987"/>
    <n v="1789.2291999999979"/>
    <x v="0"/>
    <n v="0.20386755925747099"/>
  </r>
  <r>
    <s v="sales_2023_H1.csv"/>
    <s v="1057"/>
    <d v="2023-01-31T00:00:00"/>
    <x v="1"/>
    <x v="0"/>
    <n v="975.01"/>
    <n v="36"/>
    <x v="3"/>
    <n v="4995.3"/>
    <n v="5165.09"/>
    <x v="0"/>
    <n v="0.24"/>
    <s v="Cash"/>
    <x v="0"/>
    <s v="North-Charlie"/>
    <n v="179830.80000000002"/>
    <x v="0"/>
    <n v="141316.86239999998"/>
    <n v="-38513.937600000034"/>
    <x v="0"/>
    <n v="-0.27253603671857402"/>
  </r>
  <r>
    <s v="sales_2023_H1.csv"/>
    <s v="1069"/>
    <d v="2023-02-01T00:00:00"/>
    <x v="0"/>
    <x v="0"/>
    <n v="2726.73"/>
    <n v="18"/>
    <x v="1"/>
    <n v="2760.21"/>
    <n v="3219.58"/>
    <x v="1"/>
    <n v="0.27"/>
    <s v="Bank Transfer"/>
    <x v="1"/>
    <s v="North-Eve"/>
    <n v="49683.78"/>
    <x v="0"/>
    <n v="42305.281199999998"/>
    <n v="-7378.4988000000012"/>
    <x v="0"/>
    <n v="-0.17441082036821401"/>
  </r>
  <r>
    <s v="sales_2023_H1.csv"/>
    <s v="1097"/>
    <d v="2023-02-01T00:00:00"/>
    <x v="4"/>
    <x v="2"/>
    <n v="1099.68"/>
    <n v="27"/>
    <x v="2"/>
    <n v="3955.19"/>
    <n v="4393.68"/>
    <x v="0"/>
    <n v="0.04"/>
    <s v="Credit Card"/>
    <x v="0"/>
    <s v="West-Alice"/>
    <n v="106790.13"/>
    <x v="0"/>
    <n v="113884.18560000001"/>
    <n v="7094.055600000007"/>
    <x v="0"/>
    <n v="6.2291841159726399E-2"/>
  </r>
  <r>
    <s v="sales_2023_H1.csv"/>
    <s v="1096"/>
    <d v="2023-02-02T00:00:00"/>
    <x v="4"/>
    <x v="3"/>
    <n v="9289"/>
    <n v="31"/>
    <x v="2"/>
    <n v="1724.24"/>
    <n v="2036.2"/>
    <x v="1"/>
    <n v="0.17"/>
    <s v="Cash"/>
    <x v="0"/>
    <s v="East-Alice"/>
    <n v="53451.44"/>
    <x v="0"/>
    <n v="52391.425999999999"/>
    <n v="-1060.0140000000029"/>
    <x v="0"/>
    <n v="-2.0232585385249899E-2"/>
  </r>
  <r>
    <s v="sales_2023_H1.csv"/>
    <s v="1052"/>
    <d v="2023-02-03T00:00:00"/>
    <x v="3"/>
    <x v="0"/>
    <n v="5053.97"/>
    <n v="18"/>
    <x v="1"/>
    <n v="152.75"/>
    <n v="267.22000000000003"/>
    <x v="0"/>
    <n v="0.09"/>
    <s v="Cash"/>
    <x v="0"/>
    <s v="North-Bob"/>
    <n v="2749.5"/>
    <x v="0"/>
    <n v="4377.0636000000013"/>
    <n v="1627.5636000000013"/>
    <x v="0"/>
    <n v="0.37183914805350299"/>
  </r>
  <r>
    <s v="sales_2023_H1.csv"/>
    <s v="1013"/>
    <d v="2023-02-03T00:00:00"/>
    <x v="3"/>
    <x v="0"/>
    <n v="6520.2"/>
    <n v="42"/>
    <x v="0"/>
    <n v="4625.33"/>
    <n v="4642.83"/>
    <x v="1"/>
    <n v="0.19"/>
    <s v="Credit Card"/>
    <x v="0"/>
    <s v="North-Bob"/>
    <n v="194263.86"/>
    <x v="0"/>
    <n v="157949.0766"/>
    <n v="-36314.783399999986"/>
    <x v="0"/>
    <n v="-0.22991450271004599"/>
  </r>
  <r>
    <s v="sales_2023_H1.csv"/>
    <s v="1035"/>
    <d v="2023-02-03T00:00:00"/>
    <x v="1"/>
    <x v="0"/>
    <n v="1736.32"/>
    <n v="5"/>
    <x v="3"/>
    <n v="4483.8500000000004"/>
    <n v="4795.42"/>
    <x v="0"/>
    <n v="0.23"/>
    <s v="Cash"/>
    <x v="0"/>
    <s v="North-Charlie"/>
    <n v="22419.25"/>
    <x v="0"/>
    <n v="18462.366999999998"/>
    <n v="-3956.8830000000016"/>
    <x v="0"/>
    <n v="-0.21432154392771"/>
  </r>
  <r>
    <s v="sales_2023_H1.csv"/>
    <s v="1026"/>
    <d v="2023-02-04T00:00:00"/>
    <x v="4"/>
    <x v="2"/>
    <n v="1554.93"/>
    <n v="19"/>
    <x v="2"/>
    <n v="1265.48"/>
    <n v="1715.83"/>
    <x v="1"/>
    <n v="0.05"/>
    <s v="Credit Card"/>
    <x v="1"/>
    <s v="West-Alice"/>
    <n v="24044.12"/>
    <x v="0"/>
    <n v="30970.731499999994"/>
    <n v="6926.6114999999954"/>
    <x v="0"/>
    <n v="0.223650238936074"/>
  </r>
  <r>
    <s v="sales_2023_H1.csv"/>
    <s v="1038"/>
    <d v="2023-02-04T00:00:00"/>
    <x v="1"/>
    <x v="0"/>
    <n v="8753.31"/>
    <n v="7"/>
    <x v="1"/>
    <n v="523.02"/>
    <n v="686.25"/>
    <x v="0"/>
    <n v="0.04"/>
    <s v="Cash"/>
    <x v="0"/>
    <s v="North-Charlie"/>
    <n v="3661.14"/>
    <x v="0"/>
    <n v="4611.5999999999995"/>
    <n v="950.45999999999958"/>
    <x v="0"/>
    <n v="0.206102003642987"/>
  </r>
  <r>
    <s v="sales_2023_H1.csv"/>
    <s v="1080"/>
    <d v="2023-02-05T00:00:00"/>
    <x v="1"/>
    <x v="1"/>
    <n v="245.46"/>
    <n v="9"/>
    <x v="2"/>
    <n v="1141.52"/>
    <n v="1550.19"/>
    <x v="1"/>
    <n v="0.28000000000000003"/>
    <s v="Credit Card"/>
    <x v="1"/>
    <s v="South-Charlie"/>
    <n v="10273.68"/>
    <x v="0"/>
    <n v="10045.2312"/>
    <n v="-228.44880000000012"/>
    <x v="0"/>
    <n v="-2.2742015136495802E-2"/>
  </r>
  <r>
    <s v="sales_2023_H1.csv"/>
    <s v="1048"/>
    <d v="2023-02-05T00:00:00"/>
    <x v="2"/>
    <x v="0"/>
    <n v="9070.26"/>
    <n v="42"/>
    <x v="2"/>
    <n v="4723.83"/>
    <n v="5186.1899999999996"/>
    <x v="0"/>
    <n v="0.22"/>
    <s v="Credit Card"/>
    <x v="0"/>
    <s v="North-David"/>
    <n v="198400.86"/>
    <x v="0"/>
    <n v="169899.58439999999"/>
    <n v="-28501.275599999994"/>
    <x v="0"/>
    <n v="-0.167753651079561"/>
  </r>
  <r>
    <s v="sales_2023_H1.csv"/>
    <s v="1030"/>
    <d v="2023-02-05T00:00:00"/>
    <x v="2"/>
    <x v="3"/>
    <n v="236.08"/>
    <n v="49"/>
    <x v="1"/>
    <n v="2590.29"/>
    <n v="2925.86"/>
    <x v="0"/>
    <n v="0.26"/>
    <s v="Cash"/>
    <x v="1"/>
    <s v="East-David"/>
    <n v="126924.20999999999"/>
    <x v="0"/>
    <n v="106091.6836"/>
    <n v="-20832.526399999988"/>
    <x v="0"/>
    <n v="-0.196363425417447"/>
  </r>
  <r>
    <s v="sales_2023_H1.csv"/>
    <s v="1036"/>
    <d v="2023-02-06T00:00:00"/>
    <x v="1"/>
    <x v="3"/>
    <n v="6242.69"/>
    <n v="26"/>
    <x v="2"/>
    <n v="4266.3599999999997"/>
    <n v="4331.43"/>
    <x v="0"/>
    <n v="0.14000000000000001"/>
    <s v="Credit Card"/>
    <x v="1"/>
    <s v="East-Charlie"/>
    <n v="110925.35999999999"/>
    <x v="0"/>
    <n v="96850.774799999999"/>
    <n v="-14074.585199999987"/>
    <x v="0"/>
    <n v="-0.145322381045113"/>
  </r>
  <r>
    <s v="sales_2023_H1.csv"/>
    <s v="1027"/>
    <d v="2023-02-06T00:00:00"/>
    <x v="0"/>
    <x v="2"/>
    <n v="3668.23"/>
    <n v="45"/>
    <x v="3"/>
    <n v="1153.9000000000001"/>
    <n v="1485.34"/>
    <x v="1"/>
    <n v="0.25"/>
    <s v="Credit Card"/>
    <x v="1"/>
    <s v="West-Eve"/>
    <n v="51925.500000000007"/>
    <x v="0"/>
    <n v="50130.225000000006"/>
    <n v="-1795.2750000000015"/>
    <x v="0"/>
    <n v="-3.58122270546362E-2"/>
  </r>
  <r>
    <s v="sales_2023_H1.csv"/>
    <s v="1026"/>
    <d v="2023-02-06T00:00:00"/>
    <x v="3"/>
    <x v="2"/>
    <n v="961.47"/>
    <n v="34"/>
    <x v="2"/>
    <n v="68.33"/>
    <n v="219.08"/>
    <x v="1"/>
    <n v="0.02"/>
    <s v="Credit Card"/>
    <x v="0"/>
    <s v="West-Bob"/>
    <n v="2323.2199999999998"/>
    <x v="0"/>
    <n v="7299.7456000000002"/>
    <n v="4976.5256000000008"/>
    <x v="0"/>
    <n v="0.68173959377433602"/>
  </r>
  <r>
    <s v="sales_2023_H1.csv"/>
    <s v="1081"/>
    <d v="2023-02-07T00:00:00"/>
    <x v="2"/>
    <x v="3"/>
    <n v="3068.03"/>
    <n v="41"/>
    <x v="1"/>
    <n v="2782.08"/>
    <n v="2879.24"/>
    <x v="1"/>
    <n v="0.21"/>
    <s v="Bank Transfer"/>
    <x v="0"/>
    <s v="East-David"/>
    <n v="114065.28"/>
    <x v="0"/>
    <n v="93258.583599999998"/>
    <n v="-20806.696400000001"/>
    <x v="0"/>
    <n v="-0.22310757462544201"/>
  </r>
  <r>
    <s v="sales_2023_H1.csv"/>
    <s v="1072"/>
    <d v="2023-02-07T00:00:00"/>
    <x v="3"/>
    <x v="3"/>
    <n v="5490.38"/>
    <n v="26"/>
    <x v="3"/>
    <n v="3640.17"/>
    <n v="4002.63"/>
    <x v="1"/>
    <n v="0.05"/>
    <s v="Credit Card"/>
    <x v="1"/>
    <s v="East-Bob"/>
    <n v="94644.42"/>
    <x v="0"/>
    <n v="98864.960999999996"/>
    <n v="4220.5409999999974"/>
    <x v="0"/>
    <n v="4.2689957668622297E-2"/>
  </r>
  <r>
    <s v="sales_2023_H1.csv"/>
    <s v="1077"/>
    <d v="2023-02-07T00:00:00"/>
    <x v="0"/>
    <x v="2"/>
    <n v="9605.34"/>
    <n v="12"/>
    <x v="0"/>
    <n v="2427.46"/>
    <n v="2743.09"/>
    <x v="1"/>
    <n v="0.28999999999999998"/>
    <s v="Credit Card"/>
    <x v="1"/>
    <s v="West-Eve"/>
    <n v="29129.52"/>
    <x v="0"/>
    <n v="23371.126800000002"/>
    <n v="-5758.3931999999986"/>
    <x v="0"/>
    <n v="-0.24638919848742599"/>
  </r>
  <r>
    <s v="sales_2023_H1.csv"/>
    <s v="1027"/>
    <d v="2023-02-07T00:00:00"/>
    <x v="3"/>
    <x v="2"/>
    <n v="7896.74"/>
    <n v="3"/>
    <x v="3"/>
    <n v="999.09"/>
    <n v="1271.99"/>
    <x v="1"/>
    <n v="0.15"/>
    <s v="Credit Card"/>
    <x v="0"/>
    <s v="West-Bob"/>
    <n v="2997.27"/>
    <x v="0"/>
    <n v="3243.5745000000002"/>
    <n v="246.30450000000019"/>
    <x v="0"/>
    <n v="7.5936131573361501E-2"/>
  </r>
  <r>
    <s v="sales_2023_H1.csv"/>
    <s v="1017"/>
    <d v="2023-02-07T00:00:00"/>
    <x v="1"/>
    <x v="2"/>
    <n v="7542.3"/>
    <n v="2"/>
    <x v="3"/>
    <n v="728.41"/>
    <n v="1094.92"/>
    <x v="1"/>
    <n v="0.24"/>
    <s v="Cash"/>
    <x v="1"/>
    <s v="West-Charlie"/>
    <n v="1456.82"/>
    <x v="0"/>
    <n v="1664.2784000000001"/>
    <n v="207.45840000000021"/>
    <x v="0"/>
    <n v="0.124653663713956"/>
  </r>
  <r>
    <s v="sales_2023_H1.csv"/>
    <s v="1078"/>
    <d v="2023-02-08T00:00:00"/>
    <x v="4"/>
    <x v="1"/>
    <n v="9813.32"/>
    <n v="49"/>
    <x v="1"/>
    <n v="3026.85"/>
    <n v="3183.58"/>
    <x v="0"/>
    <n v="0.25"/>
    <s v="Cash"/>
    <x v="1"/>
    <s v="South-Alice"/>
    <n v="148315.65"/>
    <x v="0"/>
    <n v="116996.56499999999"/>
    <n v="-31319.085000000006"/>
    <x v="0"/>
    <n v="-0.26769234635222"/>
  </r>
  <r>
    <s v="sales_2023_H1.csv"/>
    <s v="1048"/>
    <d v="2023-02-08T00:00:00"/>
    <x v="1"/>
    <x v="2"/>
    <n v="7454.53"/>
    <n v="27"/>
    <x v="0"/>
    <n v="3197.76"/>
    <n v="3572.61"/>
    <x v="0"/>
    <n v="0.08"/>
    <s v="Credit Card"/>
    <x v="0"/>
    <s v="West-Charlie"/>
    <n v="86339.520000000004"/>
    <x v="0"/>
    <n v="88743.632400000002"/>
    <n v="2404.1123999999982"/>
    <x v="0"/>
    <n v="2.7090534103492499E-2"/>
  </r>
  <r>
    <s v="sales_2023_H1.csv"/>
    <s v="1033"/>
    <d v="2023-02-08T00:00:00"/>
    <x v="0"/>
    <x v="0"/>
    <n v="8395.2900000000009"/>
    <n v="39"/>
    <x v="2"/>
    <n v="4232.8100000000004"/>
    <n v="4345.25"/>
    <x v="0"/>
    <n v="0.12"/>
    <s v="Bank Transfer"/>
    <x v="0"/>
    <s v="North-Eve"/>
    <n v="165079.59000000003"/>
    <x v="0"/>
    <n v="149128.98000000001"/>
    <n v="-15950.610000000015"/>
    <x v="0"/>
    <n v="-0.10695848653963801"/>
  </r>
  <r>
    <s v="sales_2023_H1.csv"/>
    <s v="1090"/>
    <d v="2023-02-08T00:00:00"/>
    <x v="1"/>
    <x v="0"/>
    <n v="1740.91"/>
    <n v="44"/>
    <x v="0"/>
    <n v="3542.18"/>
    <n v="3578.49"/>
    <x v="0"/>
    <n v="0.12"/>
    <s v="Cash"/>
    <x v="0"/>
    <s v="North-Charlie"/>
    <n v="155855.91999999998"/>
    <x v="0"/>
    <n v="138559.13279999999"/>
    <n v="-17296.787199999992"/>
    <x v="0"/>
    <n v="-0.124833252420587"/>
  </r>
  <r>
    <s v="sales_2023_H1.csv"/>
    <s v="1015"/>
    <d v="2023-02-08T00:00:00"/>
    <x v="1"/>
    <x v="3"/>
    <n v="2669.81"/>
    <n v="23"/>
    <x v="2"/>
    <n v="2644.77"/>
    <n v="2684.83"/>
    <x v="1"/>
    <n v="0.24"/>
    <s v="Cash"/>
    <x v="0"/>
    <s v="East-Charlie"/>
    <n v="60829.71"/>
    <x v="0"/>
    <n v="46930.828399999999"/>
    <n v="-13898.881600000001"/>
    <x v="0"/>
    <n v="-0.29615674970697897"/>
  </r>
  <r>
    <s v="sales_2023_H1.csv"/>
    <s v="1027"/>
    <d v="2023-02-08T00:00:00"/>
    <x v="4"/>
    <x v="2"/>
    <n v="7179.49"/>
    <n v="20"/>
    <x v="2"/>
    <n v="1748.11"/>
    <n v="2220.9"/>
    <x v="1"/>
    <n v="0.23"/>
    <s v="Credit Card"/>
    <x v="1"/>
    <s v="West-Alice"/>
    <n v="34962.199999999997"/>
    <x v="0"/>
    <n v="34201.86"/>
    <n v="-760.33999999999651"/>
    <x v="0"/>
    <n v="-2.22309546907682E-2"/>
  </r>
  <r>
    <s v="sales_2023_H1.csv"/>
    <s v="1092"/>
    <d v="2023-02-09T00:00:00"/>
    <x v="2"/>
    <x v="2"/>
    <n v="2749.17"/>
    <n v="34"/>
    <x v="1"/>
    <n v="2037.41"/>
    <n v="2238.65"/>
    <x v="1"/>
    <n v="0.3"/>
    <s v="Credit Card"/>
    <x v="0"/>
    <s v="West-David"/>
    <n v="69271.94"/>
    <x v="0"/>
    <n v="53279.87"/>
    <n v="-15992.07"/>
    <x v="0"/>
    <n v="-0.30015219631729601"/>
  </r>
  <r>
    <s v="sales_2023_H1.csv"/>
    <s v="1046"/>
    <d v="2023-02-09T00:00:00"/>
    <x v="1"/>
    <x v="3"/>
    <n v="9709.7000000000007"/>
    <n v="3"/>
    <x v="1"/>
    <n v="1216.1600000000001"/>
    <n v="1295.3699999999999"/>
    <x v="1"/>
    <n v="0.14000000000000001"/>
    <s v="Cash"/>
    <x v="1"/>
    <s v="East-Charlie"/>
    <n v="3648.4800000000005"/>
    <x v="0"/>
    <n v="3342.0545999999995"/>
    <n v="-306.42540000000099"/>
    <x v="0"/>
    <n v="-9.1687730056834199E-2"/>
  </r>
  <r>
    <s v="sales_2023_H1.csv"/>
    <s v="1038"/>
    <d v="2023-02-09T00:00:00"/>
    <x v="4"/>
    <x v="3"/>
    <n v="5529.35"/>
    <n v="16"/>
    <x v="1"/>
    <n v="3899.7"/>
    <n v="4228.18"/>
    <x v="1"/>
    <n v="0.27"/>
    <s v="Cash"/>
    <x v="1"/>
    <s v="East-Alice"/>
    <n v="62395.199999999997"/>
    <x v="0"/>
    <n v="49385.142400000004"/>
    <n v="-13010.057599999993"/>
    <x v="0"/>
    <n v="-0.26344072260891099"/>
  </r>
  <r>
    <s v="sales_2023_H1.csv"/>
    <s v="1039"/>
    <d v="2023-02-09T00:00:00"/>
    <x v="2"/>
    <x v="1"/>
    <n v="9091.4599999999991"/>
    <n v="20"/>
    <x v="3"/>
    <n v="2014.11"/>
    <n v="2056.35"/>
    <x v="0"/>
    <n v="0.21"/>
    <s v="Bank Transfer"/>
    <x v="1"/>
    <s v="South-David"/>
    <n v="40282.199999999997"/>
    <x v="0"/>
    <n v="32490.33"/>
    <n v="-7791.8699999999953"/>
    <x v="0"/>
    <n v="-0.23982120218538899"/>
  </r>
  <r>
    <s v="sales_2023_H1.csv"/>
    <s v="1092"/>
    <d v="2023-02-09T00:00:00"/>
    <x v="4"/>
    <x v="1"/>
    <n v="7192.33"/>
    <n v="14"/>
    <x v="0"/>
    <n v="3586.58"/>
    <n v="4068.43"/>
    <x v="1"/>
    <n v="0.22"/>
    <s v="Credit Card"/>
    <x v="0"/>
    <s v="South-Alice"/>
    <n v="50212.119999999995"/>
    <x v="0"/>
    <n v="44427.255599999997"/>
    <n v="-5784.8643999999986"/>
    <x v="0"/>
    <n v="-0.130209807512846"/>
  </r>
  <r>
    <s v="sales_2023_H1.csv"/>
    <s v="1020"/>
    <d v="2023-02-09T00:00:00"/>
    <x v="1"/>
    <x v="3"/>
    <n v="2102.3200000000002"/>
    <n v="29"/>
    <x v="2"/>
    <n v="184.05"/>
    <n v="675.91"/>
    <x v="0"/>
    <n v="0.1"/>
    <s v="Cash"/>
    <x v="1"/>
    <s v="East-Charlie"/>
    <n v="5337.4500000000007"/>
    <x v="0"/>
    <n v="17641.251"/>
    <n v="12303.800999999999"/>
    <x v="0"/>
    <n v="0.69744492609962905"/>
  </r>
  <r>
    <s v="sales_2023_H1.csv"/>
    <s v="1024"/>
    <d v="2023-02-10T00:00:00"/>
    <x v="2"/>
    <x v="3"/>
    <n v="6274.12"/>
    <n v="13"/>
    <x v="0"/>
    <n v="1493.88"/>
    <n v="1781.09"/>
    <x v="1"/>
    <n v="0.04"/>
    <s v="Cash"/>
    <x v="1"/>
    <s v="East-David"/>
    <n v="19420.440000000002"/>
    <x v="0"/>
    <n v="22228.003199999999"/>
    <n v="2807.5631999999969"/>
    <x v="0"/>
    <n v="0.126307485865397"/>
  </r>
  <r>
    <s v="sales_2023_H1.csv"/>
    <s v="1056"/>
    <d v="2023-02-10T00:00:00"/>
    <x v="3"/>
    <x v="2"/>
    <n v="3063.9"/>
    <n v="42"/>
    <x v="1"/>
    <n v="1080.1199999999999"/>
    <n v="1424.17"/>
    <x v="1"/>
    <n v="0.1"/>
    <s v="Cash"/>
    <x v="0"/>
    <s v="West-Bob"/>
    <n v="45365.039999999994"/>
    <x v="0"/>
    <n v="53833.626000000004"/>
    <n v="8468.5860000000102"/>
    <x v="0"/>
    <n v="0.15731033982366399"/>
  </r>
  <r>
    <s v="sales_2023_H1.csv"/>
    <s v="1092"/>
    <d v="2023-02-10T00:00:00"/>
    <x v="3"/>
    <x v="3"/>
    <n v="5426.42"/>
    <n v="47"/>
    <x v="1"/>
    <n v="3681.53"/>
    <n v="4076.96"/>
    <x v="0"/>
    <n v="0.17"/>
    <s v="Cash"/>
    <x v="1"/>
    <s v="East-Bob"/>
    <n v="173031.91"/>
    <x v="0"/>
    <n v="159042.2096"/>
    <n v="-13989.700400000002"/>
    <x v="0"/>
    <n v="-8.7962185857357503E-2"/>
  </r>
  <r>
    <s v="sales_2023_H1.csv"/>
    <s v="1021"/>
    <d v="2023-02-11T00:00:00"/>
    <x v="1"/>
    <x v="2"/>
    <n v="3761.15"/>
    <n v="32"/>
    <x v="3"/>
    <n v="900.79"/>
    <n v="1106.51"/>
    <x v="1"/>
    <n v="0.21"/>
    <s v="Cash"/>
    <x v="0"/>
    <s v="West-Charlie"/>
    <n v="28825.279999999999"/>
    <x v="0"/>
    <n v="27972.572800000002"/>
    <n v="-852.7071999999971"/>
    <x v="0"/>
    <n v="-3.04836886509058E-2"/>
  </r>
  <r>
    <s v="sales_2023_H1.csv"/>
    <s v="1028"/>
    <d v="2023-02-11T00:00:00"/>
    <x v="4"/>
    <x v="3"/>
    <n v="2819.57"/>
    <n v="24"/>
    <x v="0"/>
    <n v="2521.0300000000002"/>
    <n v="2766.05"/>
    <x v="0"/>
    <n v="0.16"/>
    <s v="Bank Transfer"/>
    <x v="1"/>
    <s v="East-Alice"/>
    <n v="60504.72"/>
    <x v="0"/>
    <n v="55763.568000000007"/>
    <n v="-4741.1519999999946"/>
    <x v="0"/>
    <n v="-8.5022393115160702E-2"/>
  </r>
  <r>
    <s v="sales_2023_H1.csv"/>
    <s v="1014"/>
    <d v="2023-02-11T00:00:00"/>
    <x v="2"/>
    <x v="2"/>
    <n v="823.51"/>
    <n v="44"/>
    <x v="3"/>
    <n v="2257.48"/>
    <n v="2747.81"/>
    <x v="0"/>
    <n v="0.27"/>
    <s v="Cash"/>
    <x v="0"/>
    <s v="West-David"/>
    <n v="99329.12"/>
    <x v="0"/>
    <n v="88259.657200000001"/>
    <n v="-11069.462799999994"/>
    <x v="0"/>
    <n v="-0.125419281596756"/>
  </r>
  <r>
    <s v="sales_2023_H1.csv"/>
    <s v="1050"/>
    <d v="2023-02-11T00:00:00"/>
    <x v="1"/>
    <x v="2"/>
    <n v="1011.46"/>
    <n v="48"/>
    <x v="1"/>
    <n v="710.06"/>
    <n v="851.35"/>
    <x v="0"/>
    <n v="0.04"/>
    <s v="Bank Transfer"/>
    <x v="0"/>
    <s v="West-Charlie"/>
    <n v="34082.879999999997"/>
    <x v="0"/>
    <n v="39230.207999999999"/>
    <n v="5147.3280000000013"/>
    <x v="0"/>
    <n v="0.13120827705017499"/>
  </r>
  <r>
    <s v="sales_2023_H1.csv"/>
    <s v="1034"/>
    <d v="2023-02-11T00:00:00"/>
    <x v="0"/>
    <x v="1"/>
    <n v="2082.79"/>
    <n v="26"/>
    <x v="2"/>
    <n v="667"/>
    <n v="718.72"/>
    <x v="1"/>
    <n v="0.2"/>
    <s v="Cash"/>
    <x v="1"/>
    <s v="South-Eve"/>
    <n v="17342"/>
    <x v="0"/>
    <n v="14949.376000000002"/>
    <n v="-2392.623999999998"/>
    <x v="0"/>
    <n v="-0.16004841941228801"/>
  </r>
  <r>
    <s v="sales_2023_H1.csv"/>
    <s v="1076"/>
    <d v="2023-02-13T00:00:00"/>
    <x v="0"/>
    <x v="0"/>
    <n v="6697.98"/>
    <n v="17"/>
    <x v="0"/>
    <n v="604.08000000000004"/>
    <n v="624.71"/>
    <x v="1"/>
    <n v="0.14000000000000001"/>
    <s v="Bank Transfer"/>
    <x v="1"/>
    <s v="North-Eve"/>
    <n v="10269.36"/>
    <x v="0"/>
    <n v="9133.2601999999988"/>
    <n v="-1136.0998000000018"/>
    <x v="0"/>
    <n v="-0.124391485090943"/>
  </r>
  <r>
    <s v="sales_2023_H1.csv"/>
    <s v="1044"/>
    <d v="2023-02-14T00:00:00"/>
    <x v="2"/>
    <x v="2"/>
    <n v="9396.7800000000007"/>
    <n v="12"/>
    <x v="2"/>
    <n v="2221.31"/>
    <n v="2494.48"/>
    <x v="0"/>
    <n v="0.22"/>
    <s v="Bank Transfer"/>
    <x v="0"/>
    <s v="West-David"/>
    <n v="26655.72"/>
    <x v="0"/>
    <n v="23348.332800000004"/>
    <n v="-3307.3871999999974"/>
    <x v="0"/>
    <n v="-0.14165410559849501"/>
  </r>
  <r>
    <s v="sales_2023_H1.csv"/>
    <s v="1099"/>
    <d v="2023-02-14T00:00:00"/>
    <x v="2"/>
    <x v="1"/>
    <n v="7802.45"/>
    <n v="32"/>
    <x v="0"/>
    <n v="1517.86"/>
    <n v="1948.46"/>
    <x v="1"/>
    <n v="0.02"/>
    <s v="Credit Card"/>
    <x v="0"/>
    <s v="South-David"/>
    <n v="48571.519999999997"/>
    <x v="0"/>
    <n v="61103.705600000001"/>
    <n v="12532.185600000004"/>
    <x v="0"/>
    <n v="0.205096981876006"/>
  </r>
  <r>
    <s v="sales_2023_H1.csv"/>
    <s v="1025"/>
    <d v="2023-02-15T00:00:00"/>
    <x v="2"/>
    <x v="1"/>
    <n v="4140.7"/>
    <n v="45"/>
    <x v="0"/>
    <n v="1588.04"/>
    <n v="1703.64"/>
    <x v="1"/>
    <n v="0.2"/>
    <s v="Bank Transfer"/>
    <x v="1"/>
    <s v="South-David"/>
    <n v="71461.8"/>
    <x v="0"/>
    <n v="61331.040000000008"/>
    <n v="-10130.759999999995"/>
    <x v="0"/>
    <n v="-0.16518161113850299"/>
  </r>
  <r>
    <s v="sales_2023_H1.csv"/>
    <s v="1074"/>
    <d v="2023-02-15T00:00:00"/>
    <x v="4"/>
    <x v="1"/>
    <n v="3320.38"/>
    <n v="31"/>
    <x v="1"/>
    <n v="1138.32"/>
    <n v="1266.25"/>
    <x v="0"/>
    <n v="0.14000000000000001"/>
    <s v="Cash"/>
    <x v="1"/>
    <s v="South-Alice"/>
    <n v="35287.919999999998"/>
    <x v="0"/>
    <n v="33758.224999999999"/>
    <n v="-1529.6949999999997"/>
    <x v="0"/>
    <n v="-4.5313253288643003E-2"/>
  </r>
  <r>
    <s v="sales_2023_H1.csv"/>
    <s v="1094"/>
    <d v="2023-02-15T00:00:00"/>
    <x v="1"/>
    <x v="1"/>
    <n v="8643.67"/>
    <n v="47"/>
    <x v="3"/>
    <n v="3450.36"/>
    <n v="3557.38"/>
    <x v="1"/>
    <n v="0.2"/>
    <s v="Credit Card"/>
    <x v="0"/>
    <s v="South-Charlie"/>
    <n v="162166.92000000001"/>
    <x v="0"/>
    <n v="133757.48800000001"/>
    <n v="-28409.432000000001"/>
    <x v="0"/>
    <n v="-0.21239507727597301"/>
  </r>
  <r>
    <s v="sales_2023_H1.csv"/>
    <s v="1074"/>
    <d v="2023-02-15T00:00:00"/>
    <x v="3"/>
    <x v="2"/>
    <n v="1383.82"/>
    <n v="1"/>
    <x v="1"/>
    <n v="1304.23"/>
    <n v="1705.71"/>
    <x v="0"/>
    <n v="0.01"/>
    <s v="Cash"/>
    <x v="1"/>
    <s v="West-Bob"/>
    <n v="1304.23"/>
    <x v="0"/>
    <n v="1688.6529"/>
    <n v="384.42290000000003"/>
    <x v="0"/>
    <n v="0.227650632051146"/>
  </r>
  <r>
    <s v="sales_2023_H1.csv"/>
    <s v="1044"/>
    <d v="2023-02-16T00:00:00"/>
    <x v="2"/>
    <x v="1"/>
    <n v="7754.1"/>
    <n v="22"/>
    <x v="3"/>
    <n v="3373.46"/>
    <n v="3454.76"/>
    <x v="0"/>
    <n v="0.22"/>
    <s v="Bank Transfer"/>
    <x v="1"/>
    <s v="South-David"/>
    <n v="74216.12"/>
    <x v="0"/>
    <n v="59283.681600000004"/>
    <n v="-14932.438399999992"/>
    <x v="0"/>
    <n v="-0.25188109100160899"/>
  </r>
  <r>
    <s v="sales_2023_H1.csv"/>
    <s v="1028"/>
    <d v="2023-02-16T00:00:00"/>
    <x v="3"/>
    <x v="3"/>
    <n v="4344.1499999999996"/>
    <n v="24"/>
    <x v="2"/>
    <n v="1969.09"/>
    <n v="2241.96"/>
    <x v="0"/>
    <n v="0.02"/>
    <s v="Credit Card"/>
    <x v="0"/>
    <s v="East-Bob"/>
    <n v="47258.159999999996"/>
    <x v="0"/>
    <n v="52730.8992"/>
    <n v="5472.7392000000036"/>
    <x v="0"/>
    <n v="0.103786191455654"/>
  </r>
  <r>
    <s v="sales_2023_H1.csv"/>
    <s v="1010"/>
    <d v="2023-02-16T00:00:00"/>
    <x v="2"/>
    <x v="3"/>
    <n v="1678.97"/>
    <n v="47"/>
    <x v="1"/>
    <n v="2265.38"/>
    <n v="2429.9299999999998"/>
    <x v="0"/>
    <n v="0.06"/>
    <s v="Bank Transfer"/>
    <x v="0"/>
    <s v="East-David"/>
    <n v="106472.86"/>
    <x v="0"/>
    <n v="107354.30739999999"/>
    <n v="881.44739999999001"/>
    <x v="0"/>
    <n v="8.21063841170094E-3"/>
  </r>
  <r>
    <s v="sales_2023_H1.csv"/>
    <s v="1053"/>
    <d v="2023-02-16T00:00:00"/>
    <x v="0"/>
    <x v="2"/>
    <n v="3939.48"/>
    <n v="11"/>
    <x v="1"/>
    <n v="1582.86"/>
    <n v="1942.55"/>
    <x v="1"/>
    <n v="0.17"/>
    <s v="Credit Card"/>
    <x v="1"/>
    <s v="West-Eve"/>
    <n v="17411.46"/>
    <x v="0"/>
    <n v="17735.481499999998"/>
    <n v="324.02149999999892"/>
    <x v="0"/>
    <n v="1.82696759600239E-2"/>
  </r>
  <r>
    <s v="sales_2023_H1.csv"/>
    <s v="1001"/>
    <d v="2023-02-18T00:00:00"/>
    <x v="2"/>
    <x v="2"/>
    <n v="7154.95"/>
    <n v="27"/>
    <x v="0"/>
    <n v="939.02"/>
    <n v="1286.92"/>
    <x v="0"/>
    <n v="7.0000000000000007E-2"/>
    <s v="Credit Card"/>
    <x v="1"/>
    <s v="West-David"/>
    <n v="25353.54"/>
    <x v="0"/>
    <n v="32314.5612"/>
    <n v="6961.0211999999992"/>
    <x v="0"/>
    <n v="0.21541438105617799"/>
  </r>
  <r>
    <s v="sales_2023_H1.csv"/>
    <s v="1007"/>
    <d v="2023-02-18T00:00:00"/>
    <x v="4"/>
    <x v="1"/>
    <n v="876.71"/>
    <n v="34"/>
    <x v="0"/>
    <n v="1921.07"/>
    <n v="2289.27"/>
    <x v="0"/>
    <n v="7.0000000000000007E-2"/>
    <s v="Bank Transfer"/>
    <x v="1"/>
    <s v="South-Alice"/>
    <n v="65316.38"/>
    <x v="0"/>
    <n v="72386.717399999994"/>
    <n v="7070.3373999999967"/>
    <x v="0"/>
    <n v="9.7674513418396794E-2"/>
  </r>
  <r>
    <s v="sales_2023_H1.csv"/>
    <s v="1003"/>
    <d v="2023-02-19T00:00:00"/>
    <x v="4"/>
    <x v="3"/>
    <n v="937.2"/>
    <n v="45"/>
    <x v="2"/>
    <n v="4974.1400000000003"/>
    <n v="5227.93"/>
    <x v="1"/>
    <n v="0.21"/>
    <s v="Bank Transfer"/>
    <x v="0"/>
    <s v="East-Alice"/>
    <n v="223836.30000000002"/>
    <x v="0"/>
    <n v="185852.91150000002"/>
    <n v="-37983.388500000001"/>
    <x v="0"/>
    <n v="-0.20437338427168"/>
  </r>
  <r>
    <s v="sales_2023_H1.csv"/>
    <s v="1084"/>
    <d v="2023-02-19T00:00:00"/>
    <x v="2"/>
    <x v="2"/>
    <n v="2154.66"/>
    <n v="35"/>
    <x v="3"/>
    <n v="465.61"/>
    <n v="812.91"/>
    <x v="1"/>
    <n v="0.16"/>
    <s v="Bank Transfer"/>
    <x v="0"/>
    <s v="West-David"/>
    <n v="16296.35"/>
    <x v="0"/>
    <n v="23899.553999999996"/>
    <n v="7603.2039999999961"/>
    <x v="0"/>
    <n v="0.31813162705881398"/>
  </r>
  <r>
    <s v="sales_2023_H1.csv"/>
    <s v="1002"/>
    <d v="2023-02-20T00:00:00"/>
    <x v="1"/>
    <x v="2"/>
    <n v="9469.92"/>
    <n v="26"/>
    <x v="3"/>
    <n v="508.94"/>
    <n v="557.69000000000005"/>
    <x v="1"/>
    <n v="0.22"/>
    <s v="Credit Card"/>
    <x v="1"/>
    <s v="West-Charlie"/>
    <n v="13232.44"/>
    <x v="0"/>
    <n v="11309.953200000002"/>
    <n v="-1922.4867999999988"/>
    <x v="0"/>
    <n v="-0.169981852798471"/>
  </r>
  <r>
    <s v="sales_2023_H1.csv"/>
    <s v="1017"/>
    <d v="2023-02-20T00:00:00"/>
    <x v="1"/>
    <x v="0"/>
    <n v="8189.57"/>
    <n v="16"/>
    <x v="1"/>
    <n v="102.23"/>
    <n v="167.12"/>
    <x v="1"/>
    <n v="0.04"/>
    <s v="Credit Card"/>
    <x v="1"/>
    <s v="North-Charlie"/>
    <n v="1635.68"/>
    <x v="0"/>
    <n v="2566.9632000000001"/>
    <n v="931.28320000000008"/>
    <x v="0"/>
    <n v="0.362795695707675"/>
  </r>
  <r>
    <s v="sales_2023_H1.csv"/>
    <s v="1049"/>
    <d v="2023-02-21T00:00:00"/>
    <x v="4"/>
    <x v="3"/>
    <n v="783.55"/>
    <n v="31"/>
    <x v="2"/>
    <n v="3570.24"/>
    <n v="3712.25"/>
    <x v="1"/>
    <n v="0.03"/>
    <s v="Credit Card"/>
    <x v="0"/>
    <s v="East-Alice"/>
    <n v="110677.43999999999"/>
    <x v="0"/>
    <n v="111627.3575"/>
    <n v="949.91750000001048"/>
    <x v="0"/>
    <n v="8.5097194923745307E-3"/>
  </r>
  <r>
    <s v="sales_2023_H1.csv"/>
    <s v="1046"/>
    <d v="2023-02-22T00:00:00"/>
    <x v="4"/>
    <x v="1"/>
    <n v="3391.32"/>
    <n v="46"/>
    <x v="0"/>
    <n v="2551.56"/>
    <n v="2841.68"/>
    <x v="1"/>
    <n v="0.09"/>
    <s v="Bank Transfer"/>
    <x v="1"/>
    <s v="South-Alice"/>
    <n v="117371.76"/>
    <x v="0"/>
    <n v="118952.7248"/>
    <n v="1580.9648000000016"/>
    <x v="0"/>
    <n v="1.32906984910026E-2"/>
  </r>
  <r>
    <s v="sales_2023_H1.csv"/>
    <s v="1048"/>
    <d v="2023-02-23T00:00:00"/>
    <x v="3"/>
    <x v="2"/>
    <n v="7066.63"/>
    <n v="47"/>
    <x v="3"/>
    <n v="4535.8599999999997"/>
    <n v="4641.41"/>
    <x v="1"/>
    <n v="0.27"/>
    <s v="Credit Card"/>
    <x v="1"/>
    <s v="West-Bob"/>
    <n v="213185.41999999998"/>
    <x v="0"/>
    <n v="159246.77709999998"/>
    <n v="-53938.642900000006"/>
    <x v="0"/>
    <n v="-0.33871104886555398"/>
  </r>
  <r>
    <s v="sales_2023_H1.csv"/>
    <s v="1100"/>
    <d v="2023-02-23T00:00:00"/>
    <x v="0"/>
    <x v="0"/>
    <n v="849.43"/>
    <n v="43"/>
    <x v="1"/>
    <n v="2116.09"/>
    <n v="2472.98"/>
    <x v="1"/>
    <n v="0.01"/>
    <s v="Credit Card"/>
    <x v="1"/>
    <s v="North-Eve"/>
    <n v="90991.87000000001"/>
    <x v="0"/>
    <n v="105274.7586"/>
    <n v="14282.888599999991"/>
    <x v="0"/>
    <n v="0.13567248968263099"/>
  </r>
  <r>
    <s v="sales_2023_H1.csv"/>
    <s v="1068"/>
    <d v="2023-02-24T00:00:00"/>
    <x v="3"/>
    <x v="0"/>
    <n v="5118.51"/>
    <n v="22"/>
    <x v="0"/>
    <n v="3619.61"/>
    <n v="3651.42"/>
    <x v="0"/>
    <n v="0.26"/>
    <s v="Bank Transfer"/>
    <x v="0"/>
    <s v="North-Bob"/>
    <n v="79631.42"/>
    <x v="0"/>
    <n v="59445.117600000005"/>
    <n v="-20186.302399999993"/>
    <x v="0"/>
    <n v="-0.33957881176771398"/>
  </r>
  <r>
    <s v="sales_2023_H1.csv"/>
    <s v="1099"/>
    <d v="2023-02-24T00:00:00"/>
    <x v="2"/>
    <x v="3"/>
    <n v="8090"/>
    <n v="35"/>
    <x v="0"/>
    <n v="2610.19"/>
    <n v="2682.53"/>
    <x v="1"/>
    <n v="0.14000000000000001"/>
    <s v="Cash"/>
    <x v="1"/>
    <s v="East-David"/>
    <n v="91356.650000000009"/>
    <x v="0"/>
    <n v="80744.153000000006"/>
    <n v="-10612.497000000003"/>
    <x v="0"/>
    <n v="-0.131433628389166"/>
  </r>
  <r>
    <s v="sales_2023_H1.csv"/>
    <s v="1054"/>
    <d v="2023-02-24T00:00:00"/>
    <x v="4"/>
    <x v="0"/>
    <n v="5664.52"/>
    <n v="43"/>
    <x v="3"/>
    <n v="2124.7199999999998"/>
    <n v="2188.66"/>
    <x v="0"/>
    <n v="0.03"/>
    <s v="Credit Card"/>
    <x v="1"/>
    <s v="North-Alice"/>
    <n v="91362.959999999992"/>
    <x v="0"/>
    <n v="91289.008599999986"/>
    <n v="-73.951400000005378"/>
    <x v="0"/>
    <n v="-8.1007999905045999E-4"/>
  </r>
  <r>
    <s v="sales_2023_H1.csv"/>
    <s v="1094"/>
    <d v="2023-02-24T00:00:00"/>
    <x v="3"/>
    <x v="2"/>
    <n v="6171.59"/>
    <n v="7"/>
    <x v="1"/>
    <n v="4122.38"/>
    <n v="4358.78"/>
    <x v="0"/>
    <n v="0.26"/>
    <s v="Bank Transfer"/>
    <x v="1"/>
    <s v="West-Bob"/>
    <n v="28856.66"/>
    <x v="0"/>
    <n v="22578.4804"/>
    <n v="-6278.1795999999995"/>
    <x v="0"/>
    <n v="-0.27806032508724499"/>
  </r>
  <r>
    <s v="sales_2023_H1.csv"/>
    <s v="1008"/>
    <d v="2023-02-24T00:00:00"/>
    <x v="0"/>
    <x v="2"/>
    <n v="5751.69"/>
    <n v="22"/>
    <x v="2"/>
    <n v="2269.3200000000002"/>
    <n v="2365.35"/>
    <x v="1"/>
    <n v="0.03"/>
    <s v="Cash"/>
    <x v="1"/>
    <s v="West-Eve"/>
    <n v="49925.04"/>
    <x v="0"/>
    <n v="50476.568999999996"/>
    <n v="551.52899999999499"/>
    <x v="0"/>
    <n v="1.0926435986566301E-2"/>
  </r>
  <r>
    <s v="sales_2023_H1.csv"/>
    <s v="1013"/>
    <d v="2023-02-25T00:00:00"/>
    <x v="0"/>
    <x v="3"/>
    <n v="4791.82"/>
    <n v="31"/>
    <x v="3"/>
    <n v="2757.06"/>
    <n v="3023.97"/>
    <x v="0"/>
    <n v="0.21"/>
    <s v="Cash"/>
    <x v="0"/>
    <s v="East-Eve"/>
    <n v="85468.86"/>
    <x v="0"/>
    <n v="74057.025299999994"/>
    <n v="-11411.834700000007"/>
    <x v="0"/>
    <n v="-0.154095234770387"/>
  </r>
  <r>
    <s v="sales_2023_H1.csv"/>
    <s v="1086"/>
    <d v="2023-02-26T00:00:00"/>
    <x v="3"/>
    <x v="2"/>
    <n v="2559"/>
    <n v="5"/>
    <x v="2"/>
    <n v="4934.1000000000004"/>
    <n v="5191.0200000000004"/>
    <x v="1"/>
    <n v="0.3"/>
    <s v="Bank Transfer"/>
    <x v="0"/>
    <s v="West-Bob"/>
    <n v="24670.5"/>
    <x v="0"/>
    <n v="18168.57"/>
    <n v="-6501.93"/>
    <x v="0"/>
    <n v="-0.35786690972377"/>
  </r>
  <r>
    <s v="sales_2023_H1.csv"/>
    <s v="1085"/>
    <d v="2023-02-27T00:00:00"/>
    <x v="0"/>
    <x v="2"/>
    <n v="5324.01"/>
    <n v="45"/>
    <x v="1"/>
    <n v="3325.96"/>
    <n v="3781.4"/>
    <x v="0"/>
    <n v="0.27"/>
    <s v="Credit Card"/>
    <x v="0"/>
    <s v="West-Eve"/>
    <n v="149668.20000000001"/>
    <x v="0"/>
    <n v="124218.98999999999"/>
    <n v="-25449.210000000021"/>
    <x v="0"/>
    <n v="-0.20487374756468399"/>
  </r>
  <r>
    <s v="sales_2023_H1.csv"/>
    <s v="1083"/>
    <d v="2023-02-27T00:00:00"/>
    <x v="4"/>
    <x v="2"/>
    <n v="1780.31"/>
    <n v="20"/>
    <x v="0"/>
    <n v="3617.59"/>
    <n v="4003.5"/>
    <x v="1"/>
    <n v="0.01"/>
    <s v="Credit Card"/>
    <x v="1"/>
    <s v="West-Alice"/>
    <n v="72351.8"/>
    <x v="0"/>
    <n v="79269.3"/>
    <n v="6917.5"/>
    <x v="0"/>
    <n v="8.7265814129808106E-2"/>
  </r>
  <r>
    <s v="sales_2023_H1.csv"/>
    <s v="1087"/>
    <d v="2023-02-28T00:00:00"/>
    <x v="4"/>
    <x v="2"/>
    <n v="7534.3"/>
    <n v="15"/>
    <x v="1"/>
    <n v="4074.66"/>
    <n v="4261.1099999999997"/>
    <x v="0"/>
    <n v="0.05"/>
    <s v="Credit Card"/>
    <x v="1"/>
    <s v="West-Alice"/>
    <n v="61119.899999999994"/>
    <x v="0"/>
    <n v="60720.81749999999"/>
    <n v="-399.08250000000407"/>
    <x v="0"/>
    <n v="-6.5724164533852696E-3"/>
  </r>
  <r>
    <s v="sales_2023_H1.csv"/>
    <s v="1033"/>
    <d v="2023-02-28T00:00:00"/>
    <x v="2"/>
    <x v="2"/>
    <n v="4155.74"/>
    <n v="3"/>
    <x v="0"/>
    <n v="2958.75"/>
    <n v="3177.64"/>
    <x v="0"/>
    <n v="0.17"/>
    <s v="Cash"/>
    <x v="0"/>
    <s v="West-David"/>
    <n v="8876.25"/>
    <x v="0"/>
    <n v="7912.3235999999997"/>
    <n v="-963.92640000000029"/>
    <x v="0"/>
    <n v="-0.121825957674431"/>
  </r>
  <r>
    <s v="sales_2023_H1.csv"/>
    <s v="1012"/>
    <d v="2023-02-28T00:00:00"/>
    <x v="2"/>
    <x v="3"/>
    <n v="5650.72"/>
    <n v="33"/>
    <x v="3"/>
    <n v="3831.09"/>
    <n v="3908.37"/>
    <x v="1"/>
    <n v="0.28999999999999998"/>
    <s v="Cash"/>
    <x v="1"/>
    <s v="East-David"/>
    <n v="126425.97"/>
    <x v="0"/>
    <n v="91573.109099999987"/>
    <n v="-34852.860900000014"/>
    <x v="0"/>
    <n v="-0.38060148052786802"/>
  </r>
  <r>
    <s v="sales_2023_H1.csv"/>
    <s v="1025"/>
    <d v="2023-02-28T00:00:00"/>
    <x v="3"/>
    <x v="3"/>
    <n v="8236.1299999999992"/>
    <n v="14"/>
    <x v="2"/>
    <n v="859.59"/>
    <n v="884.51"/>
    <x v="1"/>
    <n v="0.12"/>
    <s v="Bank Transfer"/>
    <x v="0"/>
    <s v="East-Bob"/>
    <n v="12034.26"/>
    <x v="0"/>
    <n v="10897.163199999999"/>
    <n v="-1137.0968000000012"/>
    <x v="0"/>
    <n v="-0.10434796461523101"/>
  </r>
  <r>
    <s v="sales_2023_H1.csv"/>
    <s v="1056"/>
    <d v="2023-02-28T00:00:00"/>
    <x v="0"/>
    <x v="0"/>
    <n v="6629.16"/>
    <n v="37"/>
    <x v="2"/>
    <n v="1555.41"/>
    <n v="1609.94"/>
    <x v="0"/>
    <n v="0.16"/>
    <s v="Credit Card"/>
    <x v="0"/>
    <s v="North-Eve"/>
    <n v="57550.170000000006"/>
    <x v="0"/>
    <n v="50036.9352"/>
    <n v="-7513.2348000000056"/>
    <x v="0"/>
    <n v="-0.15015377680445999"/>
  </r>
  <r>
    <s v="sales_2023_H1.csv"/>
    <s v="1007"/>
    <d v="2023-02-28T00:00:00"/>
    <x v="1"/>
    <x v="3"/>
    <n v="1833.72"/>
    <n v="43"/>
    <x v="1"/>
    <n v="3967.25"/>
    <n v="4272.92"/>
    <x v="1"/>
    <n v="0.27"/>
    <s v="Credit Card"/>
    <x v="0"/>
    <s v="East-Charlie"/>
    <n v="170591.75"/>
    <x v="0"/>
    <n v="134126.95879999999"/>
    <n v="-36464.791200000007"/>
    <x v="0"/>
    <n v="-0.271867725371851"/>
  </r>
  <r>
    <s v="sales_2023_H1.csv"/>
    <s v="1029"/>
    <d v="2023-03-01T00:00:00"/>
    <x v="2"/>
    <x v="3"/>
    <n v="6773.89"/>
    <n v="28"/>
    <x v="0"/>
    <n v="2873.53"/>
    <n v="3108.3"/>
    <x v="1"/>
    <n v="0.15"/>
    <s v="Credit Card"/>
    <x v="1"/>
    <s v="East-David"/>
    <n v="80458.840000000011"/>
    <x v="0"/>
    <n v="73977.540000000008"/>
    <n v="-6481.3000000000029"/>
    <x v="0"/>
    <n v="-8.7611726478063506E-2"/>
  </r>
  <r>
    <s v="sales_2023_H1.csv"/>
    <s v="1041"/>
    <d v="2023-03-01T00:00:00"/>
    <x v="1"/>
    <x v="3"/>
    <n v="4170.8"/>
    <n v="44"/>
    <x v="2"/>
    <n v="3288.39"/>
    <n v="3391.46"/>
    <x v="1"/>
    <n v="0.05"/>
    <s v="Credit Card"/>
    <x v="1"/>
    <s v="East-Charlie"/>
    <n v="144689.16"/>
    <x v="0"/>
    <n v="141763.02799999999"/>
    <n v="-2926.1320000000123"/>
    <x v="0"/>
    <n v="-2.06410094457069E-2"/>
  </r>
  <r>
    <s v="sales_2023_H1.csv"/>
    <s v="1034"/>
    <d v="2023-03-01T00:00:00"/>
    <x v="1"/>
    <x v="2"/>
    <n v="2842.42"/>
    <n v="45"/>
    <x v="3"/>
    <n v="2013.12"/>
    <n v="2321.87"/>
    <x v="1"/>
    <n v="0.18"/>
    <s v="Bank Transfer"/>
    <x v="1"/>
    <s v="West-Charlie"/>
    <n v="90590.399999999994"/>
    <x v="0"/>
    <n v="85677.002999999997"/>
    <n v="-4913.3969999999972"/>
    <x v="0"/>
    <n v="-5.7347909333383199E-2"/>
  </r>
  <r>
    <s v="sales_2023_H1.csv"/>
    <s v="1058"/>
    <d v="2023-03-02T00:00:00"/>
    <x v="0"/>
    <x v="2"/>
    <n v="9333.83"/>
    <n v="39"/>
    <x v="3"/>
    <n v="3542.8"/>
    <n v="3603.02"/>
    <x v="0"/>
    <n v="0.26"/>
    <s v="Cash"/>
    <x v="0"/>
    <s v="West-Eve"/>
    <n v="138169.20000000001"/>
    <x v="0"/>
    <n v="103983.1572"/>
    <n v="-34186.04280000001"/>
    <x v="0"/>
    <n v="-0.32876519352309103"/>
  </r>
  <r>
    <s v="sales_2023_H1.csv"/>
    <s v="1023"/>
    <d v="2023-03-02T00:00:00"/>
    <x v="2"/>
    <x v="2"/>
    <n v="1260.32"/>
    <n v="39"/>
    <x v="3"/>
    <n v="4450.6099999999997"/>
    <n v="4663.34"/>
    <x v="1"/>
    <n v="0.24"/>
    <s v="Cash"/>
    <x v="1"/>
    <s v="West-David"/>
    <n v="173573.78999999998"/>
    <x v="0"/>
    <n v="138221.3976"/>
    <n v="-35352.392399999982"/>
    <x v="0"/>
    <n v="-0.25576642266566102"/>
  </r>
  <r>
    <s v="sales_2023_H1.csv"/>
    <s v="1058"/>
    <d v="2023-03-02T00:00:00"/>
    <x v="0"/>
    <x v="3"/>
    <n v="5463.43"/>
    <n v="49"/>
    <x v="1"/>
    <n v="1307.22"/>
    <n v="1528.4"/>
    <x v="0"/>
    <n v="0.24"/>
    <s v="Cash"/>
    <x v="1"/>
    <s v="East-Eve"/>
    <n v="64053.78"/>
    <x v="0"/>
    <n v="56917.616000000002"/>
    <n v="-7136.163999999997"/>
    <x v="0"/>
    <n v="-0.125377071309522"/>
  </r>
  <r>
    <s v="sales_2023_H1.csv"/>
    <s v="1007"/>
    <d v="2023-03-03T00:00:00"/>
    <x v="0"/>
    <x v="2"/>
    <n v="4694.54"/>
    <n v="1"/>
    <x v="3"/>
    <n v="2543.2600000000002"/>
    <n v="2637.91"/>
    <x v="0"/>
    <n v="0.2"/>
    <s v="Credit Card"/>
    <x v="0"/>
    <s v="West-Eve"/>
    <n v="2543.2600000000002"/>
    <x v="0"/>
    <n v="2110.328"/>
    <n v="-432.93200000000024"/>
    <x v="0"/>
    <n v="-0.20514915216971"/>
  </r>
  <r>
    <s v="sales_2023_H1.csv"/>
    <s v="1035"/>
    <d v="2023-03-03T00:00:00"/>
    <x v="3"/>
    <x v="2"/>
    <n v="2494.7399999999998"/>
    <n v="47"/>
    <x v="2"/>
    <n v="2936.48"/>
    <n v="3096.64"/>
    <x v="1"/>
    <n v="0.06"/>
    <s v="Bank Transfer"/>
    <x v="0"/>
    <s v="West-Bob"/>
    <n v="138014.56"/>
    <x v="0"/>
    <n v="136809.55519999997"/>
    <n v="-1205.0048000000243"/>
    <x v="0"/>
    <n v="-8.8078994061375603E-3"/>
  </r>
  <r>
    <s v="sales_2023_H1.csv"/>
    <s v="1089"/>
    <d v="2023-03-03T00:00:00"/>
    <x v="1"/>
    <x v="0"/>
    <n v="2122.73"/>
    <n v="4"/>
    <x v="1"/>
    <n v="4117.67"/>
    <n v="4280.0600000000004"/>
    <x v="0"/>
    <n v="0.18"/>
    <s v="Bank Transfer"/>
    <x v="0"/>
    <s v="North-Charlie"/>
    <n v="16470.68"/>
    <x v="0"/>
    <n v="14038.596800000003"/>
    <n v="-2432.0831999999973"/>
    <x v="0"/>
    <n v="-0.17324261353527801"/>
  </r>
  <r>
    <s v="sales_2023_H1.csv"/>
    <s v="1095"/>
    <d v="2023-03-03T00:00:00"/>
    <x v="0"/>
    <x v="3"/>
    <n v="6518.35"/>
    <n v="16"/>
    <x v="2"/>
    <n v="3591.05"/>
    <n v="3625.35"/>
    <x v="0"/>
    <n v="0.05"/>
    <s v="Credit Card"/>
    <x v="1"/>
    <s v="East-Eve"/>
    <n v="57456.800000000003"/>
    <x v="0"/>
    <n v="55105.319999999992"/>
    <n v="-2351.4800000000105"/>
    <x v="0"/>
    <n v="-4.2672467921427697E-2"/>
  </r>
  <r>
    <s v="sales_2023_H1.csv"/>
    <s v="1099"/>
    <d v="2023-03-04T00:00:00"/>
    <x v="2"/>
    <x v="3"/>
    <n v="7952.11"/>
    <n v="10"/>
    <x v="1"/>
    <n v="1531.2"/>
    <n v="1955.56"/>
    <x v="1"/>
    <n v="0"/>
    <s v="Credit Card"/>
    <x v="0"/>
    <s v="East-David"/>
    <n v="15312"/>
    <x v="0"/>
    <n v="19555.599999999999"/>
    <n v="4243.5999999999985"/>
    <x v="0"/>
    <n v="0.21700177954141001"/>
  </r>
  <r>
    <s v="sales_2023_H1.csv"/>
    <s v="1070"/>
    <d v="2023-03-04T00:00:00"/>
    <x v="3"/>
    <x v="1"/>
    <n v="8771.24"/>
    <n v="15"/>
    <x v="2"/>
    <n v="3653.66"/>
    <n v="3896.19"/>
    <x v="1"/>
    <n v="0.03"/>
    <s v="Credit Card"/>
    <x v="1"/>
    <s v="South-Bob"/>
    <n v="54804.899999999994"/>
    <x v="0"/>
    <n v="56689.5645"/>
    <n v="1884.6645000000062"/>
    <x v="0"/>
    <n v="3.3245351532026797E-2"/>
  </r>
  <r>
    <s v="sales_2023_H1.csv"/>
    <s v="1033"/>
    <d v="2023-03-04T00:00:00"/>
    <x v="3"/>
    <x v="2"/>
    <n v="8499.41"/>
    <n v="14"/>
    <x v="0"/>
    <n v="362.38"/>
    <n v="753.81"/>
    <x v="0"/>
    <n v="0.19"/>
    <s v="Cash"/>
    <x v="1"/>
    <s v="West-Bob"/>
    <n v="5073.32"/>
    <x v="0"/>
    <n v="8548.2054000000007"/>
    <n v="3474.885400000001"/>
    <x v="0"/>
    <n v="0.40650466821960102"/>
  </r>
  <r>
    <s v="sales_2023_H1.csv"/>
    <s v="1094"/>
    <d v="2023-03-04T00:00:00"/>
    <x v="3"/>
    <x v="0"/>
    <n v="3992.63"/>
    <n v="49"/>
    <x v="3"/>
    <n v="615.47"/>
    <n v="715.84"/>
    <x v="0"/>
    <n v="0.21"/>
    <s v="Credit Card"/>
    <x v="1"/>
    <s v="North-Bob"/>
    <n v="30158.030000000002"/>
    <x v="0"/>
    <n v="27710.166400000006"/>
    <n v="-2447.8635999999969"/>
    <x v="0"/>
    <n v="-8.8338105396581004E-2"/>
  </r>
  <r>
    <s v="sales_2023_H1.csv"/>
    <s v="1009"/>
    <d v="2023-03-04T00:00:00"/>
    <x v="2"/>
    <x v="3"/>
    <n v="198.79"/>
    <n v="1"/>
    <x v="0"/>
    <n v="3223.07"/>
    <n v="3590.83"/>
    <x v="1"/>
    <n v="0.19"/>
    <s v="Bank Transfer"/>
    <x v="1"/>
    <s v="East-David"/>
    <n v="3223.07"/>
    <x v="0"/>
    <n v="2908.5723000000003"/>
    <n v="-314.4976999999999"/>
    <x v="0"/>
    <n v="-0.108127860531437"/>
  </r>
  <r>
    <s v="sales_2023_H1.csv"/>
    <s v="1058"/>
    <d v="2023-03-05T00:00:00"/>
    <x v="0"/>
    <x v="0"/>
    <n v="252.41"/>
    <n v="48"/>
    <x v="1"/>
    <n v="2596.7199999999998"/>
    <n v="2715.05"/>
    <x v="0"/>
    <n v="0.04"/>
    <s v="Cash"/>
    <x v="0"/>
    <s v="North-Eve"/>
    <n v="124642.56"/>
    <x v="0"/>
    <n v="125109.504"/>
    <n v="466.94400000000314"/>
    <x v="0"/>
    <n v="3.7322824011835499E-3"/>
  </r>
  <r>
    <s v="sales_2023_H1.csv"/>
    <s v="1050"/>
    <d v="2023-03-05T00:00:00"/>
    <x v="3"/>
    <x v="0"/>
    <n v="9755.9"/>
    <n v="20"/>
    <x v="2"/>
    <n v="3318.92"/>
    <n v="3785.91"/>
    <x v="1"/>
    <n v="0.24"/>
    <s v="Bank Transfer"/>
    <x v="0"/>
    <s v="North-Bob"/>
    <n v="66378.399999999994"/>
    <x v="0"/>
    <n v="57545.831999999995"/>
    <n v="-8832.5679999999993"/>
    <x v="0"/>
    <n v="-0.15348753668206599"/>
  </r>
  <r>
    <s v="sales_2023_H1.csv"/>
    <s v="1024"/>
    <d v="2023-03-06T00:00:00"/>
    <x v="4"/>
    <x v="1"/>
    <n v="9602.64"/>
    <n v="35"/>
    <x v="2"/>
    <n v="1258.53"/>
    <n v="1624.89"/>
    <x v="1"/>
    <n v="0.08"/>
    <s v="Credit Card"/>
    <x v="0"/>
    <s v="South-Alice"/>
    <n v="44048.549999999996"/>
    <x v="0"/>
    <n v="52321.458000000006"/>
    <n v="8272.9080000000104"/>
    <x v="0"/>
    <n v="0.15811692403525901"/>
  </r>
  <r>
    <s v="sales_2023_H1.csv"/>
    <s v="1005"/>
    <d v="2023-03-08T00:00:00"/>
    <x v="4"/>
    <x v="0"/>
    <n v="4426.26"/>
    <n v="12"/>
    <x v="0"/>
    <n v="253.29"/>
    <n v="683.78"/>
    <x v="1"/>
    <n v="0.25"/>
    <s v="Credit Card"/>
    <x v="0"/>
    <s v="North-Alice"/>
    <n v="3039.48"/>
    <x v="0"/>
    <n v="6154.02"/>
    <n v="3114.5400000000004"/>
    <x v="0"/>
    <n v="0.50609845271871101"/>
  </r>
  <r>
    <s v="sales_2023_H1.csv"/>
    <s v="1067"/>
    <d v="2023-03-08T00:00:00"/>
    <x v="3"/>
    <x v="3"/>
    <n v="7078.22"/>
    <n v="28"/>
    <x v="2"/>
    <n v="3489.85"/>
    <n v="3842.55"/>
    <x v="1"/>
    <n v="0.03"/>
    <s v="Bank Transfer"/>
    <x v="0"/>
    <s v="East-Bob"/>
    <n v="97715.8"/>
    <x v="0"/>
    <n v="104363.65800000001"/>
    <n v="6647.8580000000075"/>
    <x v="0"/>
    <n v="6.3698974598993097E-2"/>
  </r>
  <r>
    <s v="sales_2023_H1.csv"/>
    <s v="1058"/>
    <d v="2023-03-09T00:00:00"/>
    <x v="0"/>
    <x v="1"/>
    <n v="3788.08"/>
    <n v="40"/>
    <x v="1"/>
    <n v="2249.7600000000002"/>
    <n v="2598.4"/>
    <x v="0"/>
    <n v="0.18"/>
    <s v="Credit Card"/>
    <x v="1"/>
    <s v="South-Eve"/>
    <n v="89990.400000000009"/>
    <x v="0"/>
    <n v="85227.520000000004"/>
    <n v="-4762.8800000000047"/>
    <x v="0"/>
    <n v="-5.5884296527694402E-2"/>
  </r>
  <r>
    <s v="sales_2023_H1.csv"/>
    <s v="1040"/>
    <d v="2023-03-10T00:00:00"/>
    <x v="1"/>
    <x v="3"/>
    <n v="2331.27"/>
    <n v="13"/>
    <x v="0"/>
    <n v="2750.18"/>
    <n v="2882.85"/>
    <x v="0"/>
    <n v="0.24"/>
    <s v="Credit Card"/>
    <x v="0"/>
    <s v="East-Charlie"/>
    <n v="35752.339999999997"/>
    <x v="0"/>
    <n v="28482.557999999997"/>
    <n v="-7269.7819999999992"/>
    <x v="0"/>
    <n v="-0.25523627477560101"/>
  </r>
  <r>
    <s v="sales_2023_H1.csv"/>
    <s v="1027"/>
    <d v="2023-03-10T00:00:00"/>
    <x v="0"/>
    <x v="1"/>
    <n v="3985.34"/>
    <n v="21"/>
    <x v="3"/>
    <n v="2511.41"/>
    <n v="2848.4"/>
    <x v="0"/>
    <n v="0.06"/>
    <s v="Bank Transfer"/>
    <x v="0"/>
    <s v="South-Eve"/>
    <n v="52739.61"/>
    <x v="0"/>
    <n v="56227.415999999997"/>
    <n v="3487.8059999999969"/>
    <x v="0"/>
    <n v="6.2030344769889403E-2"/>
  </r>
  <r>
    <s v="sales_2023_H1.csv"/>
    <s v="1040"/>
    <d v="2023-03-10T00:00:00"/>
    <x v="4"/>
    <x v="3"/>
    <n v="1004.78"/>
    <n v="42"/>
    <x v="2"/>
    <n v="4205.29"/>
    <n v="4382.3500000000004"/>
    <x v="1"/>
    <n v="0.25"/>
    <s v="Cash"/>
    <x v="1"/>
    <s v="East-Alice"/>
    <n v="176622.18"/>
    <x v="0"/>
    <n v="138044.02500000002"/>
    <n v="-38578.15499999997"/>
    <x v="0"/>
    <n v="-0.27946269315169497"/>
  </r>
  <r>
    <s v="sales_2023_H1.csv"/>
    <s v="1038"/>
    <d v="2023-03-11T00:00:00"/>
    <x v="3"/>
    <x v="1"/>
    <n v="1452.35"/>
    <n v="15"/>
    <x v="0"/>
    <n v="2543.36"/>
    <n v="2790.1"/>
    <x v="0"/>
    <n v="7.0000000000000007E-2"/>
    <s v="Cash"/>
    <x v="0"/>
    <s v="South-Bob"/>
    <n v="38150.400000000001"/>
    <x v="0"/>
    <n v="38921.894999999997"/>
    <n v="771.49499999999534"/>
    <x v="0"/>
    <n v="1.98216196821865E-2"/>
  </r>
  <r>
    <s v="sales_2023_H1.csv"/>
    <s v="1061"/>
    <d v="2023-03-13T00:00:00"/>
    <x v="3"/>
    <x v="1"/>
    <n v="6321.42"/>
    <n v="11"/>
    <x v="0"/>
    <n v="2594.71"/>
    <n v="2769.52"/>
    <x v="0"/>
    <n v="0.01"/>
    <s v="Bank Transfer"/>
    <x v="1"/>
    <s v="South-Bob"/>
    <n v="28541.81"/>
    <x v="0"/>
    <n v="30160.072800000002"/>
    <n v="1618.2628000000004"/>
    <x v="0"/>
    <n v="5.36557988679656E-2"/>
  </r>
  <r>
    <s v="sales_2023_H1.csv"/>
    <s v="1032"/>
    <d v="2023-03-13T00:00:00"/>
    <x v="4"/>
    <x v="0"/>
    <n v="5768.81"/>
    <n v="20"/>
    <x v="2"/>
    <n v="4741.59"/>
    <n v="4975.2299999999996"/>
    <x v="1"/>
    <n v="0.09"/>
    <s v="Credit Card"/>
    <x v="0"/>
    <s v="North-Alice"/>
    <n v="94831.8"/>
    <x v="0"/>
    <n v="90549.186000000002"/>
    <n v="-4282.6140000000014"/>
    <x v="0"/>
    <n v="-4.7295996675221399E-2"/>
  </r>
  <r>
    <s v="sales_2023_H1.csv"/>
    <s v="1038"/>
    <d v="2023-03-13T00:00:00"/>
    <x v="2"/>
    <x v="0"/>
    <n v="763.46"/>
    <n v="9"/>
    <x v="0"/>
    <n v="400.42"/>
    <n v="446.11"/>
    <x v="1"/>
    <n v="0.01"/>
    <s v="Bank Transfer"/>
    <x v="1"/>
    <s v="North-David"/>
    <n v="3603.78"/>
    <x v="0"/>
    <n v="3974.8401000000003"/>
    <n v="371.06010000000015"/>
    <x v="0"/>
    <n v="9.33522080548599E-2"/>
  </r>
  <r>
    <s v="sales_2023_H1.csv"/>
    <s v="1030"/>
    <d v="2023-03-13T00:00:00"/>
    <x v="4"/>
    <x v="0"/>
    <n v="9385.86"/>
    <n v="39"/>
    <x v="3"/>
    <n v="2511.2800000000002"/>
    <n v="2658.06"/>
    <x v="1"/>
    <n v="0.19"/>
    <s v="Credit Card"/>
    <x v="1"/>
    <s v="North-Alice"/>
    <n v="97939.920000000013"/>
    <x v="0"/>
    <n v="83968.11540000001"/>
    <n v="-13971.804600000003"/>
    <x v="0"/>
    <n v="-0.16639416680298599"/>
  </r>
  <r>
    <s v="sales_2023_H1.csv"/>
    <s v="1090"/>
    <d v="2023-03-14T00:00:00"/>
    <x v="2"/>
    <x v="3"/>
    <n v="6761.43"/>
    <n v="47"/>
    <x v="1"/>
    <n v="2310.8200000000002"/>
    <n v="2714.71"/>
    <x v="1"/>
    <n v="0.19"/>
    <s v="Cash"/>
    <x v="1"/>
    <s v="East-David"/>
    <n v="108608.54000000001"/>
    <x v="0"/>
    <n v="103349.00970000001"/>
    <n v="-5259.5302999999985"/>
    <x v="0"/>
    <n v="-5.0890959819230801E-2"/>
  </r>
  <r>
    <s v="sales_2023_H1.csv"/>
    <s v="1062"/>
    <d v="2023-03-14T00:00:00"/>
    <x v="4"/>
    <x v="3"/>
    <n v="4178.3900000000003"/>
    <n v="24"/>
    <x v="3"/>
    <n v="3018.01"/>
    <n v="3418.19"/>
    <x v="0"/>
    <n v="0.23"/>
    <s v="Bank Transfer"/>
    <x v="1"/>
    <s v="East-Alice"/>
    <n v="72432.240000000005"/>
    <x v="0"/>
    <n v="63168.1512"/>
    <n v="-9264.088800000005"/>
    <x v="0"/>
    <n v="-0.14665758968737999"/>
  </r>
  <r>
    <s v="sales_2023_H1.csv"/>
    <s v="1021"/>
    <d v="2023-03-14T00:00:00"/>
    <x v="2"/>
    <x v="1"/>
    <n v="7792.79"/>
    <n v="23"/>
    <x v="3"/>
    <n v="580.75"/>
    <n v="956.16"/>
    <x v="0"/>
    <n v="7.0000000000000007E-2"/>
    <s v="Cash"/>
    <x v="1"/>
    <s v="South-David"/>
    <n v="13357.25"/>
    <x v="0"/>
    <n v="20452.2624"/>
    <n v="7095.0123999999996"/>
    <x v="0"/>
    <n v="0.34690599314822002"/>
  </r>
  <r>
    <s v="sales_2023_H1.csv"/>
    <s v="1060"/>
    <d v="2023-03-15T00:00:00"/>
    <x v="2"/>
    <x v="1"/>
    <n v="8594.43"/>
    <n v="44"/>
    <x v="0"/>
    <n v="2211.9499999999998"/>
    <n v="2512.84"/>
    <x v="0"/>
    <n v="0.04"/>
    <s v="Cash"/>
    <x v="0"/>
    <s v="South-David"/>
    <n v="97325.799999999988"/>
    <x v="0"/>
    <n v="106142.3616"/>
    <n v="8816.5616000000155"/>
    <x v="0"/>
    <n v="8.3063552262247903E-2"/>
  </r>
  <r>
    <s v="sales_2023_H1.csv"/>
    <s v="1062"/>
    <d v="2023-03-16T00:00:00"/>
    <x v="2"/>
    <x v="2"/>
    <n v="4195.0600000000004"/>
    <n v="45"/>
    <x v="1"/>
    <n v="4849.6000000000004"/>
    <n v="5166.72"/>
    <x v="0"/>
    <n v="0.25"/>
    <s v="Credit Card"/>
    <x v="0"/>
    <s v="West-David"/>
    <n v="218232.00000000003"/>
    <x v="0"/>
    <n v="174376.80000000002"/>
    <n v="-43855.200000000012"/>
    <x v="0"/>
    <n v="-0.25149675874313598"/>
  </r>
  <r>
    <s v="sales_2023_H1.csv"/>
    <s v="1097"/>
    <d v="2023-03-16T00:00:00"/>
    <x v="2"/>
    <x v="1"/>
    <n v="471.95"/>
    <n v="35"/>
    <x v="3"/>
    <n v="1958.49"/>
    <n v="2254.84"/>
    <x v="1"/>
    <n v="0.16"/>
    <s v="Credit Card"/>
    <x v="0"/>
    <s v="South-David"/>
    <n v="68547.149999999994"/>
    <x v="0"/>
    <n v="66292.296000000002"/>
    <n v="-2254.8539999999921"/>
    <x v="0"/>
    <n v="-3.4013816628104002E-2"/>
  </r>
  <r>
    <s v="sales_2023_H1.csv"/>
    <s v="1039"/>
    <d v="2023-03-16T00:00:00"/>
    <x v="0"/>
    <x v="0"/>
    <n v="6076.01"/>
    <n v="35"/>
    <x v="1"/>
    <n v="2735.74"/>
    <n v="3181.23"/>
    <x v="1"/>
    <n v="0.1"/>
    <s v="Credit Card"/>
    <x v="1"/>
    <s v="North-Eve"/>
    <n v="95750.9"/>
    <x v="0"/>
    <n v="100208.74500000001"/>
    <n v="4457.8450000000157"/>
    <x v="0"/>
    <n v="4.4485588558164403E-2"/>
  </r>
  <r>
    <s v="sales_2023_H1.csv"/>
    <s v="1098"/>
    <d v="2023-03-16T00:00:00"/>
    <x v="2"/>
    <x v="1"/>
    <n v="6780.38"/>
    <n v="11"/>
    <x v="1"/>
    <n v="741.48"/>
    <n v="878.09"/>
    <x v="1"/>
    <n v="0.28999999999999998"/>
    <s v="Cash"/>
    <x v="1"/>
    <s v="South-David"/>
    <n v="8156.2800000000007"/>
    <x v="0"/>
    <n v="6857.8828999999996"/>
    <n v="-1298.397100000001"/>
    <x v="0"/>
    <n v="-0.18932914412988899"/>
  </r>
  <r>
    <s v="sales_2023_H1.csv"/>
    <s v="1024"/>
    <d v="2023-03-17T00:00:00"/>
    <x v="0"/>
    <x v="1"/>
    <n v="5825.15"/>
    <n v="46"/>
    <x v="2"/>
    <n v="2016.49"/>
    <n v="2338.66"/>
    <x v="0"/>
    <n v="0.19"/>
    <s v="Bank Transfer"/>
    <x v="1"/>
    <s v="South-Eve"/>
    <n v="92758.54"/>
    <x v="0"/>
    <n v="87138.47159999999"/>
    <n v="-5620.0684000000037"/>
    <x v="0"/>
    <n v="-6.4495834007719799E-2"/>
  </r>
  <r>
    <s v="sales_2023_H1.csv"/>
    <s v="1036"/>
    <d v="2023-03-17T00:00:00"/>
    <x v="4"/>
    <x v="3"/>
    <n v="2583.84"/>
    <n v="23"/>
    <x v="3"/>
    <n v="3335.53"/>
    <n v="3742.12"/>
    <x v="1"/>
    <n v="0.03"/>
    <s v="Bank Transfer"/>
    <x v="1"/>
    <s v="East-Alice"/>
    <n v="76717.19"/>
    <x v="0"/>
    <n v="83486.697199999995"/>
    <n v="6769.5071999999927"/>
    <x v="0"/>
    <n v="8.1084860547100401E-2"/>
  </r>
  <r>
    <s v="sales_2023_H1.csv"/>
    <s v="1017"/>
    <d v="2023-03-17T00:00:00"/>
    <x v="3"/>
    <x v="0"/>
    <n v="2401.81"/>
    <n v="28"/>
    <x v="0"/>
    <n v="3780.91"/>
    <n v="3892.73"/>
    <x v="0"/>
    <n v="0.1"/>
    <s v="Cash"/>
    <x v="1"/>
    <s v="North-Bob"/>
    <n v="105865.48"/>
    <x v="0"/>
    <n v="98096.796000000002"/>
    <n v="-7768.6839999999938"/>
    <x v="0"/>
    <n v="-7.9194064605331196E-2"/>
  </r>
  <r>
    <s v="sales_2023_H1.csv"/>
    <s v="1016"/>
    <d v="2023-03-18T00:00:00"/>
    <x v="2"/>
    <x v="1"/>
    <n v="485.9"/>
    <n v="4"/>
    <x v="3"/>
    <n v="688.98"/>
    <n v="863.81"/>
    <x v="1"/>
    <n v="0.27"/>
    <s v="Credit Card"/>
    <x v="1"/>
    <s v="South-David"/>
    <n v="2755.92"/>
    <x v="0"/>
    <n v="2522.3251999999998"/>
    <n v="-233.5948000000003"/>
    <x v="0"/>
    <n v="-9.2610897278431997E-2"/>
  </r>
  <r>
    <s v="sales_2023_H1.csv"/>
    <s v="1095"/>
    <d v="2023-03-18T00:00:00"/>
    <x v="0"/>
    <x v="1"/>
    <n v="8057.67"/>
    <n v="43"/>
    <x v="1"/>
    <n v="1331.86"/>
    <n v="1758.98"/>
    <x v="0"/>
    <n v="0.23"/>
    <s v="Bank Transfer"/>
    <x v="1"/>
    <s v="South-Eve"/>
    <n v="57269.979999999996"/>
    <x v="0"/>
    <n v="58239.827799999999"/>
    <n v="969.84780000000319"/>
    <x v="0"/>
    <n v="1.6652655693463501E-2"/>
  </r>
  <r>
    <s v="sales_2023_H1.csv"/>
    <s v="1035"/>
    <d v="2023-03-19T00:00:00"/>
    <x v="3"/>
    <x v="1"/>
    <n v="5343.63"/>
    <n v="9"/>
    <x v="0"/>
    <n v="2534.94"/>
    <n v="2755.56"/>
    <x v="0"/>
    <n v="0.13"/>
    <s v="Credit Card"/>
    <x v="1"/>
    <s v="South-Bob"/>
    <n v="22814.46"/>
    <x v="0"/>
    <n v="21576.034800000001"/>
    <n v="-1238.4251999999979"/>
    <x v="0"/>
    <n v="-5.73981832843539E-2"/>
  </r>
  <r>
    <s v="sales_2023_H1.csv"/>
    <s v="1020"/>
    <d v="2023-03-19T00:00:00"/>
    <x v="0"/>
    <x v="2"/>
    <n v="9335.9599999999991"/>
    <n v="19"/>
    <x v="3"/>
    <n v="1783.48"/>
    <n v="1931.56"/>
    <x v="0"/>
    <n v="0.27"/>
    <s v="Bank Transfer"/>
    <x v="1"/>
    <s v="West-Eve"/>
    <n v="33886.120000000003"/>
    <x v="0"/>
    <n v="26790.7372"/>
    <n v="-7095.382800000003"/>
    <x v="0"/>
    <n v="-0.264844626970549"/>
  </r>
  <r>
    <s v="sales_2023_H1.csv"/>
    <s v="1030"/>
    <d v="2023-03-19T00:00:00"/>
    <x v="2"/>
    <x v="3"/>
    <n v="1874.63"/>
    <n v="2"/>
    <x v="0"/>
    <n v="844.94"/>
    <n v="1225.6400000000001"/>
    <x v="0"/>
    <n v="0.23"/>
    <s v="Credit Card"/>
    <x v="0"/>
    <s v="East-David"/>
    <n v="1689.88"/>
    <x v="0"/>
    <n v="1887.4856000000002"/>
    <n v="197.60560000000009"/>
    <x v="0"/>
    <n v="0.10469250732297"/>
  </r>
  <r>
    <s v="sales_2023_H1.csv"/>
    <s v="1011"/>
    <d v="2023-03-20T00:00:00"/>
    <x v="3"/>
    <x v="3"/>
    <n v="3484.86"/>
    <n v="2"/>
    <x v="1"/>
    <n v="4906.17"/>
    <n v="5107.43"/>
    <x v="0"/>
    <n v="0.1"/>
    <s v="Cash"/>
    <x v="0"/>
    <s v="East-Bob"/>
    <n v="9812.34"/>
    <x v="0"/>
    <n v="9193.3740000000016"/>
    <n v="-618.96599999999853"/>
    <x v="0"/>
    <n v="-6.7327403410325601E-2"/>
  </r>
  <r>
    <s v="sales_2023_H1.csv"/>
    <s v="1026"/>
    <d v="2023-03-20T00:00:00"/>
    <x v="3"/>
    <x v="3"/>
    <n v="614.69000000000005"/>
    <n v="19"/>
    <x v="2"/>
    <n v="4991.68"/>
    <n v="5296.65"/>
    <x v="1"/>
    <n v="0.12"/>
    <s v="Bank Transfer"/>
    <x v="0"/>
    <s v="East-Bob"/>
    <n v="94841.920000000013"/>
    <x v="0"/>
    <n v="88559.987999999998"/>
    <n v="-6281.9320000000153"/>
    <x v="0"/>
    <n v="-7.0934201120262302E-2"/>
  </r>
  <r>
    <s v="sales_2023_H1.csv"/>
    <s v="1069"/>
    <d v="2023-03-21T00:00:00"/>
    <x v="3"/>
    <x v="3"/>
    <n v="9369.18"/>
    <n v="29"/>
    <x v="1"/>
    <n v="2462.66"/>
    <n v="2908.09"/>
    <x v="1"/>
    <n v="0.12"/>
    <s v="Credit Card"/>
    <x v="0"/>
    <s v="East-Bob"/>
    <n v="71417.14"/>
    <x v="0"/>
    <n v="74214.4568"/>
    <n v="2797.3168000000005"/>
    <x v="0"/>
    <n v="3.7692343521942999E-2"/>
  </r>
  <r>
    <s v="sales_2023_H1.csv"/>
    <s v="1084"/>
    <d v="2023-03-21T00:00:00"/>
    <x v="0"/>
    <x v="1"/>
    <n v="3617.67"/>
    <n v="40"/>
    <x v="3"/>
    <n v="2890.95"/>
    <n v="3104.43"/>
    <x v="1"/>
    <n v="0.21"/>
    <s v="Bank Transfer"/>
    <x v="0"/>
    <s v="South-Eve"/>
    <n v="115638"/>
    <x v="0"/>
    <n v="98099.987999999998"/>
    <n v="-17538.012000000002"/>
    <x v="0"/>
    <n v="-0.17877690260267901"/>
  </r>
  <r>
    <s v="sales_2023_H1.csv"/>
    <s v="1097"/>
    <d v="2023-03-22T00:00:00"/>
    <x v="0"/>
    <x v="0"/>
    <n v="6747.64"/>
    <n v="6"/>
    <x v="2"/>
    <n v="4885.9799999999996"/>
    <n v="4949.95"/>
    <x v="0"/>
    <n v="0.17"/>
    <s v="Bank Transfer"/>
    <x v="0"/>
    <s v="North-Eve"/>
    <n v="29315.879999999997"/>
    <x v="0"/>
    <n v="24650.750999999997"/>
    <n v="-4665.1290000000008"/>
    <x v="0"/>
    <n v="-0.18924896040692599"/>
  </r>
  <r>
    <s v="sales_2023_H1.csv"/>
    <s v="1076"/>
    <d v="2023-03-22T00:00:00"/>
    <x v="1"/>
    <x v="1"/>
    <n v="316.94"/>
    <n v="23"/>
    <x v="3"/>
    <n v="2759.16"/>
    <n v="2864.45"/>
    <x v="0"/>
    <n v="0.18"/>
    <s v="Credit Card"/>
    <x v="1"/>
    <s v="South-Charlie"/>
    <n v="63460.679999999993"/>
    <x v="0"/>
    <n v="54023.526999999995"/>
    <n v="-9437.1529999999984"/>
    <x v="0"/>
    <n v="-0.174685984497088"/>
  </r>
  <r>
    <s v="sales_2023_H1.csv"/>
    <s v="1061"/>
    <d v="2023-03-22T00:00:00"/>
    <x v="4"/>
    <x v="3"/>
    <n v="8915.0499999999993"/>
    <n v="34"/>
    <x v="0"/>
    <n v="2680.82"/>
    <n v="2771.02"/>
    <x v="1"/>
    <n v="0.2"/>
    <s v="Bank Transfer"/>
    <x v="0"/>
    <s v="East-Alice"/>
    <n v="91147.88"/>
    <x v="0"/>
    <n v="75371.743999999992"/>
    <n v="-15776.136000000013"/>
    <x v="0"/>
    <n v="-0.20931101182957901"/>
  </r>
  <r>
    <s v="sales_2023_H1.csv"/>
    <s v="1035"/>
    <d v="2023-03-23T00:00:00"/>
    <x v="2"/>
    <x v="3"/>
    <n v="613.16999999999996"/>
    <n v="30"/>
    <x v="0"/>
    <n v="1300.03"/>
    <n v="1745.52"/>
    <x v="1"/>
    <n v="0.09"/>
    <s v="Cash"/>
    <x v="1"/>
    <s v="East-David"/>
    <n v="39000.9"/>
    <x v="0"/>
    <n v="47652.696000000004"/>
    <n v="8651.7960000000021"/>
    <x v="0"/>
    <n v="0.181559423206611"/>
  </r>
  <r>
    <s v="sales_2023_H1.csv"/>
    <s v="1092"/>
    <d v="2023-03-23T00:00:00"/>
    <x v="3"/>
    <x v="1"/>
    <n v="7914"/>
    <n v="18"/>
    <x v="3"/>
    <n v="3070.47"/>
    <n v="3475.29"/>
    <x v="0"/>
    <n v="0.2"/>
    <s v="Bank Transfer"/>
    <x v="0"/>
    <s v="South-Bob"/>
    <n v="55268.46"/>
    <x v="0"/>
    <n v="50044.176000000007"/>
    <n v="-5224.2839999999924"/>
    <x v="0"/>
    <n v="-0.104393446302323"/>
  </r>
  <r>
    <s v="sales_2023_H1.csv"/>
    <s v="1031"/>
    <d v="2023-03-23T00:00:00"/>
    <x v="0"/>
    <x v="3"/>
    <n v="433.4"/>
    <n v="32"/>
    <x v="0"/>
    <n v="3351.33"/>
    <n v="3711.47"/>
    <x v="1"/>
    <n v="0.16"/>
    <s v="Cash"/>
    <x v="1"/>
    <s v="East-Eve"/>
    <n v="107242.56"/>
    <x v="0"/>
    <n v="99764.313599999994"/>
    <n v="-7478.2464000000036"/>
    <x v="0"/>
    <n v="-7.4959132480815302E-2"/>
  </r>
  <r>
    <s v="sales_2023_H1.csv"/>
    <s v="1078"/>
    <d v="2023-03-23T00:00:00"/>
    <x v="0"/>
    <x v="2"/>
    <n v="3808.03"/>
    <n v="33"/>
    <x v="0"/>
    <n v="2396.6799999999998"/>
    <n v="2661.54"/>
    <x v="1"/>
    <n v="0.18"/>
    <s v="Bank Transfer"/>
    <x v="0"/>
    <s v="West-Eve"/>
    <n v="79090.439999999988"/>
    <x v="0"/>
    <n v="72021.272400000002"/>
    <n v="-7069.1675999999861"/>
    <x v="0"/>
    <n v="-9.8153883768373806E-2"/>
  </r>
  <r>
    <s v="sales_2023_H1.csv"/>
    <s v="1061"/>
    <d v="2023-03-24T00:00:00"/>
    <x v="1"/>
    <x v="3"/>
    <n v="3750.2"/>
    <n v="13"/>
    <x v="2"/>
    <n v="637.37"/>
    <n v="692.71"/>
    <x v="1"/>
    <n v="0.08"/>
    <s v="Credit Card"/>
    <x v="0"/>
    <s v="East-Charlie"/>
    <n v="8285.81"/>
    <x v="0"/>
    <n v="8284.8115999999991"/>
    <n v="-0.99840000000040163"/>
    <x v="0"/>
    <n v="-1.2050968063056501E-4"/>
  </r>
  <r>
    <s v="sales_2023_H1.csv"/>
    <s v="1074"/>
    <d v="2023-03-25T00:00:00"/>
    <x v="0"/>
    <x v="2"/>
    <n v="7499.7"/>
    <n v="38"/>
    <x v="3"/>
    <n v="2610.6"/>
    <n v="2836.94"/>
    <x v="0"/>
    <n v="0.19"/>
    <s v="Credit Card"/>
    <x v="0"/>
    <s v="West-Eve"/>
    <n v="99202.8"/>
    <x v="0"/>
    <n v="87321.013200000001"/>
    <n v="-11881.786800000002"/>
    <x v="0"/>
    <n v="-0.13607018934590201"/>
  </r>
  <r>
    <s v="sales_2023_H1.csv"/>
    <s v="1092"/>
    <d v="2023-03-25T00:00:00"/>
    <x v="4"/>
    <x v="2"/>
    <n v="1897.98"/>
    <n v="49"/>
    <x v="1"/>
    <n v="2315"/>
    <n v="2467.2800000000002"/>
    <x v="1"/>
    <n v="0.15"/>
    <s v="Bank Transfer"/>
    <x v="1"/>
    <s v="West-Alice"/>
    <n v="113435"/>
    <x v="0"/>
    <n v="102762.21200000001"/>
    <n v="-10672.787999999986"/>
    <x v="0"/>
    <n v="-0.103859072243404"/>
  </r>
  <r>
    <s v="sales_2023_H1.csv"/>
    <s v="1055"/>
    <d v="2023-03-25T00:00:00"/>
    <x v="2"/>
    <x v="3"/>
    <n v="1756.83"/>
    <n v="11"/>
    <x v="2"/>
    <n v="2495.1999999999998"/>
    <n v="2600.9299999999998"/>
    <x v="1"/>
    <n v="0.21"/>
    <s v="Bank Transfer"/>
    <x v="1"/>
    <s v="East-David"/>
    <n v="27447.199999999997"/>
    <x v="0"/>
    <n v="22602.081700000002"/>
    <n v="-4845.1182999999946"/>
    <x v="0"/>
    <n v="-0.214366020099821"/>
  </r>
  <r>
    <s v="sales_2023_H1.csv"/>
    <s v="1053"/>
    <d v="2023-03-25T00:00:00"/>
    <x v="3"/>
    <x v="3"/>
    <n v="7080.88"/>
    <n v="1"/>
    <x v="0"/>
    <n v="1702.82"/>
    <n v="1862.61"/>
    <x v="0"/>
    <n v="0.24"/>
    <s v="Cash"/>
    <x v="1"/>
    <s v="East-Bob"/>
    <n v="1702.82"/>
    <x v="0"/>
    <n v="1415.5835999999999"/>
    <n v="-287.2364"/>
    <x v="0"/>
    <n v="-0.20291023433727301"/>
  </r>
  <r>
    <s v="sales_2023_H1.csv"/>
    <s v="1005"/>
    <d v="2023-03-25T00:00:00"/>
    <x v="3"/>
    <x v="2"/>
    <n v="7442.25"/>
    <n v="14"/>
    <x v="0"/>
    <n v="1861.2"/>
    <n v="2075.35"/>
    <x v="0"/>
    <n v="0.1"/>
    <s v="Credit Card"/>
    <x v="1"/>
    <s v="West-Bob"/>
    <n v="26056.799999999999"/>
    <x v="0"/>
    <n v="26149.41"/>
    <n v="92.610000000000582"/>
    <x v="0"/>
    <n v="3.5415713012263198E-3"/>
  </r>
  <r>
    <s v="sales_2023_H1.csv"/>
    <s v="1049"/>
    <d v="2023-03-25T00:00:00"/>
    <x v="0"/>
    <x v="3"/>
    <n v="8611.9699999999993"/>
    <n v="17"/>
    <x v="2"/>
    <n v="558.70000000000005"/>
    <n v="1004.08"/>
    <x v="0"/>
    <n v="0.03"/>
    <s v="Credit Card"/>
    <x v="0"/>
    <s v="East-Eve"/>
    <n v="9497.9000000000015"/>
    <x v="0"/>
    <n v="16557.279200000001"/>
    <n v="7059.3791999999994"/>
    <x v="0"/>
    <n v="0.42636106540982899"/>
  </r>
  <r>
    <s v="sales_2023_H1.csv"/>
    <s v="1097"/>
    <d v="2023-03-26T00:00:00"/>
    <x v="2"/>
    <x v="3"/>
    <n v="6286.25"/>
    <n v="7"/>
    <x v="0"/>
    <n v="1896.35"/>
    <n v="2394.1999999999998"/>
    <x v="1"/>
    <n v="0.22"/>
    <s v="Bank Transfer"/>
    <x v="0"/>
    <s v="East-David"/>
    <n v="13274.449999999999"/>
    <x v="0"/>
    <n v="13072.331999999999"/>
    <n v="-202.11800000000039"/>
    <x v="0"/>
    <n v="-1.5461510616468501E-2"/>
  </r>
  <r>
    <s v="sales_2023_H1.csv"/>
    <s v="1096"/>
    <d v="2023-03-27T00:00:00"/>
    <x v="4"/>
    <x v="0"/>
    <n v="4821.3100000000004"/>
    <n v="48"/>
    <x v="0"/>
    <n v="2449.21"/>
    <n v="2714.12"/>
    <x v="1"/>
    <n v="0.01"/>
    <s v="Credit Card"/>
    <x v="0"/>
    <s v="North-Alice"/>
    <n v="117562.08"/>
    <x v="0"/>
    <n v="128974.98239999999"/>
    <n v="11412.902399999992"/>
    <x v="0"/>
    <n v="8.8489272784735007E-2"/>
  </r>
  <r>
    <s v="sales_2023_H1.csv"/>
    <s v="1010"/>
    <d v="2023-03-27T00:00:00"/>
    <x v="0"/>
    <x v="1"/>
    <n v="8159.84"/>
    <n v="37"/>
    <x v="0"/>
    <n v="4354.92"/>
    <n v="4495.88"/>
    <x v="0"/>
    <n v="0.01"/>
    <s v="Bank Transfer"/>
    <x v="0"/>
    <s v="South-Eve"/>
    <n v="161132.04"/>
    <x v="0"/>
    <n v="164684.08439999999"/>
    <n v="3552.0443999999843"/>
    <x v="0"/>
    <n v="2.1568838378895502E-2"/>
  </r>
  <r>
    <s v="sales_2023_H1.csv"/>
    <s v="1069"/>
    <d v="2023-03-27T00:00:00"/>
    <x v="2"/>
    <x v="3"/>
    <n v="719.39"/>
    <n v="47"/>
    <x v="2"/>
    <n v="4171.83"/>
    <n v="4320.93"/>
    <x v="1"/>
    <n v="7.0000000000000007E-2"/>
    <s v="Cash"/>
    <x v="0"/>
    <s v="East-David"/>
    <n v="196076.01"/>
    <x v="0"/>
    <n v="188867.85030000002"/>
    <n v="-7208.1596999999892"/>
    <x v="0"/>
    <n v="-3.8165096328202301E-2"/>
  </r>
  <r>
    <s v="sales_2023_H1.csv"/>
    <s v="1066"/>
    <d v="2023-03-28T00:00:00"/>
    <x v="1"/>
    <x v="0"/>
    <n v="7297.86"/>
    <n v="7"/>
    <x v="0"/>
    <n v="523.41999999999996"/>
    <n v="632.44000000000005"/>
    <x v="1"/>
    <n v="0.2"/>
    <s v="Bank Transfer"/>
    <x v="0"/>
    <s v="North-Charlie"/>
    <n v="3663.9399999999996"/>
    <x v="0"/>
    <n v="3541.6640000000002"/>
    <n v="-122.27599999999939"/>
    <x v="0"/>
    <n v="-3.4525014230598797E-2"/>
  </r>
  <r>
    <s v="sales_2023_H1.csv"/>
    <s v="1045"/>
    <d v="2023-03-28T00:00:00"/>
    <x v="0"/>
    <x v="2"/>
    <n v="6792.66"/>
    <n v="14"/>
    <x v="0"/>
    <n v="635.28"/>
    <n v="831.13"/>
    <x v="0"/>
    <n v="0.17"/>
    <s v="Bank Transfer"/>
    <x v="1"/>
    <s v="West-Eve"/>
    <n v="8893.92"/>
    <x v="0"/>
    <n v="9657.730599999999"/>
    <n v="763.81059999999889"/>
    <x v="0"/>
    <n v="7.9088000238896602E-2"/>
  </r>
  <r>
    <s v="sales_2023_H1.csv"/>
    <s v="1063"/>
    <d v="2023-03-28T00:00:00"/>
    <x v="1"/>
    <x v="1"/>
    <n v="4947.28"/>
    <n v="42"/>
    <x v="3"/>
    <n v="1170.07"/>
    <n v="1669.95"/>
    <x v="0"/>
    <n v="0.12"/>
    <s v="Bank Transfer"/>
    <x v="1"/>
    <s v="South-Charlie"/>
    <n v="49142.939999999995"/>
    <x v="0"/>
    <n v="61721.352000000006"/>
    <n v="12578.412000000011"/>
    <x v="0"/>
    <n v="0.203793526752298"/>
  </r>
  <r>
    <s v="sales_2023_H1.csv"/>
    <s v="1022"/>
    <d v="2023-03-29T00:00:00"/>
    <x v="3"/>
    <x v="2"/>
    <n v="8640.14"/>
    <n v="45"/>
    <x v="1"/>
    <n v="4020.09"/>
    <n v="4087.91"/>
    <x v="0"/>
    <n v="0.06"/>
    <s v="Bank Transfer"/>
    <x v="0"/>
    <s v="West-Bob"/>
    <n v="180904.05000000002"/>
    <x v="0"/>
    <n v="172918.59299999996"/>
    <n v="-7985.4570000000531"/>
    <x v="0"/>
    <n v="-4.6180441683330499E-2"/>
  </r>
  <r>
    <s v="sales_2023_H1.csv"/>
    <s v="1010"/>
    <d v="2023-03-29T00:00:00"/>
    <x v="4"/>
    <x v="1"/>
    <n v="3329.91"/>
    <n v="49"/>
    <x v="3"/>
    <n v="1150.3"/>
    <n v="1306.02"/>
    <x v="1"/>
    <n v="0.06"/>
    <s v="Credit Card"/>
    <x v="1"/>
    <s v="South-Alice"/>
    <n v="56364.7"/>
    <x v="0"/>
    <n v="60155.28119999999"/>
    <n v="3790.5811999999933"/>
    <x v="0"/>
    <n v="6.3013273720678595E-2"/>
  </r>
  <r>
    <s v="sales_2023_H1.csv"/>
    <s v="1005"/>
    <d v="2023-03-30T00:00:00"/>
    <x v="4"/>
    <x v="3"/>
    <n v="6828.24"/>
    <n v="12"/>
    <x v="2"/>
    <n v="319.83"/>
    <n v="802.43"/>
    <x v="1"/>
    <n v="0.04"/>
    <s v="Credit Card"/>
    <x v="1"/>
    <s v="East-Alice"/>
    <n v="3837.96"/>
    <x v="0"/>
    <n v="9243.9935999999998"/>
    <n v="5406.0335999999998"/>
    <x v="0"/>
    <n v="0.58481580947870804"/>
  </r>
  <r>
    <s v="sales_2023_H1.csv"/>
    <s v="1007"/>
    <d v="2023-03-30T00:00:00"/>
    <x v="2"/>
    <x v="3"/>
    <n v="8088.96"/>
    <n v="14"/>
    <x v="1"/>
    <n v="1122.07"/>
    <n v="1608.76"/>
    <x v="1"/>
    <n v="0.22"/>
    <s v="Cash"/>
    <x v="1"/>
    <s v="East-David"/>
    <n v="15708.98"/>
    <x v="0"/>
    <n v="17567.659200000002"/>
    <n v="1858.6792000000023"/>
    <x v="0"/>
    <n v="0.105801187217931"/>
  </r>
  <r>
    <s v="sales_2023_H1.csv"/>
    <s v="1085"/>
    <d v="2023-03-30T00:00:00"/>
    <x v="2"/>
    <x v="2"/>
    <n v="9278.4"/>
    <n v="45"/>
    <x v="0"/>
    <n v="4763.1099999999997"/>
    <n v="5119.91"/>
    <x v="0"/>
    <n v="0.28999999999999998"/>
    <s v="Cash"/>
    <x v="1"/>
    <s v="West-David"/>
    <n v="214339.94999999998"/>
    <x v="0"/>
    <n v="163581.12449999998"/>
    <n v="-50758.825500000006"/>
    <x v="0"/>
    <n v="-0.31029757042659301"/>
  </r>
  <r>
    <s v="sales_2023_H1.csv"/>
    <s v="1009"/>
    <d v="2023-03-30T00:00:00"/>
    <x v="1"/>
    <x v="1"/>
    <n v="2279.1"/>
    <n v="10"/>
    <x v="0"/>
    <n v="4364.3500000000004"/>
    <n v="4710.1000000000004"/>
    <x v="1"/>
    <n v="7.0000000000000007E-2"/>
    <s v="Credit Card"/>
    <x v="0"/>
    <s v="South-Charlie"/>
    <n v="43643.5"/>
    <x v="0"/>
    <n v="43803.93"/>
    <n v="160.43000000000029"/>
    <x v="0"/>
    <n v="3.66245677043134E-3"/>
  </r>
  <r>
    <s v="sales_2023_H1.csv"/>
    <s v="1047"/>
    <d v="2023-03-31T00:00:00"/>
    <x v="4"/>
    <x v="3"/>
    <n v="3546.15"/>
    <n v="37"/>
    <x v="2"/>
    <n v="3114.88"/>
    <n v="3256.78"/>
    <x v="0"/>
    <n v="0.26"/>
    <s v="Credit Card"/>
    <x v="0"/>
    <s v="East-Alice"/>
    <n v="115250.56"/>
    <x v="0"/>
    <n v="89170.636400000003"/>
    <n v="-26079.923599999995"/>
    <x v="0"/>
    <n v="-0.29247210351859698"/>
  </r>
  <r>
    <s v="sales_2023_H1.csv"/>
    <s v="1016"/>
    <d v="2023-03-31T00:00:00"/>
    <x v="0"/>
    <x v="3"/>
    <n v="4309.76"/>
    <n v="38"/>
    <x v="2"/>
    <n v="3883.38"/>
    <n v="4152.72"/>
    <x v="0"/>
    <n v="0.26"/>
    <s v="Cash"/>
    <x v="0"/>
    <s v="East-Eve"/>
    <n v="147568.44"/>
    <x v="0"/>
    <n v="116774.48640000001"/>
    <n v="-30793.953599999993"/>
    <x v="0"/>
    <n v="-0.263704466183805"/>
  </r>
  <r>
    <s v="sales_2023_H1.csv"/>
    <s v="1004"/>
    <d v="2023-03-31T00:00:00"/>
    <x v="1"/>
    <x v="3"/>
    <n v="6744.46"/>
    <n v="12"/>
    <x v="0"/>
    <n v="4553.2299999999996"/>
    <n v="5038.74"/>
    <x v="1"/>
    <n v="0.09"/>
    <s v="Credit Card"/>
    <x v="1"/>
    <s v="East-Charlie"/>
    <n v="54638.759999999995"/>
    <x v="0"/>
    <n v="55023.040800000002"/>
    <n v="384.28080000000773"/>
    <x v="0"/>
    <n v="6.9839978745778004E-3"/>
  </r>
  <r>
    <s v="sales_2023_H1.csv"/>
    <s v="1025"/>
    <d v="2023-03-31T00:00:00"/>
    <x v="2"/>
    <x v="2"/>
    <n v="4929.5600000000004"/>
    <n v="4"/>
    <x v="1"/>
    <n v="2751.06"/>
    <n v="2976.01"/>
    <x v="0"/>
    <n v="0.28000000000000003"/>
    <s v="Credit Card"/>
    <x v="0"/>
    <s v="West-David"/>
    <n v="11004.24"/>
    <x v="0"/>
    <n v="8570.9088000000011"/>
    <n v="-2433.3311999999987"/>
    <x v="0"/>
    <n v="-0.28390585605111102"/>
  </r>
  <r>
    <s v="sales_2023_H1.csv"/>
    <s v="1059"/>
    <d v="2023-04-02T00:00:00"/>
    <x v="0"/>
    <x v="2"/>
    <n v="3595.2"/>
    <n v="12"/>
    <x v="3"/>
    <n v="3496.15"/>
    <n v="3955.75"/>
    <x v="0"/>
    <n v="0.28000000000000003"/>
    <s v="Cash"/>
    <x v="1"/>
    <s v="West-Eve"/>
    <n v="41953.8"/>
    <x v="0"/>
    <n v="34177.68"/>
    <n v="-7776.1200000000026"/>
    <x v="1"/>
    <n v="-0.22752041683344201"/>
  </r>
  <r>
    <s v="sales_2023_H1.csv"/>
    <s v="1048"/>
    <d v="2023-04-02T00:00:00"/>
    <x v="2"/>
    <x v="1"/>
    <n v="9673.65"/>
    <n v="45"/>
    <x v="2"/>
    <n v="4262.21"/>
    <n v="4533.3100000000004"/>
    <x v="0"/>
    <n v="0.27"/>
    <s v="Credit Card"/>
    <x v="0"/>
    <s v="South-David"/>
    <n v="191799.45"/>
    <x v="0"/>
    <n v="148919.2335"/>
    <n v="-42880.21650000001"/>
    <x v="1"/>
    <n v="-0.28794276932670398"/>
  </r>
  <r>
    <s v="sales_2023_H1.csv"/>
    <s v="1062"/>
    <d v="2023-04-02T00:00:00"/>
    <x v="3"/>
    <x v="3"/>
    <n v="6991.95"/>
    <n v="10"/>
    <x v="0"/>
    <n v="1524.88"/>
    <n v="1636.14"/>
    <x v="1"/>
    <n v="0.2"/>
    <s v="Bank Transfer"/>
    <x v="0"/>
    <s v="East-Bob"/>
    <n v="15248.800000000001"/>
    <x v="0"/>
    <n v="13089.120000000003"/>
    <n v="-2159.6799999999985"/>
    <x v="1"/>
    <n v="-0.16499810529661299"/>
  </r>
  <r>
    <s v="sales_2023_H1.csv"/>
    <s v="1005"/>
    <d v="2023-04-02T00:00:00"/>
    <x v="2"/>
    <x v="1"/>
    <n v="1646.45"/>
    <n v="46"/>
    <x v="1"/>
    <n v="4691.42"/>
    <n v="5026.1899999999996"/>
    <x v="0"/>
    <n v="0.22"/>
    <s v="Bank Transfer"/>
    <x v="1"/>
    <s v="South-David"/>
    <n v="215805.32"/>
    <x v="0"/>
    <n v="180339.6972"/>
    <n v="-35465.622800000012"/>
    <x v="1"/>
    <n v="-0.19666009952688299"/>
  </r>
  <r>
    <s v="sales_2023_H1.csv"/>
    <s v="1034"/>
    <d v="2023-04-02T00:00:00"/>
    <x v="1"/>
    <x v="2"/>
    <n v="2184.02"/>
    <n v="7"/>
    <x v="2"/>
    <n v="2492.36"/>
    <n v="2738.68"/>
    <x v="0"/>
    <n v="0.11"/>
    <s v="Cash"/>
    <x v="0"/>
    <s v="West-Charlie"/>
    <n v="17446.52"/>
    <x v="0"/>
    <n v="17061.9764"/>
    <n v="-384.54360000000088"/>
    <x v="1"/>
    <n v="-2.2538045475200701E-2"/>
  </r>
  <r>
    <s v="sales_2023_H1.csv"/>
    <s v="1095"/>
    <d v="2023-04-03T00:00:00"/>
    <x v="1"/>
    <x v="3"/>
    <n v="5873.59"/>
    <n v="9"/>
    <x v="3"/>
    <n v="2650.95"/>
    <n v="2860.42"/>
    <x v="1"/>
    <n v="0.12"/>
    <s v="Cash"/>
    <x v="1"/>
    <s v="East-Charlie"/>
    <n v="23858.55"/>
    <x v="0"/>
    <n v="22654.526399999999"/>
    <n v="-1204.0236000000004"/>
    <x v="1"/>
    <n v="-5.3147153850896703E-2"/>
  </r>
  <r>
    <s v="sales_2023_H1.csv"/>
    <s v="1099"/>
    <d v="2023-04-03T00:00:00"/>
    <x v="4"/>
    <x v="0"/>
    <n v="2571.7199999999998"/>
    <n v="30"/>
    <x v="1"/>
    <n v="4495.82"/>
    <n v="4794.01"/>
    <x v="1"/>
    <n v="0.18"/>
    <s v="Bank Transfer"/>
    <x v="1"/>
    <s v="North-Alice"/>
    <n v="134874.59999999998"/>
    <x v="0"/>
    <n v="117932.64600000002"/>
    <n v="-16941.953999999954"/>
    <x v="1"/>
    <n v="-0.14365788078730901"/>
  </r>
  <r>
    <s v="sales_2023_H1.csv"/>
    <s v="1051"/>
    <d v="2023-04-04T00:00:00"/>
    <x v="3"/>
    <x v="3"/>
    <n v="198.25"/>
    <n v="12"/>
    <x v="2"/>
    <n v="3544.48"/>
    <n v="3723.66"/>
    <x v="0"/>
    <n v="0.19"/>
    <s v="Cash"/>
    <x v="0"/>
    <s v="East-Bob"/>
    <n v="42533.760000000002"/>
    <x v="0"/>
    <n v="36193.975200000001"/>
    <n v="-6339.7848000000013"/>
    <x v="1"/>
    <n v="-0.17516132906009199"/>
  </r>
  <r>
    <s v="sales_2023_H1.csv"/>
    <s v="1078"/>
    <d v="2023-04-04T00:00:00"/>
    <x v="2"/>
    <x v="3"/>
    <n v="9631.41"/>
    <n v="49"/>
    <x v="1"/>
    <n v="1833.95"/>
    <n v="2147.14"/>
    <x v="0"/>
    <n v="0.18"/>
    <s v="Credit Card"/>
    <x v="1"/>
    <s v="East-David"/>
    <n v="89863.55"/>
    <x v="0"/>
    <n v="86272.085200000001"/>
    <n v="-3591.4648000000016"/>
    <x v="1"/>
    <n v="-4.1629511929311802E-2"/>
  </r>
  <r>
    <s v="sales_2023_H1.csv"/>
    <s v="1058"/>
    <d v="2023-04-05T00:00:00"/>
    <x v="4"/>
    <x v="0"/>
    <n v="2072.23"/>
    <n v="33"/>
    <x v="1"/>
    <n v="1011.65"/>
    <n v="1084.28"/>
    <x v="0"/>
    <n v="7.0000000000000007E-2"/>
    <s v="Bank Transfer"/>
    <x v="1"/>
    <s v="North-Alice"/>
    <n v="33384.449999999997"/>
    <x v="0"/>
    <n v="33276.553199999995"/>
    <n v="-107.89680000000226"/>
    <x v="1"/>
    <n v="-3.2424271633999099E-3"/>
  </r>
  <r>
    <s v="sales_2023_H1.csv"/>
    <s v="1087"/>
    <d v="2023-04-05T00:00:00"/>
    <x v="0"/>
    <x v="3"/>
    <n v="848.49"/>
    <n v="43"/>
    <x v="1"/>
    <n v="481"/>
    <n v="531.02"/>
    <x v="1"/>
    <n v="0.17"/>
    <s v="Cash"/>
    <x v="0"/>
    <s v="East-Eve"/>
    <n v="20683"/>
    <x v="0"/>
    <n v="18952.103800000001"/>
    <n v="-1730.8961999999992"/>
    <x v="1"/>
    <n v="-9.1330029545321503E-2"/>
  </r>
  <r>
    <s v="sales_2023_H1.csv"/>
    <s v="1062"/>
    <d v="2023-04-05T00:00:00"/>
    <x v="3"/>
    <x v="0"/>
    <n v="2959.96"/>
    <n v="48"/>
    <x v="3"/>
    <n v="2487.19"/>
    <n v="2521.4499999999998"/>
    <x v="1"/>
    <n v="0.28999999999999998"/>
    <s v="Cash"/>
    <x v="0"/>
    <s v="North-Bob"/>
    <n v="119385.12"/>
    <x v="0"/>
    <n v="85931.015999999989"/>
    <n v="-33454.104000000007"/>
    <x v="1"/>
    <n v="-0.38931349304656199"/>
  </r>
  <r>
    <s v="sales_2023_H1.csv"/>
    <s v="1052"/>
    <d v="2023-04-05T00:00:00"/>
    <x v="1"/>
    <x v="1"/>
    <n v="4744.16"/>
    <n v="26"/>
    <x v="0"/>
    <n v="4771.99"/>
    <n v="5079.6499999999996"/>
    <x v="1"/>
    <n v="0.28999999999999998"/>
    <s v="Credit Card"/>
    <x v="0"/>
    <s v="South-Charlie"/>
    <n v="124071.73999999999"/>
    <x v="0"/>
    <n v="93770.338999999993"/>
    <n v="-30301.400999999998"/>
    <x v="1"/>
    <n v="-0.32314483794283799"/>
  </r>
  <r>
    <s v="sales_2023_H1.csv"/>
    <s v="1086"/>
    <d v="2023-04-06T00:00:00"/>
    <x v="1"/>
    <x v="2"/>
    <n v="7212.69"/>
    <n v="32"/>
    <x v="2"/>
    <n v="3743.59"/>
    <n v="4116.38"/>
    <x v="0"/>
    <n v="0.11"/>
    <s v="Cash"/>
    <x v="0"/>
    <s v="West-Charlie"/>
    <n v="119794.88"/>
    <x v="0"/>
    <n v="117234.50240000001"/>
    <n v="-2560.3775999999925"/>
    <x v="1"/>
    <n v="-2.1839795858595201E-2"/>
  </r>
  <r>
    <s v="sales_2023_H1.csv"/>
    <s v="1026"/>
    <d v="2023-04-06T00:00:00"/>
    <x v="3"/>
    <x v="1"/>
    <n v="927.19"/>
    <n v="4"/>
    <x v="2"/>
    <n v="3993.39"/>
    <n v="4288.3"/>
    <x v="1"/>
    <n v="0.13"/>
    <s v="Credit Card"/>
    <x v="0"/>
    <s v="South-Bob"/>
    <n v="15973.56"/>
    <x v="0"/>
    <n v="14923.284"/>
    <n v="-1050.2759999999998"/>
    <x v="1"/>
    <n v="-7.0378342997425999E-2"/>
  </r>
  <r>
    <s v="sales_2023_H1.csv"/>
    <s v="1068"/>
    <d v="2023-04-06T00:00:00"/>
    <x v="4"/>
    <x v="1"/>
    <n v="9093.5"/>
    <n v="31"/>
    <x v="0"/>
    <n v="3169.37"/>
    <n v="3304.15"/>
    <x v="0"/>
    <n v="0.25"/>
    <s v="Credit Card"/>
    <x v="1"/>
    <s v="South-Alice"/>
    <n v="98250.47"/>
    <x v="0"/>
    <n v="76821.487500000003"/>
    <n v="-21428.982499999998"/>
    <x v="1"/>
    <n v="-0.27894516491886501"/>
  </r>
  <r>
    <s v="sales_2023_H1.csv"/>
    <s v="1051"/>
    <d v="2023-04-07T00:00:00"/>
    <x v="4"/>
    <x v="2"/>
    <n v="5262.45"/>
    <n v="23"/>
    <x v="2"/>
    <n v="3325.43"/>
    <n v="3401.1"/>
    <x v="1"/>
    <n v="0.1"/>
    <s v="Cash"/>
    <x v="0"/>
    <s v="West-Alice"/>
    <n v="76484.89"/>
    <x v="0"/>
    <n v="70402.77"/>
    <n v="-6082.1199999999953"/>
    <x v="1"/>
    <n v="-8.6390350834207194E-2"/>
  </r>
  <r>
    <s v="sales_2023_H1.csv"/>
    <s v="1033"/>
    <d v="2023-04-07T00:00:00"/>
    <x v="3"/>
    <x v="3"/>
    <n v="5509.66"/>
    <n v="4"/>
    <x v="3"/>
    <n v="2000.75"/>
    <n v="2426.9899999999998"/>
    <x v="0"/>
    <n v="0.17"/>
    <s v="Bank Transfer"/>
    <x v="0"/>
    <s v="East-Bob"/>
    <n v="8003"/>
    <x v="0"/>
    <n v="8057.6067999999987"/>
    <n v="54.606799999998657"/>
    <x v="1"/>
    <n v="6.7770494832285304E-3"/>
  </r>
  <r>
    <s v="sales_2023_H1.csv"/>
    <s v="1009"/>
    <d v="2023-04-08T00:00:00"/>
    <x v="1"/>
    <x v="1"/>
    <n v="2945.87"/>
    <n v="32"/>
    <x v="0"/>
    <n v="3219.88"/>
    <n v="3384.5"/>
    <x v="0"/>
    <n v="0.14000000000000001"/>
    <s v="Cash"/>
    <x v="1"/>
    <s v="South-Charlie"/>
    <n v="103036.16"/>
    <x v="0"/>
    <n v="93141.440000000002"/>
    <n v="-9894.7200000000012"/>
    <x v="1"/>
    <n v="-0.10623327275163499"/>
  </r>
  <r>
    <s v="sales_2023_H1.csv"/>
    <s v="1098"/>
    <d v="2023-04-08T00:00:00"/>
    <x v="0"/>
    <x v="0"/>
    <n v="9452.89"/>
    <n v="5"/>
    <x v="2"/>
    <n v="2947.22"/>
    <n v="3145.27"/>
    <x v="1"/>
    <n v="0.1"/>
    <s v="Credit Card"/>
    <x v="1"/>
    <s v="North-Eve"/>
    <n v="14736.099999999999"/>
    <x v="0"/>
    <n v="14153.715"/>
    <n v="-582.3849999999984"/>
    <x v="1"/>
    <n v="-4.1147147586340298E-2"/>
  </r>
  <r>
    <s v="sales_2023_H1.csv"/>
    <s v="1096"/>
    <d v="2023-04-08T00:00:00"/>
    <x v="1"/>
    <x v="1"/>
    <n v="5935.59"/>
    <n v="45"/>
    <x v="0"/>
    <n v="357.92"/>
    <n v="461.3"/>
    <x v="0"/>
    <n v="0.28000000000000003"/>
    <s v="Cash"/>
    <x v="0"/>
    <s v="South-Charlie"/>
    <n v="16106.400000000001"/>
    <x v="0"/>
    <n v="14946.119999999999"/>
    <n v="-1160.2800000000025"/>
    <x v="1"/>
    <n v="-7.7630850013247807E-2"/>
  </r>
  <r>
    <s v="sales_2023_H1.csv"/>
    <s v="1061"/>
    <d v="2023-04-08T00:00:00"/>
    <x v="1"/>
    <x v="3"/>
    <n v="3988.03"/>
    <n v="29"/>
    <x v="0"/>
    <n v="1221.74"/>
    <n v="1611.92"/>
    <x v="1"/>
    <n v="0.15"/>
    <s v="Cash"/>
    <x v="1"/>
    <s v="East-Charlie"/>
    <n v="35430.46"/>
    <x v="0"/>
    <n v="39733.828000000001"/>
    <n v="4303.3680000000022"/>
    <x v="1"/>
    <n v="0.10830489325116099"/>
  </r>
  <r>
    <s v="sales_2023_H1.csv"/>
    <s v="1007"/>
    <d v="2023-04-08T00:00:00"/>
    <x v="1"/>
    <x v="3"/>
    <n v="3758.78"/>
    <n v="13"/>
    <x v="0"/>
    <n v="3597.2"/>
    <n v="4071.82"/>
    <x v="0"/>
    <n v="0.28999999999999998"/>
    <s v="Bank Transfer"/>
    <x v="0"/>
    <s v="East-Charlie"/>
    <n v="46763.6"/>
    <x v="0"/>
    <n v="37582.8986"/>
    <n v="-9180.7013999999981"/>
    <x v="1"/>
    <n v="-0.24427869435275501"/>
  </r>
  <r>
    <s v="sales_2023_H1.csv"/>
    <s v="1039"/>
    <d v="2023-04-09T00:00:00"/>
    <x v="4"/>
    <x v="0"/>
    <n v="763.04"/>
    <n v="3"/>
    <x v="3"/>
    <n v="391.19"/>
    <n v="471.75"/>
    <x v="0"/>
    <n v="0.27"/>
    <s v="Cash"/>
    <x v="0"/>
    <s v="North-Alice"/>
    <n v="1173.57"/>
    <x v="0"/>
    <n v="1033.1324999999999"/>
    <n v="-140.4375"/>
    <x v="1"/>
    <n v="-0.13593367743246901"/>
  </r>
  <r>
    <s v="sales_2023_H1.csv"/>
    <s v="1059"/>
    <d v="2023-04-09T00:00:00"/>
    <x v="1"/>
    <x v="1"/>
    <n v="8063.7"/>
    <n v="1"/>
    <x v="2"/>
    <n v="332.62"/>
    <n v="612.46"/>
    <x v="0"/>
    <n v="0.24"/>
    <s v="Cash"/>
    <x v="1"/>
    <s v="South-Charlie"/>
    <n v="332.62"/>
    <x v="0"/>
    <n v="465.46960000000001"/>
    <n v="132.84960000000001"/>
    <x v="1"/>
    <n v="0.28540983127577002"/>
  </r>
  <r>
    <s v="sales_2023_H1.csv"/>
    <s v="1083"/>
    <d v="2023-04-11T00:00:00"/>
    <x v="3"/>
    <x v="2"/>
    <n v="618.30999999999995"/>
    <n v="29"/>
    <x v="1"/>
    <n v="2408.81"/>
    <n v="2624.09"/>
    <x v="0"/>
    <n v="0.14000000000000001"/>
    <s v="Cash"/>
    <x v="0"/>
    <s v="West-Bob"/>
    <n v="69855.490000000005"/>
    <x v="0"/>
    <n v="65444.804600000003"/>
    <n v="-4410.6854000000021"/>
    <x v="1"/>
    <n v="-6.7395501093756804E-2"/>
  </r>
  <r>
    <s v="sales_2023_H1.csv"/>
    <s v="1014"/>
    <d v="2023-04-11T00:00:00"/>
    <x v="4"/>
    <x v="1"/>
    <n v="9582.1200000000008"/>
    <n v="38"/>
    <x v="3"/>
    <n v="2091.21"/>
    <n v="2527"/>
    <x v="0"/>
    <n v="0.01"/>
    <s v="Credit Card"/>
    <x v="0"/>
    <s v="South-Alice"/>
    <n v="79465.98"/>
    <x v="0"/>
    <n v="95065.74"/>
    <n v="15599.760000000009"/>
    <x v="1"/>
    <n v="0.164094446642923"/>
  </r>
  <r>
    <s v="sales_2023_H1.csv"/>
    <s v="1002"/>
    <d v="2023-04-11T00:00:00"/>
    <x v="3"/>
    <x v="0"/>
    <n v="1942.75"/>
    <n v="21"/>
    <x v="3"/>
    <n v="914.22"/>
    <n v="971.57"/>
    <x v="0"/>
    <n v="0.14000000000000001"/>
    <s v="Cash"/>
    <x v="0"/>
    <s v="North-Bob"/>
    <n v="19198.62"/>
    <x v="0"/>
    <n v="17546.554200000002"/>
    <n v="-1652.0657999999967"/>
    <x v="1"/>
    <n v="-9.4153289652734007E-2"/>
  </r>
  <r>
    <s v="sales_2023_H1.csv"/>
    <s v="1067"/>
    <d v="2023-04-11T00:00:00"/>
    <x v="3"/>
    <x v="3"/>
    <n v="8963.93"/>
    <n v="17"/>
    <x v="3"/>
    <n v="2831.58"/>
    <n v="3186.15"/>
    <x v="1"/>
    <n v="0.24"/>
    <s v="Bank Transfer"/>
    <x v="1"/>
    <s v="East-Bob"/>
    <n v="48136.86"/>
    <x v="0"/>
    <n v="41165.058000000005"/>
    <n v="-6971.801999999996"/>
    <x v="1"/>
    <n v="-0.16936213232105701"/>
  </r>
  <r>
    <s v="sales_2023_H1.csv"/>
    <s v="1063"/>
    <d v="2023-04-12T00:00:00"/>
    <x v="1"/>
    <x v="0"/>
    <n v="5886.04"/>
    <n v="40"/>
    <x v="2"/>
    <n v="2101.3200000000002"/>
    <n v="2440.63"/>
    <x v="1"/>
    <n v="0.26"/>
    <s v="Bank Transfer"/>
    <x v="1"/>
    <s v="North-Charlie"/>
    <n v="84052.800000000003"/>
    <x v="0"/>
    <n v="72242.648000000001"/>
    <n v="-11810.152000000002"/>
    <x v="1"/>
    <n v="-0.16347894667426899"/>
  </r>
  <r>
    <s v="sales_2023_H1.csv"/>
    <s v="1081"/>
    <d v="2023-04-12T00:00:00"/>
    <x v="3"/>
    <x v="1"/>
    <n v="9680.84"/>
    <n v="19"/>
    <x v="3"/>
    <n v="2443.69"/>
    <n v="2462.34"/>
    <x v="1"/>
    <n v="7.0000000000000007E-2"/>
    <s v="Bank Transfer"/>
    <x v="1"/>
    <s v="South-Bob"/>
    <n v="46430.11"/>
    <x v="0"/>
    <n v="43509.5478"/>
    <n v="-2920.5622000000003"/>
    <x v="1"/>
    <n v="-6.7124627758140001E-2"/>
  </r>
  <r>
    <s v="sales_2023_H1.csv"/>
    <s v="1091"/>
    <d v="2023-04-13T00:00:00"/>
    <x v="0"/>
    <x v="2"/>
    <n v="9146.51"/>
    <n v="36"/>
    <x v="2"/>
    <n v="3951.59"/>
    <n v="4387.01"/>
    <x v="1"/>
    <n v="7.0000000000000007E-2"/>
    <s v="Bank Transfer"/>
    <x v="1"/>
    <s v="West-Eve"/>
    <n v="142257.24"/>
    <x v="0"/>
    <n v="146877.09479999999"/>
    <n v="4619.854800000001"/>
    <x v="1"/>
    <n v="3.1453881943204101E-2"/>
  </r>
  <r>
    <s v="sales_2023_H1.csv"/>
    <s v="1008"/>
    <d v="2023-04-13T00:00:00"/>
    <x v="1"/>
    <x v="1"/>
    <n v="5104.54"/>
    <n v="24"/>
    <x v="1"/>
    <n v="4739.13"/>
    <n v="4868.95"/>
    <x v="1"/>
    <n v="0.14000000000000001"/>
    <s v="Credit Card"/>
    <x v="1"/>
    <s v="South-Charlie"/>
    <n v="113739.12"/>
    <x v="0"/>
    <n v="100495.12799999998"/>
    <n v="-13243.992000000013"/>
    <x v="1"/>
    <n v="-0.131787403663987"/>
  </r>
  <r>
    <s v="sales_2023_H1.csv"/>
    <s v="1034"/>
    <d v="2023-04-14T00:00:00"/>
    <x v="4"/>
    <x v="2"/>
    <n v="534.61"/>
    <n v="3"/>
    <x v="0"/>
    <n v="3472.51"/>
    <n v="3732"/>
    <x v="1"/>
    <n v="0.06"/>
    <s v="Cash"/>
    <x v="0"/>
    <s v="West-Alice"/>
    <n v="10417.530000000001"/>
    <x v="0"/>
    <n v="10524.24"/>
    <n v="106.70999999999913"/>
    <x v="1"/>
    <n v="1.01394494994412E-2"/>
  </r>
  <r>
    <s v="sales_2023_H1.csv"/>
    <s v="1099"/>
    <d v="2023-04-14T00:00:00"/>
    <x v="4"/>
    <x v="3"/>
    <n v="9948.7099999999991"/>
    <n v="27"/>
    <x v="3"/>
    <n v="4929.55"/>
    <n v="4990.33"/>
    <x v="0"/>
    <n v="0.28999999999999998"/>
    <s v="Credit Card"/>
    <x v="0"/>
    <s v="East-Alice"/>
    <n v="133097.85"/>
    <x v="0"/>
    <n v="95664.626099999994"/>
    <n v="-37433.223900000012"/>
    <x v="1"/>
    <n v="-0.39129640104243302"/>
  </r>
  <r>
    <s v="sales_2023_H1.csv"/>
    <s v="1047"/>
    <d v="2023-04-14T00:00:00"/>
    <x v="0"/>
    <x v="2"/>
    <n v="7146.06"/>
    <n v="16"/>
    <x v="0"/>
    <n v="3966.86"/>
    <n v="4321.04"/>
    <x v="0"/>
    <n v="0.23"/>
    <s v="Credit Card"/>
    <x v="1"/>
    <s v="West-Eve"/>
    <n v="63469.760000000002"/>
    <x v="0"/>
    <n v="53235.212800000001"/>
    <n v="-10234.547200000001"/>
    <x v="1"/>
    <n v="-0.19225145653968301"/>
  </r>
  <r>
    <s v="sales_2023_H1.csv"/>
    <s v="1032"/>
    <d v="2023-04-14T00:00:00"/>
    <x v="2"/>
    <x v="0"/>
    <n v="2286.44"/>
    <n v="45"/>
    <x v="0"/>
    <n v="3712.35"/>
    <n v="3780.88"/>
    <x v="1"/>
    <n v="7.0000000000000007E-2"/>
    <s v="Cash"/>
    <x v="1"/>
    <s v="North-David"/>
    <n v="167055.75"/>
    <x v="0"/>
    <n v="158229.82800000001"/>
    <n v="-8825.9219999999914"/>
    <x v="1"/>
    <n v="-5.5779129077989001E-2"/>
  </r>
  <r>
    <s v="sales_2023_H1.csv"/>
    <s v="1052"/>
    <d v="2023-04-14T00:00:00"/>
    <x v="2"/>
    <x v="0"/>
    <n v="1834.7"/>
    <n v="5"/>
    <x v="1"/>
    <n v="745.71"/>
    <n v="856.91"/>
    <x v="0"/>
    <n v="0.23"/>
    <s v="Bank Transfer"/>
    <x v="1"/>
    <s v="North-David"/>
    <n v="3728.55"/>
    <x v="0"/>
    <n v="3299.1035000000002"/>
    <n v="-429.44650000000001"/>
    <x v="1"/>
    <n v="-0.13017066606125"/>
  </r>
  <r>
    <s v="sales_2023_H1.csv"/>
    <s v="1001"/>
    <d v="2023-04-14T00:00:00"/>
    <x v="2"/>
    <x v="3"/>
    <n v="5488.11"/>
    <n v="2"/>
    <x v="2"/>
    <n v="2631.68"/>
    <n v="2904.06"/>
    <x v="1"/>
    <n v="0.15"/>
    <s v="Bank Transfer"/>
    <x v="0"/>
    <s v="East-David"/>
    <n v="5263.36"/>
    <x v="0"/>
    <n v="4936.902"/>
    <n v="-326.45799999999963"/>
    <x v="1"/>
    <n v="-6.6126084738971899E-2"/>
  </r>
  <r>
    <s v="sales_2023_H1.csv"/>
    <s v="1013"/>
    <d v="2023-04-15T00:00:00"/>
    <x v="0"/>
    <x v="0"/>
    <n v="7255.1"/>
    <n v="42"/>
    <x v="1"/>
    <n v="1375.57"/>
    <n v="1729.71"/>
    <x v="1"/>
    <n v="0.04"/>
    <s v="Cash"/>
    <x v="0"/>
    <s v="North-Eve"/>
    <n v="57773.939999999995"/>
    <x v="0"/>
    <n v="69741.907200000001"/>
    <n v="11967.967200000006"/>
    <x v="1"/>
    <n v="0.17160366959393999"/>
  </r>
  <r>
    <s v="sales_2023_H1.csv"/>
    <s v="1010"/>
    <d v="2023-04-15T00:00:00"/>
    <x v="1"/>
    <x v="0"/>
    <n v="4733.88"/>
    <n v="4"/>
    <x v="3"/>
    <n v="4943.03"/>
    <n v="5442.15"/>
    <x v="0"/>
    <n v="0.28999999999999998"/>
    <s v="Cash"/>
    <x v="0"/>
    <s v="North-Charlie"/>
    <n v="19772.12"/>
    <x v="0"/>
    <n v="15455.705999999998"/>
    <n v="-4316.4140000000007"/>
    <x v="1"/>
    <n v="-0.27927640445541602"/>
  </r>
  <r>
    <s v="sales_2023_H1.csv"/>
    <s v="1081"/>
    <d v="2023-04-16T00:00:00"/>
    <x v="1"/>
    <x v="2"/>
    <n v="2896.71"/>
    <n v="44"/>
    <x v="2"/>
    <n v="1362.15"/>
    <n v="1844.07"/>
    <x v="1"/>
    <n v="0.28999999999999998"/>
    <s v="Credit Card"/>
    <x v="0"/>
    <s v="West-Charlie"/>
    <n v="59934.600000000006"/>
    <x v="0"/>
    <n v="57608.746800000001"/>
    <n v="-2325.853200000005"/>
    <x v="1"/>
    <n v="-4.03732649848235E-2"/>
  </r>
  <r>
    <s v="sales_2023_H1.csv"/>
    <s v="1027"/>
    <d v="2023-04-16T00:00:00"/>
    <x v="4"/>
    <x v="3"/>
    <n v="8241.57"/>
    <n v="7"/>
    <x v="3"/>
    <n v="2371.85"/>
    <n v="2457.29"/>
    <x v="1"/>
    <n v="0.03"/>
    <s v="Cash"/>
    <x v="1"/>
    <s v="East-Alice"/>
    <n v="16602.95"/>
    <x v="0"/>
    <n v="16684.999099999997"/>
    <n v="82.049099999996542"/>
    <x v="1"/>
    <n v="4.9175369748744296E-3"/>
  </r>
  <r>
    <s v="sales_2023_H1.csv"/>
    <s v="1052"/>
    <d v="2023-04-17T00:00:00"/>
    <x v="4"/>
    <x v="1"/>
    <n v="8448.93"/>
    <n v="2"/>
    <x v="3"/>
    <n v="1935.41"/>
    <n v="2305.44"/>
    <x v="0"/>
    <n v="0.22"/>
    <s v="Credit Card"/>
    <x v="0"/>
    <s v="South-Alice"/>
    <n v="3870.82"/>
    <x v="0"/>
    <n v="3596.4864000000002"/>
    <n v="-274.33359999999993"/>
    <x v="1"/>
    <n v="-7.6278225325695601E-2"/>
  </r>
  <r>
    <s v="sales_2023_H1.csv"/>
    <s v="1061"/>
    <d v="2023-04-18T00:00:00"/>
    <x v="0"/>
    <x v="0"/>
    <n v="3774.02"/>
    <n v="47"/>
    <x v="2"/>
    <n v="146.27000000000001"/>
    <n v="498.46"/>
    <x v="1"/>
    <n v="0.06"/>
    <s v="Cash"/>
    <x v="1"/>
    <s v="North-Eve"/>
    <n v="6874.6900000000005"/>
    <x v="0"/>
    <n v="22021.962799999998"/>
    <n v="15147.272799999997"/>
    <x v="1"/>
    <n v="0.68782573731347896"/>
  </r>
  <r>
    <s v="sales_2023_H1.csv"/>
    <s v="1035"/>
    <d v="2023-04-18T00:00:00"/>
    <x v="2"/>
    <x v="1"/>
    <n v="9417.1"/>
    <n v="34"/>
    <x v="3"/>
    <n v="1105.05"/>
    <n v="1200.96"/>
    <x v="0"/>
    <n v="0.19"/>
    <s v="Cash"/>
    <x v="0"/>
    <s v="South-David"/>
    <n v="37571.699999999997"/>
    <x v="0"/>
    <n v="33074.438399999999"/>
    <n v="-4497.261599999998"/>
    <x v="1"/>
    <n v="-0.13597393689986301"/>
  </r>
  <r>
    <s v="sales_2023_H1.csv"/>
    <s v="1012"/>
    <d v="2023-04-18T00:00:00"/>
    <x v="4"/>
    <x v="1"/>
    <n v="1874.61"/>
    <n v="9"/>
    <x v="2"/>
    <n v="709.97"/>
    <n v="1029.71"/>
    <x v="0"/>
    <n v="0.13"/>
    <s v="Bank Transfer"/>
    <x v="1"/>
    <s v="South-Alice"/>
    <n v="6389.7300000000005"/>
    <x v="0"/>
    <n v="8062.6292999999996"/>
    <n v="1672.8992999999991"/>
    <x v="1"/>
    <n v="0.20748805851708901"/>
  </r>
  <r>
    <s v="sales_2023_H1.csv"/>
    <s v="1033"/>
    <d v="2023-04-19T00:00:00"/>
    <x v="3"/>
    <x v="1"/>
    <n v="2758.48"/>
    <n v="5"/>
    <x v="1"/>
    <n v="3162.92"/>
    <n v="3409.93"/>
    <x v="1"/>
    <n v="0"/>
    <s v="Cash"/>
    <x v="0"/>
    <s v="South-Bob"/>
    <n v="15814.6"/>
    <x v="0"/>
    <n v="17049.649999999998"/>
    <n v="1235.0499999999975"/>
    <x v="1"/>
    <n v="7.2438437152668705E-2"/>
  </r>
  <r>
    <s v="sales_2023_H1.csv"/>
    <s v="1044"/>
    <d v="2023-04-20T00:00:00"/>
    <x v="1"/>
    <x v="2"/>
    <n v="8564.7999999999993"/>
    <n v="34"/>
    <x v="3"/>
    <n v="3573.3"/>
    <n v="3740.13"/>
    <x v="0"/>
    <n v="0.01"/>
    <s v="Credit Card"/>
    <x v="0"/>
    <s v="West-Charlie"/>
    <n v="121492.20000000001"/>
    <x v="0"/>
    <n v="125892.7758"/>
    <n v="4400.5757999999914"/>
    <x v="1"/>
    <n v="3.4954950925786099E-2"/>
  </r>
  <r>
    <s v="sales_2023_H1.csv"/>
    <s v="1093"/>
    <d v="2023-04-21T00:00:00"/>
    <x v="3"/>
    <x v="2"/>
    <n v="4384.0200000000004"/>
    <n v="17"/>
    <x v="1"/>
    <n v="3816.39"/>
    <n v="4209.4399999999996"/>
    <x v="0"/>
    <n v="0.11"/>
    <s v="Cash"/>
    <x v="1"/>
    <s v="West-Bob"/>
    <n v="64878.63"/>
    <x v="0"/>
    <n v="63688.8272"/>
    <n v="-1189.8027999999977"/>
    <x v="1"/>
    <n v="-1.86814996021782E-2"/>
  </r>
  <r>
    <s v="sales_2023_H1.csv"/>
    <s v="1009"/>
    <d v="2023-04-21T00:00:00"/>
    <x v="0"/>
    <x v="0"/>
    <n v="9813.66"/>
    <n v="47"/>
    <x v="0"/>
    <n v="359.41"/>
    <n v="733"/>
    <x v="0"/>
    <n v="0.2"/>
    <s v="Bank Transfer"/>
    <x v="1"/>
    <s v="North-Eve"/>
    <n v="16892.27"/>
    <x v="0"/>
    <n v="27560.800000000003"/>
    <n v="10668.530000000002"/>
    <x v="1"/>
    <n v="0.387090723055935"/>
  </r>
  <r>
    <s v="sales_2023_H1.csv"/>
    <s v="1088"/>
    <d v="2023-04-21T00:00:00"/>
    <x v="1"/>
    <x v="3"/>
    <n v="456.59"/>
    <n v="29"/>
    <x v="1"/>
    <n v="639.58000000000004"/>
    <n v="1107.45"/>
    <x v="1"/>
    <n v="0.28999999999999998"/>
    <s v="Cash"/>
    <x v="1"/>
    <s v="East-Charlie"/>
    <n v="18547.82"/>
    <x v="0"/>
    <n v="22802.395500000002"/>
    <n v="4254.5755000000026"/>
    <x v="1"/>
    <n v="0.18658458493977101"/>
  </r>
  <r>
    <s v="sales_2023_H1.csv"/>
    <s v="1047"/>
    <d v="2023-04-21T00:00:00"/>
    <x v="0"/>
    <x v="2"/>
    <n v="6413.11"/>
    <n v="17"/>
    <x v="1"/>
    <n v="1591.34"/>
    <n v="2043.82"/>
    <x v="1"/>
    <n v="0.28999999999999998"/>
    <s v="Cash"/>
    <x v="1"/>
    <s v="West-Eve"/>
    <n v="27052.78"/>
    <x v="0"/>
    <n v="24668.9074"/>
    <n v="-2383.8725999999988"/>
    <x v="1"/>
    <n v="-9.6634705434907098E-2"/>
  </r>
  <r>
    <s v="sales_2023_H1.csv"/>
    <s v="1090"/>
    <d v="2023-04-21T00:00:00"/>
    <x v="2"/>
    <x v="2"/>
    <n v="4883.49"/>
    <n v="35"/>
    <x v="2"/>
    <n v="1130.5999999999999"/>
    <n v="1466.18"/>
    <x v="0"/>
    <n v="0.13"/>
    <s v="Cash"/>
    <x v="0"/>
    <s v="West-David"/>
    <n v="39571"/>
    <x v="0"/>
    <n v="44645.181000000004"/>
    <n v="5074.1810000000041"/>
    <x v="1"/>
    <n v="0.11365573811874601"/>
  </r>
  <r>
    <s v="sales_2023_H1.csv"/>
    <s v="1002"/>
    <d v="2023-04-22T00:00:00"/>
    <x v="0"/>
    <x v="0"/>
    <n v="6551.23"/>
    <n v="9"/>
    <x v="2"/>
    <n v="4398.16"/>
    <n v="4439.12"/>
    <x v="1"/>
    <n v="0.18"/>
    <s v="Bank Transfer"/>
    <x v="0"/>
    <s v="North-Eve"/>
    <n v="39583.440000000002"/>
    <x v="0"/>
    <n v="32760.705600000005"/>
    <n v="-6822.7343999999975"/>
    <x v="1"/>
    <n v="-0.208259690230848"/>
  </r>
  <r>
    <s v="sales_2023_H1.csv"/>
    <s v="1061"/>
    <d v="2023-04-22T00:00:00"/>
    <x v="0"/>
    <x v="1"/>
    <n v="8345.02"/>
    <n v="39"/>
    <x v="2"/>
    <n v="3494.19"/>
    <n v="3746"/>
    <x v="0"/>
    <n v="0.25"/>
    <s v="Bank Transfer"/>
    <x v="1"/>
    <s v="South-Eve"/>
    <n v="136273.41"/>
    <x v="0"/>
    <n v="109570.5"/>
    <n v="-26702.910000000003"/>
    <x v="1"/>
    <n v="-0.243705285638014"/>
  </r>
  <r>
    <s v="sales_2023_H1.csv"/>
    <s v="1060"/>
    <d v="2023-04-23T00:00:00"/>
    <x v="0"/>
    <x v="3"/>
    <n v="273.77"/>
    <n v="23"/>
    <x v="0"/>
    <n v="4110.6000000000004"/>
    <n v="4488.37"/>
    <x v="1"/>
    <n v="0.12"/>
    <s v="Credit Card"/>
    <x v="0"/>
    <s v="East-Eve"/>
    <n v="94543.8"/>
    <x v="0"/>
    <n v="90844.608800000002"/>
    <n v="-3699.1912000000011"/>
    <x v="1"/>
    <n v="-4.07199860163854E-2"/>
  </r>
  <r>
    <s v="sales_2023_H1.csv"/>
    <s v="1033"/>
    <d v="2023-04-23T00:00:00"/>
    <x v="1"/>
    <x v="3"/>
    <n v="7171.83"/>
    <n v="44"/>
    <x v="2"/>
    <n v="1195.22"/>
    <n v="1320.06"/>
    <x v="0"/>
    <n v="0.23"/>
    <s v="Bank Transfer"/>
    <x v="1"/>
    <s v="East-Charlie"/>
    <n v="52589.68"/>
    <x v="0"/>
    <n v="44723.632799999999"/>
    <n v="-7866.0472000000009"/>
    <x v="1"/>
    <n v="-0.17588122224275099"/>
  </r>
  <r>
    <s v="sales_2023_H1.csv"/>
    <s v="1008"/>
    <d v="2023-04-23T00:00:00"/>
    <x v="0"/>
    <x v="0"/>
    <n v="9154.0300000000007"/>
    <n v="35"/>
    <x v="0"/>
    <n v="600.20000000000005"/>
    <n v="1059.82"/>
    <x v="0"/>
    <n v="0.28999999999999998"/>
    <s v="Bank Transfer"/>
    <x v="1"/>
    <s v="North-Eve"/>
    <n v="21007"/>
    <x v="0"/>
    <n v="26336.526999999998"/>
    <n v="5329.5269999999982"/>
    <x v="1"/>
    <n v="0.202362559042048"/>
  </r>
  <r>
    <s v="sales_2023_H1.csv"/>
    <s v="1016"/>
    <d v="2023-04-23T00:00:00"/>
    <x v="2"/>
    <x v="1"/>
    <n v="9961.9599999999991"/>
    <n v="6"/>
    <x v="1"/>
    <n v="4502.09"/>
    <n v="4879.72"/>
    <x v="1"/>
    <n v="0.13"/>
    <s v="Credit Card"/>
    <x v="0"/>
    <s v="South-David"/>
    <n v="27012.54"/>
    <x v="0"/>
    <n v="25472.1384"/>
    <n v="-1540.4016000000011"/>
    <x v="1"/>
    <n v="-6.0473980464867502E-2"/>
  </r>
  <r>
    <s v="sales_2023_H1.csv"/>
    <s v="1024"/>
    <d v="2023-04-24T00:00:00"/>
    <x v="2"/>
    <x v="0"/>
    <n v="4670.99"/>
    <n v="35"/>
    <x v="1"/>
    <n v="2051"/>
    <n v="2121.5500000000002"/>
    <x v="0"/>
    <n v="0.26"/>
    <s v="Cash"/>
    <x v="1"/>
    <s v="North-David"/>
    <n v="71785"/>
    <x v="0"/>
    <n v="54948.144999999997"/>
    <n v="-16836.855000000003"/>
    <x v="1"/>
    <n v="-0.306413528609565"/>
  </r>
  <r>
    <s v="sales_2023_H1.csv"/>
    <s v="1054"/>
    <d v="2023-04-24T00:00:00"/>
    <x v="2"/>
    <x v="0"/>
    <n v="7524.78"/>
    <n v="48"/>
    <x v="3"/>
    <n v="2316.92"/>
    <n v="2462.63"/>
    <x v="1"/>
    <n v="0.04"/>
    <s v="Credit Card"/>
    <x v="0"/>
    <s v="North-David"/>
    <n v="111212.16"/>
    <x v="0"/>
    <n v="113477.9904"/>
    <n v="2265.8303999999916"/>
    <x v="1"/>
    <n v="1.9967135406726299E-2"/>
  </r>
  <r>
    <s v="sales_2023_H1.csv"/>
    <s v="1075"/>
    <d v="2023-04-25T00:00:00"/>
    <x v="2"/>
    <x v="2"/>
    <n v="4038.58"/>
    <n v="44"/>
    <x v="1"/>
    <n v="3519.29"/>
    <n v="3822.98"/>
    <x v="0"/>
    <n v="0.27"/>
    <s v="Bank Transfer"/>
    <x v="0"/>
    <s v="West-David"/>
    <n v="154848.76"/>
    <x v="0"/>
    <n v="122794.1176"/>
    <n v="-32054.642400000012"/>
    <x v="1"/>
    <n v="-0.26104379449525"/>
  </r>
  <r>
    <s v="sales_2023_H1.csv"/>
    <s v="1095"/>
    <d v="2023-04-25T00:00:00"/>
    <x v="3"/>
    <x v="1"/>
    <n v="9805.65"/>
    <n v="10"/>
    <x v="2"/>
    <n v="3155.97"/>
    <n v="3263.49"/>
    <x v="0"/>
    <n v="0.04"/>
    <s v="Credit Card"/>
    <x v="0"/>
    <s v="South-Bob"/>
    <n v="31559.699999999997"/>
    <x v="0"/>
    <n v="31329.503999999997"/>
    <n v="-230.19599999999991"/>
    <x v="1"/>
    <n v="-7.3475788189943901E-3"/>
  </r>
  <r>
    <s v="sales_2023_H1.csv"/>
    <s v="1039"/>
    <d v="2023-04-25T00:00:00"/>
    <x v="4"/>
    <x v="3"/>
    <n v="5830.19"/>
    <n v="24"/>
    <x v="0"/>
    <n v="2615.48"/>
    <n v="3062.22"/>
    <x v="1"/>
    <n v="0.19"/>
    <s v="Bank Transfer"/>
    <x v="1"/>
    <s v="East-Alice"/>
    <n v="62771.520000000004"/>
    <x v="0"/>
    <n v="59529.556800000006"/>
    <n v="-3241.9631999999983"/>
    <x v="1"/>
    <n v="-5.4459723442792297E-2"/>
  </r>
  <r>
    <s v="sales_2023_H1.csv"/>
    <s v="1075"/>
    <d v="2023-04-26T00:00:00"/>
    <x v="2"/>
    <x v="1"/>
    <n v="1457.77"/>
    <n v="37"/>
    <x v="2"/>
    <n v="4399.8"/>
    <n v="4801.0600000000004"/>
    <x v="1"/>
    <n v="0.13"/>
    <s v="Bank Transfer"/>
    <x v="1"/>
    <s v="South-David"/>
    <n v="162792.6"/>
    <x v="0"/>
    <n v="154546.1214"/>
    <n v="-8246.4786000000022"/>
    <x v="1"/>
    <n v="-5.3359337169363599E-2"/>
  </r>
  <r>
    <s v="sales_2023_H1.csv"/>
    <s v="1024"/>
    <d v="2023-04-27T00:00:00"/>
    <x v="4"/>
    <x v="2"/>
    <n v="7734.12"/>
    <n v="42"/>
    <x v="3"/>
    <n v="2069.0500000000002"/>
    <n v="2363.9"/>
    <x v="0"/>
    <n v="7.0000000000000007E-2"/>
    <s v="Cash"/>
    <x v="0"/>
    <s v="West-Alice"/>
    <n v="86900.1"/>
    <x v="0"/>
    <n v="92333.933999999994"/>
    <n v="5433.833999999988"/>
    <x v="1"/>
    <n v="5.8849804883218601E-2"/>
  </r>
  <r>
    <s v="sales_2023_H1.csv"/>
    <s v="1020"/>
    <d v="2023-04-27T00:00:00"/>
    <x v="4"/>
    <x v="1"/>
    <n v="7095.64"/>
    <n v="33"/>
    <x v="1"/>
    <n v="4772.03"/>
    <n v="4805.17"/>
    <x v="0"/>
    <n v="0.28000000000000003"/>
    <s v="Bank Transfer"/>
    <x v="0"/>
    <s v="South-Alice"/>
    <n v="157476.99"/>
    <x v="0"/>
    <n v="114170.8392"/>
    <n v="-43306.150799999989"/>
    <x v="1"/>
    <n v="-0.3793100856878"/>
  </r>
  <r>
    <s v="sales_2023_H1.csv"/>
    <s v="1001"/>
    <d v="2023-04-27T00:00:00"/>
    <x v="0"/>
    <x v="3"/>
    <n v="3167.09"/>
    <n v="25"/>
    <x v="2"/>
    <n v="1330.62"/>
    <n v="1543.69"/>
    <x v="1"/>
    <n v="0.27"/>
    <s v="Credit Card"/>
    <x v="0"/>
    <s v="East-Eve"/>
    <n v="33265.5"/>
    <x v="0"/>
    <n v="28172.342499999999"/>
    <n v="-5093.1575000000012"/>
    <x v="1"/>
    <n v="-0.18078572983414501"/>
  </r>
  <r>
    <s v="sales_2023_H1.csv"/>
    <s v="1064"/>
    <d v="2023-04-27T00:00:00"/>
    <x v="3"/>
    <x v="0"/>
    <n v="717.7"/>
    <n v="13"/>
    <x v="0"/>
    <n v="1645.51"/>
    <n v="2045.53"/>
    <x v="0"/>
    <n v="0.28000000000000003"/>
    <s v="Cash"/>
    <x v="1"/>
    <s v="North-Bob"/>
    <n v="21391.63"/>
    <x v="0"/>
    <n v="19146.160799999998"/>
    <n v="-2245.4692000000032"/>
    <x v="1"/>
    <n v="-0.117280389706118"/>
  </r>
  <r>
    <s v="sales_2023_H1.csv"/>
    <s v="1018"/>
    <d v="2023-04-27T00:00:00"/>
    <x v="2"/>
    <x v="1"/>
    <n v="7629.7"/>
    <n v="17"/>
    <x v="0"/>
    <n v="355.72"/>
    <n v="438.27"/>
    <x v="0"/>
    <n v="0.06"/>
    <s v="Bank Transfer"/>
    <x v="0"/>
    <s v="South-David"/>
    <n v="6047.2400000000007"/>
    <x v="0"/>
    <n v="7003.5545999999995"/>
    <n v="956.31459999999879"/>
    <x v="1"/>
    <n v="0.13654703284529199"/>
  </r>
  <r>
    <s v="sales_2023_H1.csv"/>
    <s v="1003"/>
    <d v="2023-04-28T00:00:00"/>
    <x v="1"/>
    <x v="1"/>
    <n v="5991.8"/>
    <n v="27"/>
    <x v="1"/>
    <n v="623.32000000000005"/>
    <n v="853.66"/>
    <x v="0"/>
    <n v="0.04"/>
    <s v="Cash"/>
    <x v="0"/>
    <s v="South-Charlie"/>
    <n v="16829.640000000003"/>
    <x v="0"/>
    <n v="22126.867200000001"/>
    <n v="5297.2271999999975"/>
    <x v="1"/>
    <n v="0.239402494357629"/>
  </r>
  <r>
    <s v="sales_2023_H1.csv"/>
    <s v="1009"/>
    <d v="2023-04-28T00:00:00"/>
    <x v="4"/>
    <x v="0"/>
    <n v="1342.95"/>
    <n v="33"/>
    <x v="0"/>
    <n v="2278.9"/>
    <n v="2626.9"/>
    <x v="1"/>
    <n v="0.05"/>
    <s v="Credit Card"/>
    <x v="0"/>
    <s v="North-Alice"/>
    <n v="75203.7"/>
    <x v="0"/>
    <n v="82353.314999999988"/>
    <n v="7149.6149999999907"/>
    <x v="1"/>
    <n v="8.6816359487168093E-2"/>
  </r>
  <r>
    <s v="sales_2023_H1.csv"/>
    <s v="1036"/>
    <d v="2023-04-28T00:00:00"/>
    <x v="1"/>
    <x v="2"/>
    <n v="7739.11"/>
    <n v="25"/>
    <x v="1"/>
    <n v="4037.73"/>
    <n v="4446.45"/>
    <x v="0"/>
    <n v="0.09"/>
    <s v="Bank Transfer"/>
    <x v="0"/>
    <s v="West-Charlie"/>
    <n v="100943.25"/>
    <x v="0"/>
    <n v="101156.7375"/>
    <n v="213.48750000000291"/>
    <x v="1"/>
    <n v="2.11046248896672E-3"/>
  </r>
  <r>
    <s v="sales_2023_H1.csv"/>
    <s v="1023"/>
    <d v="2023-04-28T00:00:00"/>
    <x v="1"/>
    <x v="0"/>
    <n v="9850.1"/>
    <n v="5"/>
    <x v="2"/>
    <n v="2311.25"/>
    <n v="2482.34"/>
    <x v="0"/>
    <n v="0.22"/>
    <s v="Credit Card"/>
    <x v="1"/>
    <s v="North-Charlie"/>
    <n v="11556.25"/>
    <x v="0"/>
    <n v="9681.1260000000002"/>
    <n v="-1875.1239999999998"/>
    <x v="1"/>
    <n v="-0.193688626715529"/>
  </r>
  <r>
    <s v="sales_2023_H1.csv"/>
    <s v="1093"/>
    <d v="2023-04-29T00:00:00"/>
    <x v="4"/>
    <x v="0"/>
    <n v="7353.72"/>
    <n v="34"/>
    <x v="3"/>
    <n v="4201.1099999999997"/>
    <n v="4436.5"/>
    <x v="1"/>
    <n v="0.05"/>
    <s v="Cash"/>
    <x v="0"/>
    <s v="North-Alice"/>
    <n v="142837.74"/>
    <x v="0"/>
    <n v="143298.94999999998"/>
    <n v="461.20999999999185"/>
    <x v="1"/>
    <n v="3.21851625570175E-3"/>
  </r>
  <r>
    <s v="sales_2023_H1.csv"/>
    <s v="1056"/>
    <d v="2023-04-29T00:00:00"/>
    <x v="1"/>
    <x v="0"/>
    <n v="8274.5400000000009"/>
    <n v="10"/>
    <x v="0"/>
    <n v="536.80999999999995"/>
    <n v="839.92"/>
    <x v="0"/>
    <n v="0.15"/>
    <s v="Bank Transfer"/>
    <x v="0"/>
    <s v="North-Charlie"/>
    <n v="5368.0999999999995"/>
    <x v="0"/>
    <n v="7139.3199999999988"/>
    <n v="1771.2199999999993"/>
    <x v="1"/>
    <n v="0.24809365597843999"/>
  </r>
  <r>
    <s v="sales_2023_H1.csv"/>
    <s v="1051"/>
    <d v="2023-04-30T00:00:00"/>
    <x v="3"/>
    <x v="2"/>
    <n v="5571.8"/>
    <n v="3"/>
    <x v="3"/>
    <n v="1000.18"/>
    <n v="1023.64"/>
    <x v="0"/>
    <n v="0.04"/>
    <s v="Credit Card"/>
    <x v="0"/>
    <s v="West-Bob"/>
    <n v="3000.54"/>
    <x v="0"/>
    <n v="2948.0832"/>
    <n v="-52.45679999999993"/>
    <x v="1"/>
    <n v="-1.7793527672488998E-2"/>
  </r>
  <r>
    <s v="sales_2023_H1.csv"/>
    <s v="1032"/>
    <d v="2023-04-30T00:00:00"/>
    <x v="4"/>
    <x v="2"/>
    <n v="4241.51"/>
    <n v="18"/>
    <x v="2"/>
    <n v="2466.1799999999998"/>
    <n v="2483.87"/>
    <x v="0"/>
    <n v="0.08"/>
    <s v="Cash"/>
    <x v="0"/>
    <s v="West-Alice"/>
    <n v="44391.24"/>
    <x v="0"/>
    <n v="41132.887199999997"/>
    <n v="-3258.3528000000006"/>
    <x v="1"/>
    <n v="-7.9215270840506405E-2"/>
  </r>
  <r>
    <s v="sales_2023_H1.csv"/>
    <s v="1076"/>
    <d v="2023-04-30T00:00:00"/>
    <x v="0"/>
    <x v="2"/>
    <n v="3279.51"/>
    <n v="32"/>
    <x v="0"/>
    <n v="4337.82"/>
    <n v="4460.71"/>
    <x v="0"/>
    <n v="0.3"/>
    <s v="Cash"/>
    <x v="1"/>
    <s v="West-Eve"/>
    <n v="138810.23999999999"/>
    <x v="0"/>
    <n v="99919.903999999995"/>
    <n v="-38890.335999999996"/>
    <x v="1"/>
    <n v="-0.38921510573108598"/>
  </r>
  <r>
    <s v="sales_2023_H1.csv"/>
    <s v="1006"/>
    <d v="2023-04-30T00:00:00"/>
    <x v="1"/>
    <x v="0"/>
    <n v="6233.31"/>
    <n v="19"/>
    <x v="0"/>
    <n v="2962.41"/>
    <n v="3218.9"/>
    <x v="1"/>
    <n v="0.28999999999999998"/>
    <s v="Cash"/>
    <x v="1"/>
    <s v="North-Charlie"/>
    <n v="56285.789999999994"/>
    <x v="0"/>
    <n v="43422.960999999996"/>
    <n v="-12862.828999999998"/>
    <x v="1"/>
    <n v="-0.29622183065774799"/>
  </r>
  <r>
    <s v="sales_2023_H1.csv"/>
    <s v="1051"/>
    <d v="2023-05-02T00:00:00"/>
    <x v="4"/>
    <x v="0"/>
    <n v="6833.11"/>
    <n v="34"/>
    <x v="1"/>
    <n v="3764.14"/>
    <n v="4100.3999999999996"/>
    <x v="0"/>
    <n v="0.05"/>
    <s v="Bank Transfer"/>
    <x v="1"/>
    <s v="North-Alice"/>
    <n v="127980.76"/>
    <x v="0"/>
    <n v="132442.91999999998"/>
    <n v="4462.1599999999889"/>
    <x v="1"/>
    <n v="3.36911931570218E-2"/>
  </r>
  <r>
    <s v="sales_2023_H1.csv"/>
    <s v="1096"/>
    <d v="2023-05-02T00:00:00"/>
    <x v="4"/>
    <x v="3"/>
    <n v="4649.88"/>
    <n v="32"/>
    <x v="1"/>
    <n v="991.63"/>
    <n v="1065.55"/>
    <x v="0"/>
    <n v="0.22"/>
    <s v="Bank Transfer"/>
    <x v="1"/>
    <s v="East-Alice"/>
    <n v="31732.16"/>
    <x v="0"/>
    <n v="26596.128000000001"/>
    <n v="-5136.0319999999992"/>
    <x v="1"/>
    <n v="-0.19311201991507901"/>
  </r>
  <r>
    <s v="sales_2023_H1.csv"/>
    <s v="1036"/>
    <d v="2023-05-02T00:00:00"/>
    <x v="2"/>
    <x v="0"/>
    <n v="6650.51"/>
    <n v="42"/>
    <x v="1"/>
    <n v="4292.63"/>
    <n v="4387.99"/>
    <x v="1"/>
    <n v="7.0000000000000007E-2"/>
    <s v="Credit Card"/>
    <x v="1"/>
    <s v="North-David"/>
    <n v="180290.46"/>
    <x v="0"/>
    <n v="171394.88939999999"/>
    <n v="-8895.5706000000064"/>
    <x v="1"/>
    <n v="-5.1901025935724397E-2"/>
  </r>
  <r>
    <s v="sales_2023_H1.csv"/>
    <s v="1015"/>
    <d v="2023-05-03T00:00:00"/>
    <x v="2"/>
    <x v="1"/>
    <n v="6699.34"/>
    <n v="30"/>
    <x v="3"/>
    <n v="2680.22"/>
    <n v="3027.92"/>
    <x v="0"/>
    <n v="0.25"/>
    <s v="Bank Transfer"/>
    <x v="0"/>
    <s v="South-David"/>
    <n v="80406.599999999991"/>
    <x v="0"/>
    <n v="68128.200000000012"/>
    <n v="-12278.39999999998"/>
    <x v="1"/>
    <n v="-0.18022492888407399"/>
  </r>
  <r>
    <s v="sales_2023_H1.csv"/>
    <s v="1042"/>
    <d v="2023-05-03T00:00:00"/>
    <x v="4"/>
    <x v="2"/>
    <n v="7116.78"/>
    <n v="37"/>
    <x v="1"/>
    <n v="502.86"/>
    <n v="687.6"/>
    <x v="0"/>
    <n v="0.21"/>
    <s v="Cash"/>
    <x v="0"/>
    <s v="West-Alice"/>
    <n v="18605.82"/>
    <x v="0"/>
    <n v="20098.548000000003"/>
    <n v="1492.7280000000028"/>
    <x v="1"/>
    <n v="7.4270439834758395E-2"/>
  </r>
  <r>
    <s v="sales_2023_H1.csv"/>
    <s v="1061"/>
    <d v="2023-05-03T00:00:00"/>
    <x v="3"/>
    <x v="1"/>
    <n v="7277.56"/>
    <n v="41"/>
    <x v="1"/>
    <n v="2894.18"/>
    <n v="3193.92"/>
    <x v="1"/>
    <n v="0.28000000000000003"/>
    <s v="Bank Transfer"/>
    <x v="1"/>
    <s v="South-Bob"/>
    <n v="118661.37999999999"/>
    <x v="0"/>
    <n v="94284.518400000001"/>
    <n v="-24376.861599999989"/>
    <x v="1"/>
    <n v="-0.25854575081543801"/>
  </r>
  <r>
    <s v="sales_2023_H1.csv"/>
    <s v="1086"/>
    <d v="2023-05-04T00:00:00"/>
    <x v="3"/>
    <x v="2"/>
    <n v="7841.4"/>
    <n v="25"/>
    <x v="3"/>
    <n v="2248.71"/>
    <n v="2626.02"/>
    <x v="1"/>
    <n v="0.08"/>
    <s v="Bank Transfer"/>
    <x v="0"/>
    <s v="West-Bob"/>
    <n v="56217.75"/>
    <x v="0"/>
    <n v="60398.46"/>
    <n v="4180.7099999999991"/>
    <x v="1"/>
    <n v="6.9218817830785706E-2"/>
  </r>
  <r>
    <s v="sales_2023_H1.csv"/>
    <s v="1062"/>
    <d v="2023-05-05T00:00:00"/>
    <x v="0"/>
    <x v="1"/>
    <n v="594.79"/>
    <n v="26"/>
    <x v="0"/>
    <n v="992.17"/>
    <n v="1263.49"/>
    <x v="0"/>
    <n v="0.25"/>
    <s v="Bank Transfer"/>
    <x v="1"/>
    <s v="South-Eve"/>
    <n v="25796.42"/>
    <x v="0"/>
    <n v="24638.055"/>
    <n v="-1158.364999999998"/>
    <x v="1"/>
    <n v="-4.7015277788770203E-2"/>
  </r>
  <r>
    <s v="sales_2023_H1.csv"/>
    <s v="1056"/>
    <d v="2023-05-07T00:00:00"/>
    <x v="2"/>
    <x v="3"/>
    <n v="7611.88"/>
    <n v="28"/>
    <x v="0"/>
    <n v="1566.03"/>
    <n v="1576.34"/>
    <x v="0"/>
    <n v="0.2"/>
    <s v="Bank Transfer"/>
    <x v="0"/>
    <s v="East-David"/>
    <n v="43848.84"/>
    <x v="0"/>
    <n v="35310.015999999996"/>
    <n v="-8538.8240000000005"/>
    <x v="1"/>
    <n v="-0.24182441605237501"/>
  </r>
  <r>
    <s v="sales_2023_H1.csv"/>
    <s v="1073"/>
    <d v="2023-05-07T00:00:00"/>
    <x v="2"/>
    <x v="0"/>
    <n v="1347.42"/>
    <n v="29"/>
    <x v="0"/>
    <n v="2152.6799999999998"/>
    <n v="2475.9299999999998"/>
    <x v="0"/>
    <n v="0.22"/>
    <s v="Bank Transfer"/>
    <x v="0"/>
    <s v="North-David"/>
    <n v="62427.719999999994"/>
    <x v="0"/>
    <n v="56005.536599999999"/>
    <n v="-6422.1833999999944"/>
    <x v="1"/>
    <n v="-0.114670509201049"/>
  </r>
  <r>
    <s v="sales_2023_H1.csv"/>
    <s v="1093"/>
    <d v="2023-05-08T00:00:00"/>
    <x v="3"/>
    <x v="3"/>
    <n v="5272.85"/>
    <n v="17"/>
    <x v="1"/>
    <n v="727.38"/>
    <n v="764.54"/>
    <x v="0"/>
    <n v="0.17"/>
    <s v="Credit Card"/>
    <x v="1"/>
    <s v="East-Bob"/>
    <n v="12365.46"/>
    <x v="0"/>
    <n v="10787.6594"/>
    <n v="-1577.8005999999987"/>
    <x v="1"/>
    <n v="-0.146259771605321"/>
  </r>
  <r>
    <s v="sales_2023_H1.csv"/>
    <s v="1067"/>
    <d v="2023-05-08T00:00:00"/>
    <x v="1"/>
    <x v="0"/>
    <n v="2850.74"/>
    <n v="32"/>
    <x v="3"/>
    <n v="2171.79"/>
    <n v="2307.64"/>
    <x v="0"/>
    <n v="0.22"/>
    <s v="Bank Transfer"/>
    <x v="0"/>
    <s v="North-Charlie"/>
    <n v="69497.279999999999"/>
    <x v="0"/>
    <n v="57598.6944"/>
    <n v="-11898.585599999999"/>
    <x v="1"/>
    <n v="-0.20657734908657899"/>
  </r>
  <r>
    <s v="sales_2023_H1.csv"/>
    <s v="1026"/>
    <d v="2023-05-08T00:00:00"/>
    <x v="1"/>
    <x v="2"/>
    <n v="9519.09"/>
    <n v="20"/>
    <x v="0"/>
    <n v="2985.63"/>
    <n v="3452.14"/>
    <x v="1"/>
    <n v="0.17"/>
    <s v="Credit Card"/>
    <x v="1"/>
    <s v="West-Charlie"/>
    <n v="59712.600000000006"/>
    <x v="0"/>
    <n v="57305.523999999998"/>
    <n v="-2407.0760000000082"/>
    <x v="1"/>
    <n v="-4.20042577396205E-2"/>
  </r>
  <r>
    <s v="sales_2023_H1.csv"/>
    <s v="1012"/>
    <d v="2023-05-09T00:00:00"/>
    <x v="2"/>
    <x v="2"/>
    <n v="8070.39"/>
    <n v="13"/>
    <x v="3"/>
    <n v="1311.01"/>
    <n v="1538.79"/>
    <x v="0"/>
    <n v="0.09"/>
    <s v="Bank Transfer"/>
    <x v="1"/>
    <s v="West-David"/>
    <n v="17043.13"/>
    <x v="0"/>
    <n v="18203.885700000003"/>
    <n v="1160.7557000000015"/>
    <x v="1"/>
    <n v="6.3764172063550201E-2"/>
  </r>
  <r>
    <s v="sales_2023_H1.csv"/>
    <s v="1034"/>
    <d v="2023-05-10T00:00:00"/>
    <x v="0"/>
    <x v="3"/>
    <n v="4892.3599999999997"/>
    <n v="19"/>
    <x v="0"/>
    <n v="1922.21"/>
    <n v="2180.83"/>
    <x v="0"/>
    <n v="0.17"/>
    <s v="Credit Card"/>
    <x v="1"/>
    <s v="East-Eve"/>
    <n v="36521.99"/>
    <x v="0"/>
    <n v="34391.689099999996"/>
    <n v="-2130.300900000002"/>
    <x v="1"/>
    <n v="-6.1942316755823498E-2"/>
  </r>
  <r>
    <s v="sales_2023_H1.csv"/>
    <s v="1030"/>
    <d v="2023-05-10T00:00:00"/>
    <x v="3"/>
    <x v="1"/>
    <n v="1273.18"/>
    <n v="43"/>
    <x v="0"/>
    <n v="4696.6400000000003"/>
    <n v="4713.68"/>
    <x v="0"/>
    <n v="0.24"/>
    <s v="Bank Transfer"/>
    <x v="0"/>
    <s v="South-Bob"/>
    <n v="201955.52000000002"/>
    <x v="0"/>
    <n v="154043.06240000002"/>
    <n v="-47912.457599999994"/>
    <x v="1"/>
    <n v="-0.311032881672963"/>
  </r>
  <r>
    <s v="sales_2023_H1.csv"/>
    <s v="1063"/>
    <d v="2023-05-10T00:00:00"/>
    <x v="2"/>
    <x v="3"/>
    <n v="5870.97"/>
    <n v="47"/>
    <x v="2"/>
    <n v="4291.33"/>
    <n v="4658.6400000000003"/>
    <x v="1"/>
    <n v="0.24"/>
    <s v="Credit Card"/>
    <x v="1"/>
    <s v="East-David"/>
    <n v="201692.51"/>
    <x v="0"/>
    <n v="166406.6208"/>
    <n v="-35285.889200000005"/>
    <x v="1"/>
    <n v="-0.21204618560465399"/>
  </r>
  <r>
    <s v="sales_2023_H1.csv"/>
    <s v="1001"/>
    <d v="2023-05-10T00:00:00"/>
    <x v="2"/>
    <x v="3"/>
    <n v="3793.91"/>
    <n v="47"/>
    <x v="3"/>
    <n v="4865.33"/>
    <n v="5316.13"/>
    <x v="1"/>
    <n v="0.06"/>
    <s v="Bank Transfer"/>
    <x v="0"/>
    <s v="East-David"/>
    <n v="228670.51"/>
    <x v="0"/>
    <n v="234866.62340000001"/>
    <n v="6196.113400000002"/>
    <x v="1"/>
    <n v="2.6381413034782E-2"/>
  </r>
  <r>
    <s v="sales_2023_H1.csv"/>
    <s v="1099"/>
    <d v="2023-05-11T00:00:00"/>
    <x v="4"/>
    <x v="1"/>
    <n v="3518.89"/>
    <n v="48"/>
    <x v="3"/>
    <n v="3441.61"/>
    <n v="3693.45"/>
    <x v="0"/>
    <n v="0.19"/>
    <s v="Bank Transfer"/>
    <x v="0"/>
    <s v="South-Alice"/>
    <n v="165197.28"/>
    <x v="0"/>
    <n v="143601.33599999998"/>
    <n v="-21595.944000000018"/>
    <x v="1"/>
    <n v="-0.15038818301801901"/>
  </r>
  <r>
    <s v="sales_2023_H1.csv"/>
    <s v="1001"/>
    <d v="2023-05-11T00:00:00"/>
    <x v="0"/>
    <x v="3"/>
    <n v="5262.35"/>
    <n v="8"/>
    <x v="0"/>
    <n v="442.11"/>
    <n v="803.87"/>
    <x v="1"/>
    <n v="0.18"/>
    <s v="Cash"/>
    <x v="1"/>
    <s v="East-Eve"/>
    <n v="3536.88"/>
    <x v="0"/>
    <n v="5273.3872000000001"/>
    <n v="1736.5072"/>
    <x v="1"/>
    <n v="0.32929635813581098"/>
  </r>
  <r>
    <s v="sales_2023_H1.csv"/>
    <s v="1051"/>
    <d v="2023-05-11T00:00:00"/>
    <x v="3"/>
    <x v="0"/>
    <n v="5578.37"/>
    <n v="36"/>
    <x v="3"/>
    <n v="4418.95"/>
    <n v="4647.87"/>
    <x v="1"/>
    <n v="0.04"/>
    <s v="Bank Transfer"/>
    <x v="0"/>
    <s v="North-Bob"/>
    <n v="159082.19999999998"/>
    <x v="0"/>
    <n v="160630.3872"/>
    <n v="1548.1872000000149"/>
    <x v="1"/>
    <n v="9.6381962777215696E-3"/>
  </r>
  <r>
    <s v="sales_2023_H1.csv"/>
    <s v="1003"/>
    <d v="2023-05-11T00:00:00"/>
    <x v="1"/>
    <x v="0"/>
    <n v="6760.37"/>
    <n v="26"/>
    <x v="2"/>
    <n v="3418.78"/>
    <n v="3824.1"/>
    <x v="1"/>
    <n v="0.19"/>
    <s v="Credit Card"/>
    <x v="0"/>
    <s v="North-Charlie"/>
    <n v="88888.28"/>
    <x v="0"/>
    <n v="80535.546000000002"/>
    <n v="-8352.7339999999967"/>
    <x v="1"/>
    <n v="-0.103714873926601"/>
  </r>
  <r>
    <s v="sales_2023_H1.csv"/>
    <s v="1033"/>
    <d v="2023-05-12T00:00:00"/>
    <x v="3"/>
    <x v="0"/>
    <n v="5055.9799999999996"/>
    <n v="16"/>
    <x v="1"/>
    <n v="2915.88"/>
    <n v="3397.36"/>
    <x v="1"/>
    <n v="0.2"/>
    <s v="Bank Transfer"/>
    <x v="1"/>
    <s v="North-Bob"/>
    <n v="46654.080000000002"/>
    <x v="0"/>
    <n v="43486.208000000006"/>
    <n v="-3167.8719999999958"/>
    <x v="1"/>
    <n v="-7.2847740598582303E-2"/>
  </r>
  <r>
    <s v="sales_2023_H1.csv"/>
    <s v="1038"/>
    <d v="2023-05-12T00:00:00"/>
    <x v="3"/>
    <x v="1"/>
    <n v="8630.74"/>
    <n v="20"/>
    <x v="0"/>
    <n v="2607.31"/>
    <n v="2774.86"/>
    <x v="1"/>
    <n v="0.27"/>
    <s v="Credit Card"/>
    <x v="1"/>
    <s v="South-Bob"/>
    <n v="52146.2"/>
    <x v="0"/>
    <n v="40512.956000000006"/>
    <n v="-11633.243999999992"/>
    <x v="1"/>
    <n v="-0.287148733358286"/>
  </r>
  <r>
    <s v="sales_2023_H1.csv"/>
    <s v="1060"/>
    <d v="2023-05-13T00:00:00"/>
    <x v="1"/>
    <x v="2"/>
    <n v="5260.83"/>
    <n v="31"/>
    <x v="2"/>
    <n v="3161.4"/>
    <n v="3339.66"/>
    <x v="0"/>
    <n v="0.02"/>
    <s v="Bank Transfer"/>
    <x v="0"/>
    <s v="West-Charlie"/>
    <n v="98003.400000000009"/>
    <x v="0"/>
    <n v="101458.87079999999"/>
    <n v="3455.470799999981"/>
    <x v="1"/>
    <n v="3.40578480004134E-2"/>
  </r>
  <r>
    <s v="sales_2023_H1.csv"/>
    <s v="1039"/>
    <d v="2023-05-13T00:00:00"/>
    <x v="0"/>
    <x v="2"/>
    <n v="4422.4799999999996"/>
    <n v="40"/>
    <x v="1"/>
    <n v="3536.46"/>
    <n v="3945.82"/>
    <x v="1"/>
    <n v="0.24"/>
    <s v="Bank Transfer"/>
    <x v="0"/>
    <s v="West-Eve"/>
    <n v="141458.4"/>
    <x v="0"/>
    <n v="119952.92800000001"/>
    <n v="-21505.47199999998"/>
    <x v="1"/>
    <n v="-0.17928259325191301"/>
  </r>
  <r>
    <s v="sales_2023_H1.csv"/>
    <s v="1075"/>
    <d v="2023-05-13T00:00:00"/>
    <x v="3"/>
    <x v="3"/>
    <n v="6653.49"/>
    <n v="36"/>
    <x v="0"/>
    <n v="4337.6099999999997"/>
    <n v="4386.82"/>
    <x v="0"/>
    <n v="0.23"/>
    <s v="Credit Card"/>
    <x v="0"/>
    <s v="East-Bob"/>
    <n v="156153.96"/>
    <x v="0"/>
    <n v="121602.6504"/>
    <n v="-34551.309599999993"/>
    <x v="1"/>
    <n v="-0.28413286623561901"/>
  </r>
  <r>
    <s v="sales_2023_H1.csv"/>
    <s v="1064"/>
    <d v="2023-05-14T00:00:00"/>
    <x v="3"/>
    <x v="1"/>
    <n v="5356.28"/>
    <n v="8"/>
    <x v="2"/>
    <n v="4271.99"/>
    <n v="4417.79"/>
    <x v="0"/>
    <n v="0.04"/>
    <s v="Cash"/>
    <x v="0"/>
    <s v="South-Bob"/>
    <n v="34175.919999999998"/>
    <x v="0"/>
    <n v="33928.627199999995"/>
    <n v="-247.2928000000029"/>
    <x v="1"/>
    <n v="-7.28861791378352E-3"/>
  </r>
  <r>
    <s v="sales_2023_H1.csv"/>
    <s v="1001"/>
    <d v="2023-05-14T00:00:00"/>
    <x v="0"/>
    <x v="1"/>
    <n v="2669.46"/>
    <n v="35"/>
    <x v="2"/>
    <n v="2745.75"/>
    <n v="3244.76"/>
    <x v="1"/>
    <n v="0.05"/>
    <s v="Bank Transfer"/>
    <x v="0"/>
    <s v="South-Eve"/>
    <n v="96101.25"/>
    <x v="0"/>
    <n v="107888.27"/>
    <n v="11787.020000000004"/>
    <x v="1"/>
    <n v="0.109252099417295"/>
  </r>
  <r>
    <s v="sales_2023_H1.csv"/>
    <s v="1009"/>
    <d v="2023-05-14T00:00:00"/>
    <x v="2"/>
    <x v="2"/>
    <n v="2584.91"/>
    <n v="40"/>
    <x v="1"/>
    <n v="2799.71"/>
    <n v="3231.08"/>
    <x v="0"/>
    <n v="0.28999999999999998"/>
    <s v="Credit Card"/>
    <x v="1"/>
    <s v="West-David"/>
    <n v="111988.4"/>
    <x v="0"/>
    <n v="91762.671999999991"/>
    <n v="-20225.728000000003"/>
    <x v="1"/>
    <n v="-0.22041345962549999"/>
  </r>
  <r>
    <s v="sales_2023_H1.csv"/>
    <s v="1087"/>
    <d v="2023-05-14T00:00:00"/>
    <x v="1"/>
    <x v="2"/>
    <n v="9472.66"/>
    <n v="10"/>
    <x v="2"/>
    <n v="3988.52"/>
    <n v="4240.2299999999996"/>
    <x v="1"/>
    <n v="0.05"/>
    <s v="Credit Card"/>
    <x v="0"/>
    <s v="West-Charlie"/>
    <n v="39885.199999999997"/>
    <x v="0"/>
    <n v="40282.18499999999"/>
    <n v="396.98499999999331"/>
    <x v="1"/>
    <n v="9.8551009584011799E-3"/>
  </r>
  <r>
    <s v="sales_2023_H1.csv"/>
    <s v="1049"/>
    <d v="2023-05-14T00:00:00"/>
    <x v="0"/>
    <x v="1"/>
    <n v="9298.48"/>
    <n v="22"/>
    <x v="2"/>
    <n v="4573.6899999999996"/>
    <n v="4820.3"/>
    <x v="1"/>
    <n v="0.04"/>
    <s v="Cash"/>
    <x v="0"/>
    <s v="South-Eve"/>
    <n v="100621.18"/>
    <x v="0"/>
    <n v="101804.736"/>
    <n v="1183.5560000000114"/>
    <x v="1"/>
    <n v="1.16257459770831E-2"/>
  </r>
  <r>
    <s v="sales_2023_H1.csv"/>
    <s v="1062"/>
    <d v="2023-05-16T00:00:00"/>
    <x v="1"/>
    <x v="0"/>
    <n v="8495.6200000000008"/>
    <n v="46"/>
    <x v="1"/>
    <n v="159.32"/>
    <n v="303.36"/>
    <x v="1"/>
    <n v="0.03"/>
    <s v="Cash"/>
    <x v="1"/>
    <s v="North-Charlie"/>
    <n v="7328.7199999999993"/>
    <x v="0"/>
    <n v="13535.923200000001"/>
    <n v="6207.2032000000017"/>
    <x v="1"/>
    <n v="0.45857257818956898"/>
  </r>
  <r>
    <s v="sales_2023_H1.csv"/>
    <s v="1049"/>
    <d v="2023-05-17T00:00:00"/>
    <x v="4"/>
    <x v="2"/>
    <n v="3741.08"/>
    <n v="1"/>
    <x v="1"/>
    <n v="3290.89"/>
    <n v="3317.75"/>
    <x v="0"/>
    <n v="0.17"/>
    <s v="Bank Transfer"/>
    <x v="0"/>
    <s v="West-Alice"/>
    <n v="3290.89"/>
    <x v="0"/>
    <n v="2753.7325000000001"/>
    <n v="-537.1574999999998"/>
    <x v="1"/>
    <n v="-0.19506524326527699"/>
  </r>
  <r>
    <s v="sales_2023_H1.csv"/>
    <s v="1053"/>
    <d v="2023-05-17T00:00:00"/>
    <x v="3"/>
    <x v="1"/>
    <n v="7835.09"/>
    <n v="36"/>
    <x v="0"/>
    <n v="4252.17"/>
    <n v="4720.2700000000004"/>
    <x v="1"/>
    <n v="0.09"/>
    <s v="Cash"/>
    <x v="1"/>
    <s v="South-Bob"/>
    <n v="153078.12"/>
    <x v="0"/>
    <n v="154636.04520000002"/>
    <n v="1557.925200000027"/>
    <x v="1"/>
    <n v="1.0074786884164501E-2"/>
  </r>
  <r>
    <s v="sales_2023_H1.csv"/>
    <s v="1056"/>
    <d v="2023-05-17T00:00:00"/>
    <x v="2"/>
    <x v="2"/>
    <n v="8374.68"/>
    <n v="47"/>
    <x v="1"/>
    <n v="2461.6999999999998"/>
    <n v="2529.02"/>
    <x v="0"/>
    <n v="0.22"/>
    <s v="Cash"/>
    <x v="1"/>
    <s v="West-David"/>
    <n v="115699.9"/>
    <x v="0"/>
    <n v="92713.873200000002"/>
    <n v="-22986.026799999992"/>
    <x v="1"/>
    <n v="-0.24792435054908299"/>
  </r>
  <r>
    <s v="sales_2023_H1.csv"/>
    <s v="1004"/>
    <d v="2023-05-17T00:00:00"/>
    <x v="4"/>
    <x v="0"/>
    <n v="5198.5600000000004"/>
    <n v="36"/>
    <x v="3"/>
    <n v="3981.2"/>
    <n v="4432.3500000000004"/>
    <x v="1"/>
    <n v="0.14000000000000001"/>
    <s v="Cash"/>
    <x v="0"/>
    <s v="North-Alice"/>
    <n v="143323.19999999998"/>
    <x v="0"/>
    <n v="137225.55600000001"/>
    <n v="-6097.6439999999711"/>
    <x v="1"/>
    <n v="-4.4435192523468198E-2"/>
  </r>
  <r>
    <s v="sales_2023_H1.csv"/>
    <s v="1050"/>
    <d v="2023-05-17T00:00:00"/>
    <x v="3"/>
    <x v="0"/>
    <n v="2254.91"/>
    <n v="45"/>
    <x v="1"/>
    <n v="112.35"/>
    <n v="586.17999999999995"/>
    <x v="0"/>
    <n v="0.28000000000000003"/>
    <s v="Credit Card"/>
    <x v="1"/>
    <s v="North-Bob"/>
    <n v="5055.75"/>
    <x v="0"/>
    <n v="18992.232"/>
    <n v="13936.482"/>
    <x v="1"/>
    <n v="0.73379906058434796"/>
  </r>
  <r>
    <s v="sales_2023_H1.csv"/>
    <s v="1063"/>
    <d v="2023-05-18T00:00:00"/>
    <x v="3"/>
    <x v="2"/>
    <n v="3098.87"/>
    <n v="39"/>
    <x v="3"/>
    <n v="3577.69"/>
    <n v="3931.25"/>
    <x v="0"/>
    <n v="0.21"/>
    <s v="Cash"/>
    <x v="1"/>
    <s v="West-Bob"/>
    <n v="139529.91"/>
    <x v="0"/>
    <n v="121121.8125"/>
    <n v="-18408.097500000003"/>
    <x v="1"/>
    <n v="-0.15198003662635101"/>
  </r>
  <r>
    <s v="sales_2023_H1.csv"/>
    <s v="1050"/>
    <d v="2023-05-19T00:00:00"/>
    <x v="1"/>
    <x v="3"/>
    <n v="9744.52"/>
    <n v="35"/>
    <x v="0"/>
    <n v="2158.69"/>
    <n v="2384.38"/>
    <x v="0"/>
    <n v="0.09"/>
    <s v="Bank Transfer"/>
    <x v="1"/>
    <s v="East-Charlie"/>
    <n v="75554.150000000009"/>
    <x v="0"/>
    <n v="75942.503000000012"/>
    <n v="388.35300000000279"/>
    <x v="1"/>
    <n v="5.1137766686463098E-3"/>
  </r>
  <r>
    <s v="sales_2023_H1.csv"/>
    <s v="1071"/>
    <d v="2023-05-20T00:00:00"/>
    <x v="0"/>
    <x v="2"/>
    <n v="3003.76"/>
    <n v="6"/>
    <x v="1"/>
    <n v="2831.23"/>
    <n v="3206.98"/>
    <x v="0"/>
    <n v="0.06"/>
    <s v="Bank Transfer"/>
    <x v="1"/>
    <s v="West-Eve"/>
    <n v="16987.38"/>
    <x v="0"/>
    <n v="18087.367200000001"/>
    <n v="1099.9871999999996"/>
    <x v="1"/>
    <n v="6.08152191436684E-2"/>
  </r>
  <r>
    <s v="sales_2023_H1.csv"/>
    <s v="1012"/>
    <d v="2023-05-20T00:00:00"/>
    <x v="3"/>
    <x v="0"/>
    <n v="5371.79"/>
    <n v="16"/>
    <x v="3"/>
    <n v="3466.11"/>
    <n v="3799.67"/>
    <x v="0"/>
    <n v="0.01"/>
    <s v="Cash"/>
    <x v="1"/>
    <s v="North-Bob"/>
    <n v="55457.760000000002"/>
    <x v="0"/>
    <n v="60186.772799999999"/>
    <n v="4729.0127999999968"/>
    <x v="1"/>
    <n v="7.8572293877833502E-2"/>
  </r>
  <r>
    <s v="sales_2023_H1.csv"/>
    <s v="1059"/>
    <d v="2023-05-21T00:00:00"/>
    <x v="4"/>
    <x v="0"/>
    <n v="5108.9799999999996"/>
    <n v="37"/>
    <x v="2"/>
    <n v="4146.99"/>
    <n v="4172.3500000000004"/>
    <x v="0"/>
    <n v="0.06"/>
    <s v="Cash"/>
    <x v="1"/>
    <s v="North-Alice"/>
    <n v="153438.63"/>
    <x v="0"/>
    <n v="145114.33300000001"/>
    <n v="-8324.2969999999914"/>
    <x v="1"/>
    <n v="-5.7363713341810202E-2"/>
  </r>
  <r>
    <s v="sales_2023_H1.csv"/>
    <s v="1002"/>
    <d v="2023-05-21T00:00:00"/>
    <x v="1"/>
    <x v="2"/>
    <n v="7828.25"/>
    <n v="26"/>
    <x v="0"/>
    <n v="2041.42"/>
    <n v="2291.17"/>
    <x v="0"/>
    <n v="0.28000000000000003"/>
    <s v="Cash"/>
    <x v="0"/>
    <s v="West-Charlie"/>
    <n v="53076.92"/>
    <x v="0"/>
    <n v="42890.702399999995"/>
    <n v="-10186.217600000004"/>
    <x v="1"/>
    <n v="-0.23749244078595499"/>
  </r>
  <r>
    <s v="sales_2023_H1.csv"/>
    <s v="1008"/>
    <d v="2023-05-21T00:00:00"/>
    <x v="2"/>
    <x v="3"/>
    <n v="5197.84"/>
    <n v="37"/>
    <x v="1"/>
    <n v="1712.43"/>
    <n v="1980.06"/>
    <x v="1"/>
    <n v="0.26"/>
    <s v="Cash"/>
    <x v="0"/>
    <s v="East-David"/>
    <n v="63359.91"/>
    <x v="0"/>
    <n v="54214.042800000003"/>
    <n v="-9145.8672000000006"/>
    <x v="1"/>
    <n v="-0.16869922860650399"/>
  </r>
  <r>
    <s v="sales_2023_H1.csv"/>
    <s v="1035"/>
    <d v="2023-05-22T00:00:00"/>
    <x v="4"/>
    <x v="1"/>
    <n v="3780.22"/>
    <n v="45"/>
    <x v="3"/>
    <n v="4132.79"/>
    <n v="4624.1000000000004"/>
    <x v="1"/>
    <n v="0.15"/>
    <s v="Credit Card"/>
    <x v="1"/>
    <s v="South-Alice"/>
    <n v="185975.55"/>
    <x v="0"/>
    <n v="176871.82500000001"/>
    <n v="-9103.7249999999767"/>
    <x v="1"/>
    <n v="-5.1470747248749102E-2"/>
  </r>
  <r>
    <s v="sales_2023_H1.csv"/>
    <s v="1049"/>
    <d v="2023-05-22T00:00:00"/>
    <x v="3"/>
    <x v="3"/>
    <n v="4216.17"/>
    <n v="19"/>
    <x v="0"/>
    <n v="3316.97"/>
    <n v="3544.02"/>
    <x v="0"/>
    <n v="0.14000000000000001"/>
    <s v="Cash"/>
    <x v="0"/>
    <s v="East-Bob"/>
    <n v="63022.429999999993"/>
    <x v="0"/>
    <n v="57909.286800000002"/>
    <n v="-5113.1431999999913"/>
    <x v="1"/>
    <n v="-8.82957377399438E-2"/>
  </r>
  <r>
    <s v="sales_2023_H1.csv"/>
    <s v="1044"/>
    <d v="2023-05-23T00:00:00"/>
    <x v="3"/>
    <x v="2"/>
    <n v="8552.4699999999993"/>
    <n v="19"/>
    <x v="3"/>
    <n v="2182.75"/>
    <n v="2504.0300000000002"/>
    <x v="1"/>
    <n v="0.01"/>
    <s v="Bank Transfer"/>
    <x v="0"/>
    <s v="West-Bob"/>
    <n v="41472.25"/>
    <x v="0"/>
    <n v="47100.804300000003"/>
    <n v="5628.5543000000034"/>
    <x v="1"/>
    <n v="0.119500173800642"/>
  </r>
  <r>
    <s v="sales_2023_H1.csv"/>
    <s v="1100"/>
    <d v="2023-05-23T00:00:00"/>
    <x v="3"/>
    <x v="2"/>
    <n v="7667.96"/>
    <n v="29"/>
    <x v="3"/>
    <n v="3559.56"/>
    <n v="3607.15"/>
    <x v="0"/>
    <n v="0.21"/>
    <s v="Cash"/>
    <x v="1"/>
    <s v="West-Bob"/>
    <n v="103227.24"/>
    <x v="0"/>
    <n v="82639.806500000006"/>
    <n v="-20587.433499999999"/>
    <x v="1"/>
    <n v="-0.24912247949176899"/>
  </r>
  <r>
    <s v="sales_2023_H1.csv"/>
    <s v="1067"/>
    <d v="2023-05-23T00:00:00"/>
    <x v="3"/>
    <x v="0"/>
    <n v="3133.99"/>
    <n v="49"/>
    <x v="1"/>
    <n v="2628.38"/>
    <n v="2644.54"/>
    <x v="0"/>
    <n v="0.11"/>
    <s v="Cash"/>
    <x v="0"/>
    <s v="North-Bob"/>
    <n v="128790.62000000001"/>
    <x v="0"/>
    <n v="115328.3894"/>
    <n v="-13462.23060000001"/>
    <x v="1"/>
    <n v="-0.116729546558638"/>
  </r>
  <r>
    <s v="sales_2023_H1.csv"/>
    <s v="1019"/>
    <d v="2023-05-24T00:00:00"/>
    <x v="0"/>
    <x v="1"/>
    <n v="1114.9100000000001"/>
    <n v="13"/>
    <x v="3"/>
    <n v="3102.73"/>
    <n v="3202.68"/>
    <x v="1"/>
    <n v="0.09"/>
    <s v="Cash"/>
    <x v="0"/>
    <s v="South-Eve"/>
    <n v="40335.49"/>
    <x v="0"/>
    <n v="37887.704399999995"/>
    <n v="-2447.7856000000029"/>
    <x v="1"/>
    <n v="-6.4606331757592603E-2"/>
  </r>
  <r>
    <s v="sales_2023_H1.csv"/>
    <s v="1091"/>
    <d v="2023-05-25T00:00:00"/>
    <x v="4"/>
    <x v="0"/>
    <n v="9610.2099999999991"/>
    <n v="24"/>
    <x v="0"/>
    <n v="3639.3"/>
    <n v="3750.63"/>
    <x v="1"/>
    <n v="0.23"/>
    <s v="Bank Transfer"/>
    <x v="1"/>
    <s v="North-Alice"/>
    <n v="87343.200000000012"/>
    <x v="0"/>
    <n v="69311.642399999997"/>
    <n v="-18031.557600000015"/>
    <x v="1"/>
    <n v="-0.26015193083925597"/>
  </r>
  <r>
    <s v="sales_2023_H1.csv"/>
    <s v="1005"/>
    <d v="2023-05-25T00:00:00"/>
    <x v="0"/>
    <x v="0"/>
    <n v="833.64"/>
    <n v="2"/>
    <x v="0"/>
    <n v="1392.15"/>
    <n v="1448.54"/>
    <x v="0"/>
    <n v="0.02"/>
    <s v="Bank Transfer"/>
    <x v="1"/>
    <s v="North-Eve"/>
    <n v="2784.3"/>
    <x v="0"/>
    <n v="2839.1383999999998"/>
    <n v="54.838399999999638"/>
    <x v="1"/>
    <n v="1.9315155611998199E-2"/>
  </r>
  <r>
    <s v="sales_2023_H1.csv"/>
    <s v="1092"/>
    <d v="2023-05-25T00:00:00"/>
    <x v="3"/>
    <x v="3"/>
    <n v="9220.94"/>
    <n v="20"/>
    <x v="3"/>
    <n v="668.11"/>
    <n v="803.49"/>
    <x v="1"/>
    <n v="0.21"/>
    <s v="Bank Transfer"/>
    <x v="0"/>
    <s v="East-Bob"/>
    <n v="13362.2"/>
    <x v="0"/>
    <n v="12695.142"/>
    <n v="-667.0580000000009"/>
    <x v="1"/>
    <n v="-5.2544351217182199E-2"/>
  </r>
  <r>
    <s v="sales_2023_H1.csv"/>
    <s v="1042"/>
    <d v="2023-05-26T00:00:00"/>
    <x v="3"/>
    <x v="3"/>
    <n v="848.28"/>
    <n v="1"/>
    <x v="2"/>
    <n v="1406.24"/>
    <n v="1535.57"/>
    <x v="1"/>
    <n v="0.08"/>
    <s v="Credit Card"/>
    <x v="1"/>
    <s v="East-Bob"/>
    <n v="1406.24"/>
    <x v="0"/>
    <n v="1412.7244000000001"/>
    <n v="6.4844000000000506"/>
    <x v="1"/>
    <n v="4.5899964635707103E-3"/>
  </r>
  <r>
    <s v="sales_2023_H1.csv"/>
    <s v="1082"/>
    <d v="2023-05-26T00:00:00"/>
    <x v="2"/>
    <x v="1"/>
    <n v="6994.66"/>
    <n v="2"/>
    <x v="1"/>
    <n v="1349.3"/>
    <n v="1576.69"/>
    <x v="0"/>
    <n v="0.12"/>
    <s v="Credit Card"/>
    <x v="0"/>
    <s v="South-David"/>
    <n v="2698.6"/>
    <x v="0"/>
    <n v="2774.9744000000001"/>
    <n v="76.374400000000151"/>
    <x v="1"/>
    <n v="2.75225602081231E-2"/>
  </r>
  <r>
    <s v="sales_2023_H1.csv"/>
    <s v="1069"/>
    <d v="2023-05-27T00:00:00"/>
    <x v="1"/>
    <x v="2"/>
    <n v="5760.29"/>
    <n v="44"/>
    <x v="2"/>
    <n v="1084.73"/>
    <n v="1420.9"/>
    <x v="0"/>
    <n v="0.05"/>
    <s v="Credit Card"/>
    <x v="0"/>
    <s v="West-Charlie"/>
    <n v="47728.12"/>
    <x v="0"/>
    <n v="59393.62"/>
    <n v="11665.5"/>
    <x v="1"/>
    <n v="0.19640998477614299"/>
  </r>
  <r>
    <s v="sales_2023_H1.csv"/>
    <s v="1003"/>
    <d v="2023-05-27T00:00:00"/>
    <x v="0"/>
    <x v="3"/>
    <n v="5119.8900000000003"/>
    <n v="39"/>
    <x v="0"/>
    <n v="310.95999999999998"/>
    <n v="457.84"/>
    <x v="1"/>
    <n v="0.03"/>
    <s v="Credit Card"/>
    <x v="0"/>
    <s v="East-Eve"/>
    <n v="12127.439999999999"/>
    <x v="0"/>
    <n v="17320.087199999998"/>
    <n v="5192.6471999999994"/>
    <x v="1"/>
    <n v="0.29980491091292"/>
  </r>
  <r>
    <s v="sales_2023_H1.csv"/>
    <s v="1074"/>
    <d v="2023-05-27T00:00:00"/>
    <x v="0"/>
    <x v="2"/>
    <n v="6710.83"/>
    <n v="2"/>
    <x v="3"/>
    <n v="3173.69"/>
    <n v="3503.11"/>
    <x v="1"/>
    <n v="0.2"/>
    <s v="Bank Transfer"/>
    <x v="1"/>
    <s v="West-Eve"/>
    <n v="6347.38"/>
    <x v="0"/>
    <n v="5604.9760000000006"/>
    <n v="-742.40399999999954"/>
    <x v="1"/>
    <n v="-0.13245444761940101"/>
  </r>
  <r>
    <s v="sales_2023_H1.csv"/>
    <s v="1001"/>
    <d v="2023-05-27T00:00:00"/>
    <x v="4"/>
    <x v="1"/>
    <n v="1498.11"/>
    <n v="7"/>
    <x v="2"/>
    <n v="4094.68"/>
    <n v="4576.5"/>
    <x v="1"/>
    <n v="0.3"/>
    <s v="Cash"/>
    <x v="1"/>
    <s v="South-Alice"/>
    <n v="28662.76"/>
    <x v="0"/>
    <n v="22424.85"/>
    <n v="-6237.91"/>
    <x v="1"/>
    <n v="-0.27816953067690497"/>
  </r>
  <r>
    <s v="sales_2023_H1.csv"/>
    <s v="1062"/>
    <d v="2023-05-28T00:00:00"/>
    <x v="3"/>
    <x v="1"/>
    <n v="7567.22"/>
    <n v="28"/>
    <x v="2"/>
    <n v="933.16"/>
    <n v="1004.7"/>
    <x v="0"/>
    <n v="0.18"/>
    <s v="Bank Transfer"/>
    <x v="0"/>
    <s v="South-Bob"/>
    <n v="26128.48"/>
    <x v="0"/>
    <n v="23067.912000000004"/>
    <n v="-3060.5679999999957"/>
    <x v="1"/>
    <n v="-0.13267642082213599"/>
  </r>
  <r>
    <s v="sales_2023_H1.csv"/>
    <s v="1050"/>
    <d v="2023-05-28T00:00:00"/>
    <x v="4"/>
    <x v="0"/>
    <n v="8086.27"/>
    <n v="6"/>
    <x v="1"/>
    <n v="3763.26"/>
    <n v="4102.72"/>
    <x v="1"/>
    <n v="0.11"/>
    <s v="Credit Card"/>
    <x v="1"/>
    <s v="North-Alice"/>
    <n v="22579.56"/>
    <x v="0"/>
    <n v="21908.524799999999"/>
    <n v="-671.03520000000208"/>
    <x v="1"/>
    <n v="-3.0628954077273202E-2"/>
  </r>
  <r>
    <s v="sales_2023_H1.csv"/>
    <s v="1017"/>
    <d v="2023-05-28T00:00:00"/>
    <x v="2"/>
    <x v="3"/>
    <n v="2222.62"/>
    <n v="35"/>
    <x v="2"/>
    <n v="4867.6400000000003"/>
    <n v="5287.05"/>
    <x v="0"/>
    <n v="0.28000000000000003"/>
    <s v="Credit Card"/>
    <x v="0"/>
    <s v="East-David"/>
    <n v="170367.40000000002"/>
    <x v="0"/>
    <n v="133233.66"/>
    <n v="-37133.74000000002"/>
    <x v="1"/>
    <n v="-0.27871140070759898"/>
  </r>
  <r>
    <s v="sales_2023_H1.csv"/>
    <s v="1019"/>
    <d v="2023-05-28T00:00:00"/>
    <x v="4"/>
    <x v="3"/>
    <n v="6917.45"/>
    <n v="28"/>
    <x v="1"/>
    <n v="3907.86"/>
    <n v="4205.37"/>
    <x v="1"/>
    <n v="0.09"/>
    <s v="Credit Card"/>
    <x v="0"/>
    <s v="East-Alice"/>
    <n v="109420.08"/>
    <x v="0"/>
    <n v="107152.8276"/>
    <n v="-2267.2523999999976"/>
    <x v="1"/>
    <n v="-2.1159053389273302E-2"/>
  </r>
  <r>
    <s v="sales_2023_H1.csv"/>
    <s v="1006"/>
    <d v="2023-05-28T00:00:00"/>
    <x v="3"/>
    <x v="0"/>
    <n v="8109.33"/>
    <n v="11"/>
    <x v="3"/>
    <n v="4562.58"/>
    <n v="4925.17"/>
    <x v="1"/>
    <n v="0.23"/>
    <s v="Cash"/>
    <x v="1"/>
    <s v="North-Bob"/>
    <n v="50188.38"/>
    <x v="0"/>
    <n v="41716.189900000005"/>
    <n v="-8472.1900999999925"/>
    <x v="1"/>
    <n v="-0.20309117683827599"/>
  </r>
  <r>
    <s v="sales_2023_H1.csv"/>
    <s v="1055"/>
    <d v="2023-05-29T00:00:00"/>
    <x v="0"/>
    <x v="0"/>
    <n v="4153.18"/>
    <n v="40"/>
    <x v="1"/>
    <n v="959.73"/>
    <n v="1111.4100000000001"/>
    <x v="1"/>
    <n v="0.23"/>
    <s v="Bank Transfer"/>
    <x v="0"/>
    <s v="North-Eve"/>
    <n v="38389.199999999997"/>
    <x v="0"/>
    <n v="34231.428"/>
    <n v="-4157.7719999999972"/>
    <x v="1"/>
    <n v="-0.121460664743522"/>
  </r>
  <r>
    <s v="sales_2023_H1.csv"/>
    <s v="1070"/>
    <d v="2023-05-29T00:00:00"/>
    <x v="1"/>
    <x v="1"/>
    <n v="1108.74"/>
    <n v="14"/>
    <x v="1"/>
    <n v="3796.79"/>
    <n v="3947.5"/>
    <x v="0"/>
    <n v="0.24"/>
    <s v="Bank Transfer"/>
    <x v="0"/>
    <s v="South-Charlie"/>
    <n v="53155.06"/>
    <x v="0"/>
    <n v="42001.4"/>
    <n v="-11153.659999999996"/>
    <x v="1"/>
    <n v="-0.265554481517283"/>
  </r>
  <r>
    <s v="sales_2023_H1.csv"/>
    <s v="1069"/>
    <d v="2023-05-29T00:00:00"/>
    <x v="4"/>
    <x v="0"/>
    <n v="4494.8"/>
    <n v="30"/>
    <x v="2"/>
    <n v="300.01"/>
    <n v="477.68"/>
    <x v="1"/>
    <n v="0.11"/>
    <s v="Bank Transfer"/>
    <x v="1"/>
    <s v="North-Alice"/>
    <n v="9000.2999999999993"/>
    <x v="0"/>
    <n v="12754.056"/>
    <n v="3753.7560000000012"/>
    <x v="1"/>
    <n v="0.29431860735126197"/>
  </r>
  <r>
    <s v="sales_2023_H1.csv"/>
    <s v="1002"/>
    <d v="2023-05-30T00:00:00"/>
    <x v="2"/>
    <x v="0"/>
    <n v="6810.35"/>
    <n v="17"/>
    <x v="1"/>
    <n v="4024.76"/>
    <n v="4420.1499999999996"/>
    <x v="0"/>
    <n v="0.04"/>
    <s v="Cash"/>
    <x v="0"/>
    <s v="North-David"/>
    <n v="68420.92"/>
    <x v="0"/>
    <n v="72136.847999999984"/>
    <n v="3715.9279999999853"/>
    <x v="1"/>
    <n v="5.1512203582834502E-2"/>
  </r>
  <r>
    <s v="sales_2023_H1.csv"/>
    <s v="1040"/>
    <d v="2023-05-30T00:00:00"/>
    <x v="4"/>
    <x v="1"/>
    <n v="4284.03"/>
    <n v="47"/>
    <x v="0"/>
    <n v="1656.82"/>
    <n v="1750.38"/>
    <x v="1"/>
    <n v="0.21"/>
    <s v="Credit Card"/>
    <x v="0"/>
    <s v="South-Alice"/>
    <n v="77870.539999999994"/>
    <x v="0"/>
    <n v="64991.609400000001"/>
    <n v="-12878.930599999992"/>
    <x v="1"/>
    <n v="-0.19816297394229501"/>
  </r>
  <r>
    <s v="sales_2023_H1.csv"/>
    <s v="1002"/>
    <d v="2023-05-30T00:00:00"/>
    <x v="0"/>
    <x v="0"/>
    <n v="3737.17"/>
    <n v="44"/>
    <x v="1"/>
    <n v="1393.58"/>
    <n v="1533.09"/>
    <x v="0"/>
    <n v="0.24"/>
    <s v="Credit Card"/>
    <x v="1"/>
    <s v="North-Eve"/>
    <n v="61317.52"/>
    <x v="0"/>
    <n v="51266.529599999994"/>
    <n v="-10050.990400000002"/>
    <x v="1"/>
    <n v="-0.196053652908076"/>
  </r>
  <r>
    <s v="sales_2023_H1.csv"/>
    <s v="1064"/>
    <d v="2023-05-31T00:00:00"/>
    <x v="2"/>
    <x v="1"/>
    <n v="2579.63"/>
    <n v="8"/>
    <x v="0"/>
    <n v="816.54"/>
    <n v="1191.9000000000001"/>
    <x v="1"/>
    <n v="0.03"/>
    <s v="Cash"/>
    <x v="1"/>
    <s v="South-David"/>
    <n v="6532.32"/>
    <x v="0"/>
    <n v="9249.1440000000002"/>
    <n v="2716.8240000000005"/>
    <x v="1"/>
    <n v="0.29373788536539203"/>
  </r>
  <r>
    <s v="sales_2023_H1.csv"/>
    <s v="1022"/>
    <d v="2023-06-01T00:00:00"/>
    <x v="2"/>
    <x v="3"/>
    <n v="8913.1299999999992"/>
    <n v="9"/>
    <x v="2"/>
    <n v="2263.65"/>
    <n v="2558.9499999999998"/>
    <x v="1"/>
    <n v="0.03"/>
    <s v="Cash"/>
    <x v="0"/>
    <s v="East-David"/>
    <n v="20372.850000000002"/>
    <x v="0"/>
    <n v="22339.6335"/>
    <n v="1966.7834999999977"/>
    <x v="1"/>
    <n v="8.8040096987267003E-2"/>
  </r>
  <r>
    <s v="sales_2023_H1.csv"/>
    <s v="1019"/>
    <d v="2023-06-01T00:00:00"/>
    <x v="3"/>
    <x v="3"/>
    <n v="3109.03"/>
    <n v="38"/>
    <x v="0"/>
    <n v="3637.25"/>
    <n v="4096.96"/>
    <x v="0"/>
    <n v="0.09"/>
    <s v="Bank Transfer"/>
    <x v="0"/>
    <s v="East-Bob"/>
    <n v="138215.5"/>
    <x v="0"/>
    <n v="141672.87680000003"/>
    <n v="3457.3768000000273"/>
    <x v="1"/>
    <n v="2.4403942928898199E-2"/>
  </r>
  <r>
    <s v="sales_2023_H1.csv"/>
    <s v="1099"/>
    <d v="2023-06-01T00:00:00"/>
    <x v="4"/>
    <x v="1"/>
    <n v="2496.02"/>
    <n v="2"/>
    <x v="2"/>
    <n v="2038.4"/>
    <n v="2073.3200000000002"/>
    <x v="1"/>
    <n v="0.16"/>
    <s v="Cash"/>
    <x v="1"/>
    <s v="South-Alice"/>
    <n v="4076.8"/>
    <x v="0"/>
    <n v="3483.1776"/>
    <n v="-593.6224000000002"/>
    <x v="1"/>
    <n v="-0.170425533283172"/>
  </r>
  <r>
    <s v="sales_2023_H1.csv"/>
    <s v="1050"/>
    <d v="2023-06-01T00:00:00"/>
    <x v="3"/>
    <x v="1"/>
    <n v="5105.78"/>
    <n v="23"/>
    <x v="1"/>
    <n v="3756.06"/>
    <n v="4255.7299999999996"/>
    <x v="0"/>
    <n v="0.04"/>
    <s v="Cash"/>
    <x v="0"/>
    <s v="South-Bob"/>
    <n v="86389.38"/>
    <x v="0"/>
    <n v="93966.518399999986"/>
    <n v="7577.1383999999816"/>
    <x v="1"/>
    <n v="8.0636577038486798E-2"/>
  </r>
  <r>
    <s v="sales_2023_H1.csv"/>
    <s v="1013"/>
    <d v="2023-06-01T00:00:00"/>
    <x v="1"/>
    <x v="3"/>
    <n v="2985.46"/>
    <n v="16"/>
    <x v="1"/>
    <n v="1222.1500000000001"/>
    <n v="1284.3599999999999"/>
    <x v="0"/>
    <n v="0.03"/>
    <s v="Credit Card"/>
    <x v="1"/>
    <s v="East-Charlie"/>
    <n v="19554.400000000001"/>
    <x v="0"/>
    <n v="19933.267199999998"/>
    <n v="378.86719999999696"/>
    <x v="1"/>
    <n v="1.9006778778342798E-2"/>
  </r>
  <r>
    <s v="sales_2023_H1.csv"/>
    <s v="1086"/>
    <d v="2023-06-02T00:00:00"/>
    <x v="3"/>
    <x v="3"/>
    <n v="2495.5700000000002"/>
    <n v="3"/>
    <x v="2"/>
    <n v="1595.35"/>
    <n v="1625.71"/>
    <x v="1"/>
    <n v="0.27"/>
    <s v="Cash"/>
    <x v="0"/>
    <s v="East-Bob"/>
    <n v="4786.0499999999993"/>
    <x v="0"/>
    <n v="3560.3049000000001"/>
    <n v="-1225.7450999999992"/>
    <x v="1"/>
    <n v="-0.34428093504014201"/>
  </r>
  <r>
    <s v="sales_2023_H1.csv"/>
    <s v="1057"/>
    <d v="2023-06-02T00:00:00"/>
    <x v="3"/>
    <x v="1"/>
    <n v="9653.65"/>
    <n v="12"/>
    <x v="2"/>
    <n v="1878.3"/>
    <n v="2087.4499999999998"/>
    <x v="1"/>
    <n v="0.05"/>
    <s v="Bank Transfer"/>
    <x v="1"/>
    <s v="South-Bob"/>
    <n v="22539.599999999999"/>
    <x v="0"/>
    <n v="23796.929999999997"/>
    <n v="1257.3299999999981"/>
    <x v="1"/>
    <n v="5.2835806971739598E-2"/>
  </r>
  <r>
    <s v="sales_2023_H1.csv"/>
    <s v="1024"/>
    <d v="2023-06-02T00:00:00"/>
    <x v="4"/>
    <x v="2"/>
    <n v="1799.77"/>
    <n v="2"/>
    <x v="1"/>
    <n v="3604.93"/>
    <n v="3830.71"/>
    <x v="0"/>
    <n v="0.12"/>
    <s v="Credit Card"/>
    <x v="0"/>
    <s v="West-Alice"/>
    <n v="7209.86"/>
    <x v="0"/>
    <n v="6742.0496000000003"/>
    <n v="-467.81039999999939"/>
    <x v="1"/>
    <n v="-6.9386970988762703E-2"/>
  </r>
  <r>
    <s v="sales_2023_H1.csv"/>
    <s v="1059"/>
    <d v="2023-06-02T00:00:00"/>
    <x v="3"/>
    <x v="2"/>
    <n v="279.43"/>
    <n v="47"/>
    <x v="1"/>
    <n v="287.17"/>
    <n v="657.44"/>
    <x v="0"/>
    <n v="0.14000000000000001"/>
    <s v="Credit Card"/>
    <x v="1"/>
    <s v="West-Bob"/>
    <n v="13496.990000000002"/>
    <x v="0"/>
    <n v="26573.724800000004"/>
    <n v="13076.734800000002"/>
    <x v="1"/>
    <n v="0.49209265537362701"/>
  </r>
  <r>
    <s v="sales_2023_H1.csv"/>
    <s v="1057"/>
    <d v="2023-06-02T00:00:00"/>
    <x v="0"/>
    <x v="3"/>
    <n v="2046.87"/>
    <n v="22"/>
    <x v="3"/>
    <n v="3462.61"/>
    <n v="3672.89"/>
    <x v="0"/>
    <n v="0.27"/>
    <s v="Credit Card"/>
    <x v="0"/>
    <s v="East-Eve"/>
    <n v="76177.42"/>
    <x v="0"/>
    <n v="58986.613400000002"/>
    <n v="-17190.806599999996"/>
    <x v="1"/>
    <n v="-0.29143572768664799"/>
  </r>
  <r>
    <s v="sales_2023_H1.csv"/>
    <s v="1069"/>
    <d v="2023-06-03T00:00:00"/>
    <x v="2"/>
    <x v="2"/>
    <n v="6581.04"/>
    <n v="42"/>
    <x v="0"/>
    <n v="1434.2"/>
    <n v="1482.88"/>
    <x v="1"/>
    <n v="0.28000000000000003"/>
    <s v="Credit Card"/>
    <x v="1"/>
    <s v="West-David"/>
    <n v="60236.4"/>
    <x v="0"/>
    <n v="44842.2912"/>
    <n v="-15394.108800000002"/>
    <x v="1"/>
    <n v="-0.34329443005802501"/>
  </r>
  <r>
    <s v="sales_2023_H1.csv"/>
    <s v="1039"/>
    <d v="2023-06-03T00:00:00"/>
    <x v="3"/>
    <x v="1"/>
    <n v="3099.02"/>
    <n v="8"/>
    <x v="0"/>
    <n v="3380.14"/>
    <n v="3609.34"/>
    <x v="0"/>
    <n v="0.09"/>
    <s v="Credit Card"/>
    <x v="0"/>
    <s v="South-Bob"/>
    <n v="27041.119999999999"/>
    <x v="0"/>
    <n v="26275.995200000001"/>
    <n v="-765.12479999999778"/>
    <x v="1"/>
    <n v="-2.91187752995174E-2"/>
  </r>
  <r>
    <s v="sales_2023_H1.csv"/>
    <s v="1090"/>
    <d v="2023-06-03T00:00:00"/>
    <x v="0"/>
    <x v="0"/>
    <n v="2132.8000000000002"/>
    <n v="41"/>
    <x v="1"/>
    <n v="2055.4899999999998"/>
    <n v="2441.46"/>
    <x v="1"/>
    <n v="0.24"/>
    <s v="Credit Card"/>
    <x v="0"/>
    <s v="North-Eve"/>
    <n v="84275.09"/>
    <x v="0"/>
    <n v="76075.893599999996"/>
    <n v="-8199.1964000000007"/>
    <x v="1"/>
    <n v="-0.10777653750754"/>
  </r>
  <r>
    <s v="sales_2023_H1.csv"/>
    <s v="1090"/>
    <d v="2023-06-03T00:00:00"/>
    <x v="2"/>
    <x v="1"/>
    <n v="6106.64"/>
    <n v="47"/>
    <x v="1"/>
    <n v="85.35"/>
    <n v="360.54"/>
    <x v="1"/>
    <n v="0.28000000000000003"/>
    <s v="Cash"/>
    <x v="0"/>
    <s v="South-David"/>
    <n v="4011.45"/>
    <x v="0"/>
    <n v="12200.6736"/>
    <n v="8189.2236000000003"/>
    <x v="1"/>
    <n v="0.67121077642795102"/>
  </r>
  <r>
    <s v="sales_2023_H1.csv"/>
    <s v="1016"/>
    <d v="2023-06-03T00:00:00"/>
    <x v="2"/>
    <x v="2"/>
    <n v="5848.92"/>
    <n v="46"/>
    <x v="0"/>
    <n v="1023.5"/>
    <n v="1164.4100000000001"/>
    <x v="0"/>
    <n v="0.28000000000000003"/>
    <s v="Credit Card"/>
    <x v="1"/>
    <s v="West-David"/>
    <n v="47081"/>
    <x v="0"/>
    <n v="38565.2592"/>
    <n v="-8515.7407999999996"/>
    <x v="1"/>
    <n v="-0.220813783613828"/>
  </r>
  <r>
    <s v="sales_2023_H1.csv"/>
    <s v="1021"/>
    <d v="2023-06-04T00:00:00"/>
    <x v="0"/>
    <x v="0"/>
    <n v="2265.2800000000002"/>
    <n v="22"/>
    <x v="2"/>
    <n v="1296.44"/>
    <n v="1751.24"/>
    <x v="1"/>
    <n v="0.22"/>
    <s v="Cash"/>
    <x v="0"/>
    <s v="North-Eve"/>
    <n v="28521.68"/>
    <x v="0"/>
    <n v="30051.278399999999"/>
    <n v="1529.5983999999989"/>
    <x v="1"/>
    <n v="5.0899611645140501E-2"/>
  </r>
  <r>
    <s v="sales_2023_H1.csv"/>
    <s v="1096"/>
    <d v="2023-06-04T00:00:00"/>
    <x v="3"/>
    <x v="1"/>
    <n v="9019.51"/>
    <n v="14"/>
    <x v="1"/>
    <n v="2251.9499999999998"/>
    <n v="2626.32"/>
    <x v="0"/>
    <n v="0.21"/>
    <s v="Credit Card"/>
    <x v="0"/>
    <s v="South-Bob"/>
    <n v="31527.299999999996"/>
    <x v="0"/>
    <n v="29047.099200000004"/>
    <n v="-2480.2007999999914"/>
    <x v="1"/>
    <n v="-8.5385490059537203E-2"/>
  </r>
  <r>
    <s v="sales_2023_H1.csv"/>
    <s v="1082"/>
    <d v="2023-06-05T00:00:00"/>
    <x v="1"/>
    <x v="3"/>
    <n v="3320.42"/>
    <n v="15"/>
    <x v="0"/>
    <n v="1719.47"/>
    <n v="1832.6"/>
    <x v="0"/>
    <n v="0.12"/>
    <s v="Credit Card"/>
    <x v="0"/>
    <s v="East-Charlie"/>
    <n v="25792.05"/>
    <x v="0"/>
    <n v="24190.32"/>
    <n v="-1601.7299999999996"/>
    <x v="1"/>
    <n v="-6.6213675552865794E-2"/>
  </r>
  <r>
    <s v="sales_2023_H1.csv"/>
    <s v="1079"/>
    <d v="2023-06-06T00:00:00"/>
    <x v="2"/>
    <x v="1"/>
    <n v="1982.07"/>
    <n v="34"/>
    <x v="1"/>
    <n v="1967.96"/>
    <n v="1993.4"/>
    <x v="0"/>
    <n v="0.15"/>
    <s v="Credit Card"/>
    <x v="0"/>
    <s v="South-David"/>
    <n v="66910.64"/>
    <x v="0"/>
    <n v="57609.26"/>
    <n v="-9301.3799999999974"/>
    <x v="1"/>
    <n v="-0.16145633531831499"/>
  </r>
  <r>
    <s v="sales_2023_H1.csv"/>
    <s v="1042"/>
    <d v="2023-06-06T00:00:00"/>
    <x v="3"/>
    <x v="0"/>
    <n v="9442.65"/>
    <n v="20"/>
    <x v="3"/>
    <n v="3115.06"/>
    <n v="3565.58"/>
    <x v="0"/>
    <n v="0.3"/>
    <s v="Credit Card"/>
    <x v="1"/>
    <s v="North-Bob"/>
    <n v="62301.2"/>
    <x v="0"/>
    <n v="49918.12"/>
    <n v="-12383.079999999994"/>
    <x v="1"/>
    <n v="-0.24806783588805001"/>
  </r>
  <r>
    <s v="sales_2023_H1.csv"/>
    <s v="1045"/>
    <d v="2023-06-06T00:00:00"/>
    <x v="3"/>
    <x v="1"/>
    <n v="3284.53"/>
    <n v="15"/>
    <x v="2"/>
    <n v="316.22000000000003"/>
    <n v="799.04"/>
    <x v="1"/>
    <n v="0"/>
    <s v="Bank Transfer"/>
    <x v="0"/>
    <s v="South-Bob"/>
    <n v="4743.3"/>
    <x v="0"/>
    <n v="11985.599999999999"/>
    <n v="7242.2999999999984"/>
    <x v="1"/>
    <n v="0.60425010012014402"/>
  </r>
  <r>
    <s v="sales_2023_H1.csv"/>
    <s v="1006"/>
    <d v="2023-06-06T00:00:00"/>
    <x v="3"/>
    <x v="3"/>
    <n v="1044.45"/>
    <n v="21"/>
    <x v="2"/>
    <n v="1701.62"/>
    <n v="2193.2199999999998"/>
    <x v="1"/>
    <n v="0.22"/>
    <s v="Bank Transfer"/>
    <x v="1"/>
    <s v="East-Bob"/>
    <n v="35734.019999999997"/>
    <x v="0"/>
    <n v="35924.943599999999"/>
    <n v="190.9236000000019"/>
    <x v="1"/>
    <n v="5.3145135626601796E-3"/>
  </r>
  <r>
    <s v="sales_2023_H1.csv"/>
    <s v="1033"/>
    <d v="2023-06-06T00:00:00"/>
    <x v="4"/>
    <x v="3"/>
    <n v="4602.17"/>
    <n v="32"/>
    <x v="3"/>
    <n v="108.99"/>
    <n v="351.6"/>
    <x v="0"/>
    <n v="0.27"/>
    <s v="Credit Card"/>
    <x v="1"/>
    <s v="East-Alice"/>
    <n v="3487.68"/>
    <x v="0"/>
    <n v="8213.3760000000002"/>
    <n v="4725.6959999999999"/>
    <x v="1"/>
    <n v="0.57536584225536502"/>
  </r>
  <r>
    <s v="sales_2023_H1.csv"/>
    <s v="1037"/>
    <d v="2023-06-07T00:00:00"/>
    <x v="4"/>
    <x v="1"/>
    <n v="6055.38"/>
    <n v="4"/>
    <x v="3"/>
    <n v="4721.7"/>
    <n v="5017.58"/>
    <x v="1"/>
    <n v="0.24"/>
    <s v="Cash"/>
    <x v="1"/>
    <s v="South-Alice"/>
    <n v="18886.8"/>
    <x v="0"/>
    <n v="15253.4432"/>
    <n v="-3633.3567999999996"/>
    <x v="1"/>
    <n v="-0.238199123460859"/>
  </r>
  <r>
    <s v="sales_2023_H1.csv"/>
    <s v="1085"/>
    <d v="2023-06-07T00:00:00"/>
    <x v="1"/>
    <x v="3"/>
    <n v="2070.02"/>
    <n v="42"/>
    <x v="0"/>
    <n v="2254.11"/>
    <n v="2382.23"/>
    <x v="0"/>
    <n v="0.15"/>
    <s v="Credit Card"/>
    <x v="1"/>
    <s v="East-Charlie"/>
    <n v="94672.62000000001"/>
    <x v="0"/>
    <n v="85045.611000000004"/>
    <n v="-9627.0090000000055"/>
    <x v="1"/>
    <n v="-0.113198187264479"/>
  </r>
  <r>
    <s v="sales_2023_H1.csv"/>
    <s v="1099"/>
    <d v="2023-06-07T00:00:00"/>
    <x v="1"/>
    <x v="3"/>
    <n v="4346.55"/>
    <n v="31"/>
    <x v="3"/>
    <n v="1974.4"/>
    <n v="2259.5"/>
    <x v="1"/>
    <n v="0.27"/>
    <s v="Cash"/>
    <x v="1"/>
    <s v="East-Charlie"/>
    <n v="61206.400000000001"/>
    <x v="0"/>
    <n v="51132.485000000001"/>
    <n v="-10073.915000000001"/>
    <x v="1"/>
    <n v="-0.19701594788518501"/>
  </r>
  <r>
    <s v="sales_2023_H1.csv"/>
    <s v="1014"/>
    <d v="2023-06-07T00:00:00"/>
    <x v="4"/>
    <x v="0"/>
    <n v="408.38"/>
    <n v="3"/>
    <x v="2"/>
    <n v="2468.29"/>
    <n v="2723.13"/>
    <x v="0"/>
    <n v="0.08"/>
    <s v="Cash"/>
    <x v="1"/>
    <s v="North-Alice"/>
    <n v="7404.87"/>
    <x v="0"/>
    <n v="7515.8388000000004"/>
    <n v="110.96880000000056"/>
    <x v="1"/>
    <n v="1.47646594016892E-2"/>
  </r>
  <r>
    <s v="sales_2023_H1.csv"/>
    <s v="1032"/>
    <d v="2023-06-08T00:00:00"/>
    <x v="0"/>
    <x v="2"/>
    <n v="219.82"/>
    <n v="49"/>
    <x v="2"/>
    <n v="4812.41"/>
    <n v="5088"/>
    <x v="0"/>
    <n v="0.09"/>
    <s v="Credit Card"/>
    <x v="0"/>
    <s v="West-Eve"/>
    <n v="235808.09"/>
    <x v="0"/>
    <n v="226873.92"/>
    <n v="-8934.1699999999837"/>
    <x v="1"/>
    <n v="-3.9379449167184902E-2"/>
  </r>
  <r>
    <s v="sales_2023_H1.csv"/>
    <s v="1012"/>
    <d v="2023-06-08T00:00:00"/>
    <x v="3"/>
    <x v="3"/>
    <n v="3608.81"/>
    <n v="19"/>
    <x v="1"/>
    <n v="3457.28"/>
    <n v="3598.72"/>
    <x v="1"/>
    <n v="0.27"/>
    <s v="Bank Transfer"/>
    <x v="0"/>
    <s v="East-Bob"/>
    <n v="65688.320000000007"/>
    <x v="0"/>
    <n v="49914.246399999996"/>
    <n v="-15774.073600000011"/>
    <x v="1"/>
    <n v="-0.316023475013338"/>
  </r>
  <r>
    <s v="sales_2023_H1.csv"/>
    <s v="1057"/>
    <d v="2023-06-08T00:00:00"/>
    <x v="1"/>
    <x v="3"/>
    <n v="1605.28"/>
    <n v="43"/>
    <x v="1"/>
    <n v="4567.3900000000003"/>
    <n v="4958.78"/>
    <x v="1"/>
    <n v="0.04"/>
    <s v="Cash"/>
    <x v="1"/>
    <s v="East-Charlie"/>
    <n v="196397.77000000002"/>
    <x v="0"/>
    <n v="204698.43839999998"/>
    <n v="8300.6683999999659"/>
    <x v="1"/>
    <n v="4.0550716775765903E-2"/>
  </r>
  <r>
    <s v="sales_2023_H1.csv"/>
    <s v="1093"/>
    <d v="2023-06-09T00:00:00"/>
    <x v="3"/>
    <x v="1"/>
    <n v="4391.38"/>
    <n v="38"/>
    <x v="3"/>
    <n v="86.59"/>
    <n v="390.89"/>
    <x v="0"/>
    <n v="0.25"/>
    <s v="Credit Card"/>
    <x v="0"/>
    <s v="South-Bob"/>
    <n v="3290.42"/>
    <x v="0"/>
    <n v="11140.365"/>
    <n v="7849.9449999999997"/>
    <x v="1"/>
    <n v="0.70463983899988902"/>
  </r>
  <r>
    <s v="sales_2023_H1.csv"/>
    <s v="1047"/>
    <d v="2023-06-09T00:00:00"/>
    <x v="2"/>
    <x v="3"/>
    <n v="3746.64"/>
    <n v="18"/>
    <x v="0"/>
    <n v="560.91999999999996"/>
    <n v="1024.31"/>
    <x v="0"/>
    <n v="0.26"/>
    <s v="Cash"/>
    <x v="0"/>
    <s v="East-David"/>
    <n v="10096.56"/>
    <x v="0"/>
    <n v="13643.809199999998"/>
    <n v="3547.2491999999984"/>
    <x v="1"/>
    <n v="0.259989651570325"/>
  </r>
  <r>
    <s v="sales_2023_H1.csv"/>
    <s v="1017"/>
    <d v="2023-06-09T00:00:00"/>
    <x v="1"/>
    <x v="3"/>
    <n v="2638.98"/>
    <n v="35"/>
    <x v="1"/>
    <n v="4480.63"/>
    <n v="4884.12"/>
    <x v="1"/>
    <n v="0.04"/>
    <s v="Cash"/>
    <x v="0"/>
    <s v="East-Charlie"/>
    <n v="156822.05000000002"/>
    <x v="0"/>
    <n v="164106.43199999997"/>
    <n v="7284.3819999999541"/>
    <x v="1"/>
    <n v="4.4388156583649002E-2"/>
  </r>
  <r>
    <s v="sales_2023_H1.csv"/>
    <s v="1054"/>
    <d v="2023-06-10T00:00:00"/>
    <x v="3"/>
    <x v="1"/>
    <n v="7853.66"/>
    <n v="21"/>
    <x v="1"/>
    <n v="4668.1400000000003"/>
    <n v="5040.22"/>
    <x v="1"/>
    <n v="0.05"/>
    <s v="Bank Transfer"/>
    <x v="0"/>
    <s v="South-Bob"/>
    <n v="98030.94"/>
    <x v="0"/>
    <n v="100552.38900000001"/>
    <n v="2521.4490000000078"/>
    <x v="1"/>
    <n v="2.5075973083046401E-2"/>
  </r>
  <r>
    <s v="sales_2023_H1.csv"/>
    <s v="1096"/>
    <d v="2023-06-10T00:00:00"/>
    <x v="1"/>
    <x v="1"/>
    <n v="2320.5100000000002"/>
    <n v="6"/>
    <x v="1"/>
    <n v="252.62"/>
    <n v="742"/>
    <x v="1"/>
    <n v="0.22"/>
    <s v="Credit Card"/>
    <x v="1"/>
    <s v="South-Charlie"/>
    <n v="1515.72"/>
    <x v="0"/>
    <n v="3472.56"/>
    <n v="1956.84"/>
    <x v="1"/>
    <n v="0.56351510125094995"/>
  </r>
  <r>
    <s v="sales_2023_H1.csv"/>
    <s v="1028"/>
    <d v="2023-06-10T00:00:00"/>
    <x v="4"/>
    <x v="0"/>
    <n v="7987.15"/>
    <n v="2"/>
    <x v="1"/>
    <n v="3146.12"/>
    <n v="3255.53"/>
    <x v="0"/>
    <n v="0.06"/>
    <s v="Bank Transfer"/>
    <x v="0"/>
    <s v="North-Alice"/>
    <n v="6292.24"/>
    <x v="0"/>
    <n v="6120.3963999999996"/>
    <n v="-171.84360000000015"/>
    <x v="1"/>
    <n v="-2.8077201012666499E-2"/>
  </r>
  <r>
    <s v="sales_2023_H1.csv"/>
    <s v="1029"/>
    <d v="2023-06-10T00:00:00"/>
    <x v="0"/>
    <x v="3"/>
    <n v="1687.62"/>
    <n v="15"/>
    <x v="0"/>
    <n v="498.27"/>
    <n v="634.16"/>
    <x v="0"/>
    <n v="0.11"/>
    <s v="Credit Card"/>
    <x v="1"/>
    <s v="East-Eve"/>
    <n v="7474.0499999999993"/>
    <x v="0"/>
    <n v="8466.0360000000001"/>
    <n v="991.98600000000079"/>
    <x v="1"/>
    <n v="0.117172428749417"/>
  </r>
  <r>
    <s v="sales_2023_H1.csv"/>
    <s v="1053"/>
    <d v="2023-06-10T00:00:00"/>
    <x v="1"/>
    <x v="3"/>
    <n v="1554.53"/>
    <n v="39"/>
    <x v="1"/>
    <n v="4643.67"/>
    <n v="4829.5200000000004"/>
    <x v="0"/>
    <n v="0.17"/>
    <s v="Bank Transfer"/>
    <x v="0"/>
    <s v="East-Charlie"/>
    <n v="181103.13"/>
    <x v="0"/>
    <n v="156331.56240000002"/>
    <n v="-24771.56759999998"/>
    <x v="1"/>
    <n v="-0.15845531906485899"/>
  </r>
  <r>
    <s v="sales_2023_H1.csv"/>
    <s v="1082"/>
    <d v="2023-06-11T00:00:00"/>
    <x v="4"/>
    <x v="0"/>
    <n v="7041.58"/>
    <n v="17"/>
    <x v="1"/>
    <n v="890.31"/>
    <n v="1159.06"/>
    <x v="0"/>
    <n v="0.06"/>
    <s v="Cash"/>
    <x v="1"/>
    <s v="North-Alice"/>
    <n v="15135.269999999999"/>
    <x v="0"/>
    <n v="18521.7788"/>
    <n v="3386.5088000000014"/>
    <x v="1"/>
    <n v="0.18283928539304201"/>
  </r>
  <r>
    <s v="sales_2023_H1.csv"/>
    <s v="1085"/>
    <d v="2023-06-11T00:00:00"/>
    <x v="2"/>
    <x v="3"/>
    <n v="7813.12"/>
    <n v="8"/>
    <x v="3"/>
    <n v="3048.48"/>
    <n v="3198.54"/>
    <x v="0"/>
    <n v="0.03"/>
    <s v="Bank Transfer"/>
    <x v="0"/>
    <s v="East-David"/>
    <n v="24387.84"/>
    <x v="0"/>
    <n v="24820.670399999999"/>
    <n v="432.83039999999892"/>
    <x v="1"/>
    <n v="1.7438304164419299E-2"/>
  </r>
  <r>
    <s v="sales_2023_H1.csv"/>
    <s v="1008"/>
    <d v="2023-06-12T00:00:00"/>
    <x v="4"/>
    <x v="3"/>
    <n v="7507.02"/>
    <n v="32"/>
    <x v="3"/>
    <n v="4298.12"/>
    <n v="4446.8999999999996"/>
    <x v="1"/>
    <n v="0.1"/>
    <s v="Bank Transfer"/>
    <x v="0"/>
    <s v="East-Alice"/>
    <n v="137539.84"/>
    <x v="0"/>
    <n v="128070.71999999999"/>
    <n v="-9469.1200000000099"/>
    <x v="1"/>
    <n v="-7.3936650000874599E-2"/>
  </r>
  <r>
    <s v="sales_2023_H1.csv"/>
    <s v="1078"/>
    <d v="2023-06-12T00:00:00"/>
    <x v="1"/>
    <x v="1"/>
    <n v="6136"/>
    <n v="29"/>
    <x v="2"/>
    <n v="3177.81"/>
    <n v="3222.65"/>
    <x v="0"/>
    <n v="0.08"/>
    <s v="Credit Card"/>
    <x v="1"/>
    <s v="South-Charlie"/>
    <n v="92156.49"/>
    <x v="0"/>
    <n v="85980.302000000011"/>
    <n v="-6176.1879999999946"/>
    <x v="1"/>
    <n v="-7.1832592539625997E-2"/>
  </r>
  <r>
    <s v="sales_2023_H1.csv"/>
    <s v="1097"/>
    <d v="2023-06-13T00:00:00"/>
    <x v="1"/>
    <x v="3"/>
    <n v="7509.01"/>
    <n v="10"/>
    <x v="1"/>
    <n v="2162.9499999999998"/>
    <n v="2191.19"/>
    <x v="0"/>
    <n v="0.2"/>
    <s v="Credit Card"/>
    <x v="0"/>
    <s v="East-Charlie"/>
    <n v="21629.5"/>
    <x v="0"/>
    <n v="17529.52"/>
    <n v="-4099.9799999999996"/>
    <x v="1"/>
    <n v="-0.23389003235684699"/>
  </r>
  <r>
    <s v="sales_2023_H1.csv"/>
    <s v="1030"/>
    <d v="2023-06-13T00:00:00"/>
    <x v="1"/>
    <x v="2"/>
    <n v="4478.71"/>
    <n v="5"/>
    <x v="0"/>
    <n v="3932.14"/>
    <n v="4082.76"/>
    <x v="1"/>
    <n v="0.26"/>
    <s v="Credit Card"/>
    <x v="0"/>
    <s v="West-Charlie"/>
    <n v="19660.7"/>
    <x v="0"/>
    <n v="15106.212000000001"/>
    <n v="-4554.4879999999994"/>
    <x v="1"/>
    <n v="-0.30149768850059799"/>
  </r>
  <r>
    <s v="sales_2023_H1.csv"/>
    <s v="1011"/>
    <d v="2023-06-14T00:00:00"/>
    <x v="4"/>
    <x v="1"/>
    <n v="4531.97"/>
    <n v="38"/>
    <x v="1"/>
    <n v="4456.67"/>
    <n v="4642.46"/>
    <x v="1"/>
    <n v="0.06"/>
    <s v="Bank Transfer"/>
    <x v="0"/>
    <s v="South-Alice"/>
    <n v="169353.46"/>
    <x v="0"/>
    <n v="165828.67120000001"/>
    <n v="-3524.7887999999803"/>
    <x v="1"/>
    <n v="-2.1255605405827899E-2"/>
  </r>
  <r>
    <s v="sales_2023_H1.csv"/>
    <s v="1008"/>
    <d v="2023-06-14T00:00:00"/>
    <x v="0"/>
    <x v="0"/>
    <n v="1403.98"/>
    <n v="24"/>
    <x v="0"/>
    <n v="1394.17"/>
    <n v="1891.02"/>
    <x v="1"/>
    <n v="0.21"/>
    <s v="Credit Card"/>
    <x v="0"/>
    <s v="North-Eve"/>
    <n v="33460.080000000002"/>
    <x v="0"/>
    <n v="35853.739199999996"/>
    <n v="2393.6591999999946"/>
    <x v="1"/>
    <n v="6.6761773064941396E-2"/>
  </r>
  <r>
    <s v="sales_2023_H1.csv"/>
    <s v="1007"/>
    <d v="2023-06-14T00:00:00"/>
    <x v="4"/>
    <x v="0"/>
    <n v="249.6"/>
    <n v="9"/>
    <x v="0"/>
    <n v="1481.76"/>
    <n v="1668.95"/>
    <x v="0"/>
    <n v="0.12"/>
    <s v="Credit Card"/>
    <x v="1"/>
    <s v="North-Alice"/>
    <n v="13335.84"/>
    <x v="0"/>
    <n v="13218.084000000001"/>
    <n v="-117.7559999999994"/>
    <x v="1"/>
    <n v="-8.9087041662013495E-3"/>
  </r>
  <r>
    <s v="sales_2023_H1.csv"/>
    <s v="1072"/>
    <d v="2023-06-15T00:00:00"/>
    <x v="2"/>
    <x v="0"/>
    <n v="6976.49"/>
    <n v="35"/>
    <x v="2"/>
    <n v="4349.3599999999997"/>
    <n v="4645.17"/>
    <x v="0"/>
    <n v="0.18"/>
    <s v="Credit Card"/>
    <x v="1"/>
    <s v="North-David"/>
    <n v="152227.59999999998"/>
    <x v="0"/>
    <n v="133316.37900000002"/>
    <n v="-18911.220999999961"/>
    <x v="1"/>
    <n v="-0.14185219507049401"/>
  </r>
  <r>
    <s v="sales_2023_H1.csv"/>
    <s v="1075"/>
    <d v="2023-06-15T00:00:00"/>
    <x v="0"/>
    <x v="0"/>
    <n v="9736.49"/>
    <n v="26"/>
    <x v="1"/>
    <n v="1749.34"/>
    <n v="1935.25"/>
    <x v="1"/>
    <n v="0.14000000000000001"/>
    <s v="Credit Card"/>
    <x v="0"/>
    <s v="North-Eve"/>
    <n v="45482.84"/>
    <x v="0"/>
    <n v="43272.19"/>
    <n v="-2210.6499999999942"/>
    <x v="1"/>
    <n v="-5.1087083875348001E-2"/>
  </r>
  <r>
    <s v="sales_2023_H1.csv"/>
    <s v="1038"/>
    <d v="2023-06-15T00:00:00"/>
    <x v="4"/>
    <x v="2"/>
    <n v="2758.77"/>
    <n v="42"/>
    <x v="3"/>
    <n v="1089.0899999999999"/>
    <n v="1355.44"/>
    <x v="1"/>
    <n v="0.06"/>
    <s v="Cash"/>
    <x v="1"/>
    <s v="West-Alice"/>
    <n v="45741.78"/>
    <x v="0"/>
    <n v="53512.771200000003"/>
    <n v="7770.991200000004"/>
    <x v="1"/>
    <n v="0.14521750650805401"/>
  </r>
  <r>
    <s v="sales_2023_H1.csv"/>
    <s v="1004"/>
    <d v="2023-06-15T00:00:00"/>
    <x v="4"/>
    <x v="3"/>
    <n v="6277.59"/>
    <n v="13"/>
    <x v="1"/>
    <n v="3087.73"/>
    <n v="3263.96"/>
    <x v="1"/>
    <n v="0.24"/>
    <s v="Cash"/>
    <x v="1"/>
    <s v="East-Alice"/>
    <n v="40140.49"/>
    <x v="0"/>
    <n v="32247.924800000004"/>
    <n v="-7892.5651999999936"/>
    <x v="1"/>
    <n v="-0.24474645264615599"/>
  </r>
  <r>
    <s v="sales_2023_H1.csv"/>
    <s v="1044"/>
    <d v="2023-06-17T00:00:00"/>
    <x v="1"/>
    <x v="0"/>
    <n v="2541.38"/>
    <n v="6"/>
    <x v="1"/>
    <n v="2388.9499999999998"/>
    <n v="2742.97"/>
    <x v="0"/>
    <n v="0.25"/>
    <s v="Credit Card"/>
    <x v="1"/>
    <s v="North-Charlie"/>
    <n v="14333.699999999999"/>
    <x v="0"/>
    <n v="12343.365"/>
    <n v="-1990.3349999999991"/>
    <x v="1"/>
    <n v="-0.161247358398621"/>
  </r>
  <r>
    <s v="sales_2023_H1.csv"/>
    <s v="1092"/>
    <d v="2023-06-17T00:00:00"/>
    <x v="4"/>
    <x v="3"/>
    <n v="1632.8"/>
    <n v="47"/>
    <x v="1"/>
    <n v="1447.45"/>
    <n v="1703.02"/>
    <x v="0"/>
    <n v="0.12"/>
    <s v="Bank Transfer"/>
    <x v="1"/>
    <s v="East-Alice"/>
    <n v="68030.150000000009"/>
    <x v="0"/>
    <n v="70436.907200000001"/>
    <n v="2406.7571999999927"/>
    <x v="1"/>
    <n v="3.4168978958235598E-2"/>
  </r>
  <r>
    <s v="sales_2023_H1.csv"/>
    <s v="1092"/>
    <d v="2023-06-17T00:00:00"/>
    <x v="2"/>
    <x v="3"/>
    <n v="862.02"/>
    <n v="21"/>
    <x v="0"/>
    <n v="2792.2"/>
    <n v="3254.55"/>
    <x v="1"/>
    <n v="0.02"/>
    <s v="Credit Card"/>
    <x v="1"/>
    <s v="East-David"/>
    <n v="58636.2"/>
    <x v="0"/>
    <n v="66978.638999999996"/>
    <n v="8342.4389999999985"/>
    <x v="1"/>
    <n v="0.1245537252556"/>
  </r>
  <r>
    <s v="sales_2023_H1.csv"/>
    <s v="1038"/>
    <d v="2023-06-18T00:00:00"/>
    <x v="0"/>
    <x v="2"/>
    <n v="2792.27"/>
    <n v="24"/>
    <x v="0"/>
    <n v="1543.91"/>
    <n v="1862.88"/>
    <x v="1"/>
    <n v="0.09"/>
    <s v="Bank Transfer"/>
    <x v="0"/>
    <s v="West-Eve"/>
    <n v="37053.840000000004"/>
    <x v="0"/>
    <n v="40685.299200000001"/>
    <n v="3631.4591999999975"/>
    <x v="1"/>
    <n v="8.9257281411365394E-2"/>
  </r>
  <r>
    <s v="sales_2023_H1.csv"/>
    <s v="1002"/>
    <d v="2023-06-19T00:00:00"/>
    <x v="0"/>
    <x v="2"/>
    <n v="1263.76"/>
    <n v="18"/>
    <x v="3"/>
    <n v="117.63"/>
    <n v="576.44000000000005"/>
    <x v="1"/>
    <n v="0.18"/>
    <s v="Credit Card"/>
    <x v="1"/>
    <s v="West-Eve"/>
    <n v="2117.34"/>
    <x v="0"/>
    <n v="8508.2544000000016"/>
    <n v="6390.9144000000015"/>
    <x v="1"/>
    <n v="0.75114284311949997"/>
  </r>
  <r>
    <s v="sales_2023_H1.csv"/>
    <s v="1029"/>
    <d v="2023-06-19T00:00:00"/>
    <x v="0"/>
    <x v="1"/>
    <n v="8064.5"/>
    <n v="27"/>
    <x v="3"/>
    <n v="3196.38"/>
    <n v="3596.64"/>
    <x v="1"/>
    <n v="0.01"/>
    <s v="Cash"/>
    <x v="1"/>
    <s v="South-Eve"/>
    <n v="86302.260000000009"/>
    <x v="0"/>
    <n v="96138.1872"/>
    <n v="9835.927199999991"/>
    <x v="1"/>
    <n v="0.102310304432285"/>
  </r>
  <r>
    <s v="sales_2023_H1.csv"/>
    <s v="1045"/>
    <d v="2023-06-19T00:00:00"/>
    <x v="2"/>
    <x v="0"/>
    <n v="2768.17"/>
    <n v="36"/>
    <x v="2"/>
    <n v="3835.64"/>
    <n v="4076.77"/>
    <x v="0"/>
    <n v="0.1"/>
    <s v="Credit Card"/>
    <x v="1"/>
    <s v="North-David"/>
    <n v="138083.04"/>
    <x v="0"/>
    <n v="132087.348"/>
    <n v="-5995.69200000001"/>
    <x v="1"/>
    <n v="-4.5391872051212701E-2"/>
  </r>
  <r>
    <s v="sales_2023_H1.csv"/>
    <s v="1058"/>
    <d v="2023-06-20T00:00:00"/>
    <x v="0"/>
    <x v="2"/>
    <n v="2896.54"/>
    <n v="48"/>
    <x v="0"/>
    <n v="2614.48"/>
    <n v="3049.04"/>
    <x v="1"/>
    <n v="0.1"/>
    <s v="Credit Card"/>
    <x v="1"/>
    <s v="West-Eve"/>
    <n v="125495.04000000001"/>
    <x v="0"/>
    <n v="131718.52799999999"/>
    <n v="6223.487999999983"/>
    <x v="1"/>
    <n v="4.7248387106178298E-2"/>
  </r>
  <r>
    <s v="sales_2023_H1.csv"/>
    <s v="1012"/>
    <d v="2023-06-20T00:00:00"/>
    <x v="4"/>
    <x v="1"/>
    <n v="2019.24"/>
    <n v="47"/>
    <x v="0"/>
    <n v="325.75"/>
    <n v="803.71"/>
    <x v="1"/>
    <n v="0.12"/>
    <s v="Bank Transfer"/>
    <x v="1"/>
    <s v="South-Alice"/>
    <n v="15310.25"/>
    <x v="0"/>
    <n v="33241.445599999999"/>
    <n v="17931.195599999999"/>
    <x v="1"/>
    <n v="0.53942285831275605"/>
  </r>
  <r>
    <s v="sales_2023_H1.csv"/>
    <s v="1018"/>
    <d v="2023-06-21T00:00:00"/>
    <x v="0"/>
    <x v="0"/>
    <n v="750.38"/>
    <n v="28"/>
    <x v="0"/>
    <n v="1006.14"/>
    <n v="1043.45"/>
    <x v="1"/>
    <n v="0.15"/>
    <s v="Bank Transfer"/>
    <x v="1"/>
    <s v="North-Eve"/>
    <n v="28171.919999999998"/>
    <x v="0"/>
    <n v="24834.11"/>
    <n v="-3337.8099999999977"/>
    <x v="1"/>
    <n v="-0.13440425286027999"/>
  </r>
  <r>
    <s v="sales_2023_H1.csv"/>
    <s v="1064"/>
    <d v="2023-06-21T00:00:00"/>
    <x v="3"/>
    <x v="2"/>
    <n v="9215.59"/>
    <n v="46"/>
    <x v="2"/>
    <n v="984.53"/>
    <n v="1138.49"/>
    <x v="1"/>
    <n v="0.04"/>
    <s v="Bank Transfer"/>
    <x v="0"/>
    <s v="West-Bob"/>
    <n v="45288.38"/>
    <x v="0"/>
    <n v="50275.718399999998"/>
    <n v="4987.3384000000005"/>
    <x v="1"/>
    <n v="9.9199744105496507E-2"/>
  </r>
  <r>
    <s v="sales_2023_H1.csv"/>
    <s v="1004"/>
    <d v="2023-06-22T00:00:00"/>
    <x v="0"/>
    <x v="1"/>
    <n v="7762.51"/>
    <n v="39"/>
    <x v="2"/>
    <n v="2416.89"/>
    <n v="2778.4"/>
    <x v="0"/>
    <n v="0.05"/>
    <s v="Cash"/>
    <x v="0"/>
    <s v="South-Eve"/>
    <n v="94258.709999999992"/>
    <x v="0"/>
    <n v="102939.72"/>
    <n v="8681.0100000000093"/>
    <x v="1"/>
    <n v="8.4331004591813599E-2"/>
  </r>
  <r>
    <s v="sales_2023_H1.csv"/>
    <s v="1084"/>
    <d v="2023-06-22T00:00:00"/>
    <x v="0"/>
    <x v="0"/>
    <n v="6658.1"/>
    <n v="49"/>
    <x v="1"/>
    <n v="4291.97"/>
    <n v="4645.6400000000003"/>
    <x v="0"/>
    <n v="0.26"/>
    <s v="Credit Card"/>
    <x v="0"/>
    <s v="North-Eve"/>
    <n v="210306.53"/>
    <x v="0"/>
    <n v="168450.90640000001"/>
    <n v="-41855.623599999992"/>
    <x v="1"/>
    <n v="-0.24847372148067001"/>
  </r>
  <r>
    <s v="sales_2023_H1.csv"/>
    <s v="1063"/>
    <d v="2023-06-22T00:00:00"/>
    <x v="3"/>
    <x v="1"/>
    <n v="5917.1"/>
    <n v="25"/>
    <x v="2"/>
    <n v="3997.1"/>
    <n v="4212.6499999999996"/>
    <x v="1"/>
    <n v="0.22"/>
    <s v="Cash"/>
    <x v="0"/>
    <s v="South-Bob"/>
    <n v="99927.5"/>
    <x v="0"/>
    <n v="82146.674999999988"/>
    <n v="-17780.825000000012"/>
    <x v="1"/>
    <n v="-0.21645215707148199"/>
  </r>
  <r>
    <s v="sales_2023_H1.csv"/>
    <s v="1079"/>
    <d v="2023-06-22T00:00:00"/>
    <x v="0"/>
    <x v="3"/>
    <n v="2265.23"/>
    <n v="49"/>
    <x v="0"/>
    <n v="437.59"/>
    <n v="675.54"/>
    <x v="0"/>
    <n v="0.1"/>
    <s v="Cash"/>
    <x v="0"/>
    <s v="East-Eve"/>
    <n v="21441.91"/>
    <x v="0"/>
    <n v="29791.313999999998"/>
    <n v="8349.4039999999986"/>
    <x v="1"/>
    <n v="0.28026303237245598"/>
  </r>
  <r>
    <s v="sales_2023_H1.csv"/>
    <s v="1054"/>
    <d v="2023-06-23T00:00:00"/>
    <x v="2"/>
    <x v="2"/>
    <n v="4291.0200000000004"/>
    <n v="27"/>
    <x v="2"/>
    <n v="1456.09"/>
    <n v="1510.43"/>
    <x v="0"/>
    <n v="0.17"/>
    <s v="Cash"/>
    <x v="1"/>
    <s v="West-David"/>
    <n v="39314.43"/>
    <x v="0"/>
    <n v="33848.736299999997"/>
    <n v="-5465.6937000000034"/>
    <x v="1"/>
    <n v="-0.161474084336791"/>
  </r>
  <r>
    <s v="sales_2023_H1.csv"/>
    <s v="1067"/>
    <d v="2023-06-23T00:00:00"/>
    <x v="3"/>
    <x v="0"/>
    <n v="914.5"/>
    <n v="11"/>
    <x v="1"/>
    <n v="3435.68"/>
    <n v="3552.63"/>
    <x v="1"/>
    <n v="0.27"/>
    <s v="Cash"/>
    <x v="1"/>
    <s v="North-Bob"/>
    <n v="37792.479999999996"/>
    <x v="0"/>
    <n v="28527.618900000001"/>
    <n v="-9264.8610999999946"/>
    <x v="1"/>
    <n v="-0.32476811795883898"/>
  </r>
  <r>
    <s v="sales_2023_H1.csv"/>
    <s v="1024"/>
    <d v="2023-06-24T00:00:00"/>
    <x v="4"/>
    <x v="0"/>
    <n v="8292.31"/>
    <n v="43"/>
    <x v="0"/>
    <n v="3105.24"/>
    <n v="3246.33"/>
    <x v="1"/>
    <n v="0.25"/>
    <s v="Cash"/>
    <x v="0"/>
    <s v="North-Alice"/>
    <n v="133525.31999999998"/>
    <x v="0"/>
    <n v="104694.1425"/>
    <n v="-28831.177499999976"/>
    <x v="1"/>
    <n v="-0.275384819165026"/>
  </r>
  <r>
    <s v="sales_2023_H1.csv"/>
    <s v="1066"/>
    <d v="2023-06-24T00:00:00"/>
    <x v="3"/>
    <x v="2"/>
    <n v="5851.41"/>
    <n v="13"/>
    <x v="1"/>
    <n v="4133.92"/>
    <n v="4358.37"/>
    <x v="1"/>
    <n v="0.13"/>
    <s v="Cash"/>
    <x v="1"/>
    <s v="West-Bob"/>
    <n v="53740.959999999999"/>
    <x v="0"/>
    <n v="49293.164700000001"/>
    <n v="-4447.795299999998"/>
    <x v="1"/>
    <n v="-9.0231481932017202E-2"/>
  </r>
  <r>
    <s v="sales_2023_H1.csv"/>
    <s v="1021"/>
    <d v="2023-06-24T00:00:00"/>
    <x v="4"/>
    <x v="2"/>
    <n v="9422.75"/>
    <n v="24"/>
    <x v="2"/>
    <n v="4916.17"/>
    <n v="5309.32"/>
    <x v="0"/>
    <n v="0.19"/>
    <s v="Credit Card"/>
    <x v="0"/>
    <s v="West-Alice"/>
    <n v="117988.08"/>
    <x v="0"/>
    <n v="103213.1808"/>
    <n v="-14774.8992"/>
    <x v="1"/>
    <n v="-0.143149344739504"/>
  </r>
  <r>
    <s v="sales_2023_H1.csv"/>
    <s v="1016"/>
    <d v="2023-06-25T00:00:00"/>
    <x v="4"/>
    <x v="2"/>
    <n v="5401.98"/>
    <n v="2"/>
    <x v="2"/>
    <n v="3144.82"/>
    <n v="3480.58"/>
    <x v="0"/>
    <n v="0.12"/>
    <s v="Cash"/>
    <x v="1"/>
    <s v="West-Alice"/>
    <n v="6289.64"/>
    <x v="0"/>
    <n v="6125.8207999999995"/>
    <n v="-163.81920000000082"/>
    <x v="1"/>
    <n v="-2.6742408135739301E-2"/>
  </r>
  <r>
    <s v="sales_2023_H1.csv"/>
    <s v="1045"/>
    <d v="2023-06-25T00:00:00"/>
    <x v="0"/>
    <x v="1"/>
    <n v="1489.21"/>
    <n v="9"/>
    <x v="0"/>
    <n v="4920.34"/>
    <n v="5129.1899999999996"/>
    <x v="0"/>
    <n v="0.13"/>
    <s v="Credit Card"/>
    <x v="0"/>
    <s v="South-Eve"/>
    <n v="44283.06"/>
    <x v="0"/>
    <n v="40161.557699999998"/>
    <n v="-4121.5023000000001"/>
    <x v="1"/>
    <n v="-0.10262306882583901"/>
  </r>
  <r>
    <s v="sales_2023_H1.csv"/>
    <s v="1031"/>
    <d v="2023-06-25T00:00:00"/>
    <x v="4"/>
    <x v="2"/>
    <n v="1781.82"/>
    <n v="10"/>
    <x v="2"/>
    <n v="566.86"/>
    <n v="818.14"/>
    <x v="0"/>
    <n v="0.25"/>
    <s v="Credit Card"/>
    <x v="1"/>
    <s v="West-Alice"/>
    <n v="5668.6"/>
    <x v="0"/>
    <n v="6136.0499999999993"/>
    <n v="467.44999999999891"/>
    <x v="1"/>
    <n v="7.6180930729051896E-2"/>
  </r>
  <r>
    <s v="sales_2023_H1.csv"/>
    <s v="1071"/>
    <d v="2023-06-26T00:00:00"/>
    <x v="2"/>
    <x v="0"/>
    <n v="6664.17"/>
    <n v="35"/>
    <x v="0"/>
    <n v="295.82"/>
    <n v="684.67"/>
    <x v="1"/>
    <n v="0.03"/>
    <s v="Credit Card"/>
    <x v="0"/>
    <s v="North-David"/>
    <n v="10353.699999999999"/>
    <x v="0"/>
    <n v="23244.546499999997"/>
    <n v="12890.846499999998"/>
    <x v="1"/>
    <n v="0.55457509140907502"/>
  </r>
  <r>
    <s v="sales_2023_H1.csv"/>
    <s v="1089"/>
    <d v="2023-06-26T00:00:00"/>
    <x v="0"/>
    <x v="0"/>
    <n v="9029.2099999999991"/>
    <n v="35"/>
    <x v="1"/>
    <n v="3925.85"/>
    <n v="4082.11"/>
    <x v="1"/>
    <n v="0.22"/>
    <s v="Cash"/>
    <x v="0"/>
    <s v="North-Eve"/>
    <n v="137404.75"/>
    <x v="0"/>
    <n v="111441.603"/>
    <n v="-25963.146999999997"/>
    <x v="1"/>
    <n v="-0.23297535481430601"/>
  </r>
  <r>
    <s v="sales_2023_H1.csv"/>
    <s v="1064"/>
    <d v="2023-06-26T00:00:00"/>
    <x v="4"/>
    <x v="0"/>
    <n v="6201.37"/>
    <n v="21"/>
    <x v="0"/>
    <n v="2278.04"/>
    <n v="2598.58"/>
    <x v="0"/>
    <n v="0.02"/>
    <s v="Credit Card"/>
    <x v="1"/>
    <s v="North-Alice"/>
    <n v="47838.84"/>
    <x v="0"/>
    <n v="53478.776400000002"/>
    <n v="5639.936400000006"/>
    <x v="1"/>
    <n v="0.105461208719802"/>
  </r>
  <r>
    <s v="sales_2023_H1.csv"/>
    <s v="1016"/>
    <d v="2023-06-26T00:00:00"/>
    <x v="1"/>
    <x v="0"/>
    <n v="9027.56"/>
    <n v="3"/>
    <x v="2"/>
    <n v="3401.87"/>
    <n v="3733.71"/>
    <x v="0"/>
    <n v="0.06"/>
    <s v="Bank Transfer"/>
    <x v="1"/>
    <s v="North-Charlie"/>
    <n v="10205.61"/>
    <x v="0"/>
    <n v="10529.0622"/>
    <n v="323.45219999999972"/>
    <x v="1"/>
    <n v="3.0719943890159501E-2"/>
  </r>
  <r>
    <s v="sales_2023_H1.csv"/>
    <s v="1025"/>
    <d v="2023-06-26T00:00:00"/>
    <x v="2"/>
    <x v="0"/>
    <n v="2457.65"/>
    <n v="47"/>
    <x v="1"/>
    <n v="3861.61"/>
    <n v="3998.91"/>
    <x v="1"/>
    <n v="0.25"/>
    <s v="Credit Card"/>
    <x v="0"/>
    <s v="North-David"/>
    <n v="181495.67"/>
    <x v="0"/>
    <n v="140961.57749999998"/>
    <n v="-40534.092500000028"/>
    <x v="1"/>
    <n v="-0.28755419185061298"/>
  </r>
  <r>
    <s v="sales_2023_H1.csv"/>
    <s v="1004"/>
    <d v="2023-06-27T00:00:00"/>
    <x v="4"/>
    <x v="2"/>
    <n v="7825.72"/>
    <n v="2"/>
    <x v="2"/>
    <n v="2953.23"/>
    <n v="2977.52"/>
    <x v="0"/>
    <n v="0.11"/>
    <s v="Credit Card"/>
    <x v="1"/>
    <s v="West-Alice"/>
    <n v="5906.46"/>
    <x v="0"/>
    <n v="5299.9856"/>
    <n v="-606.47440000000006"/>
    <x v="1"/>
    <n v="-0.114429442978109"/>
  </r>
  <r>
    <s v="sales_2023_H1.csv"/>
    <s v="1080"/>
    <d v="2023-06-27T00:00:00"/>
    <x v="0"/>
    <x v="2"/>
    <n v="5012.96"/>
    <n v="35"/>
    <x v="1"/>
    <n v="900.97"/>
    <n v="1321.18"/>
    <x v="0"/>
    <n v="0.1"/>
    <s v="Cash"/>
    <x v="0"/>
    <s v="West-Eve"/>
    <n v="31533.95"/>
    <x v="0"/>
    <n v="41617.170000000006"/>
    <n v="10083.220000000005"/>
    <x v="1"/>
    <n v="0.242285095310421"/>
  </r>
  <r>
    <s v="sales_2023_H1.csv"/>
    <s v="1039"/>
    <d v="2023-06-27T00:00:00"/>
    <x v="3"/>
    <x v="3"/>
    <n v="9683.85"/>
    <n v="2"/>
    <x v="2"/>
    <n v="4394.58"/>
    <n v="4545.78"/>
    <x v="0"/>
    <n v="0.2"/>
    <s v="Credit Card"/>
    <x v="1"/>
    <s v="East-Bob"/>
    <n v="8789.16"/>
    <x v="0"/>
    <n v="7273.2479999999996"/>
    <n v="-1515.9120000000003"/>
    <x v="1"/>
    <n v="-0.20842297691485301"/>
  </r>
  <r>
    <s v="sales_2023_H1.csv"/>
    <s v="1021"/>
    <d v="2023-06-27T00:00:00"/>
    <x v="1"/>
    <x v="0"/>
    <n v="3777.53"/>
    <n v="19"/>
    <x v="2"/>
    <n v="1222.4000000000001"/>
    <n v="1464.71"/>
    <x v="1"/>
    <n v="0"/>
    <s v="Credit Card"/>
    <x v="1"/>
    <s v="North-Charlie"/>
    <n v="23225.600000000002"/>
    <x v="0"/>
    <n v="27829.49"/>
    <n v="4603.8899999999994"/>
    <x v="1"/>
    <n v="0.16543206505041999"/>
  </r>
  <r>
    <s v="sales_2023_H1.csv"/>
    <s v="1023"/>
    <d v="2023-06-28T00:00:00"/>
    <x v="0"/>
    <x v="3"/>
    <n v="2170.94"/>
    <n v="9"/>
    <x v="0"/>
    <n v="4155.46"/>
    <n v="4273.6000000000004"/>
    <x v="0"/>
    <n v="0.25"/>
    <s v="Cash"/>
    <x v="1"/>
    <s v="East-Eve"/>
    <n v="37399.14"/>
    <x v="0"/>
    <n v="28846.800000000003"/>
    <n v="-8552.3399999999965"/>
    <x v="1"/>
    <n v="-0.29647447897167101"/>
  </r>
  <r>
    <s v="sales_2023_H1.csv"/>
    <s v="1090"/>
    <d v="2023-06-28T00:00:00"/>
    <x v="1"/>
    <x v="0"/>
    <n v="5976.25"/>
    <n v="41"/>
    <x v="0"/>
    <n v="3736.88"/>
    <n v="3946.77"/>
    <x v="0"/>
    <n v="0.06"/>
    <s v="Credit Card"/>
    <x v="0"/>
    <s v="North-Charlie"/>
    <n v="153212.08000000002"/>
    <x v="0"/>
    <n v="152108.51579999999"/>
    <n v="-1103.5642000000225"/>
    <x v="1"/>
    <n v="-7.2551112223791896E-3"/>
  </r>
  <r>
    <s v="sales_2023_H1.csv"/>
    <s v="1059"/>
    <d v="2023-06-28T00:00:00"/>
    <x v="3"/>
    <x v="0"/>
    <n v="2338.64"/>
    <n v="13"/>
    <x v="2"/>
    <n v="1969.78"/>
    <n v="2437.6999999999998"/>
    <x v="1"/>
    <n v="0.19"/>
    <s v="Credit Card"/>
    <x v="1"/>
    <s v="North-Bob"/>
    <n v="25607.14"/>
    <x v="0"/>
    <n v="25668.981"/>
    <n v="61.841000000000349"/>
    <x v="1"/>
    <n v="2.4091723781321998E-3"/>
  </r>
  <r>
    <s v="sales_2023_H1.csv"/>
    <s v="1004"/>
    <d v="2023-06-28T00:00:00"/>
    <x v="3"/>
    <x v="2"/>
    <n v="8003.1"/>
    <n v="38"/>
    <x v="1"/>
    <n v="4881.63"/>
    <n v="5088.0600000000004"/>
    <x v="0"/>
    <n v="0.16"/>
    <s v="Credit Card"/>
    <x v="1"/>
    <s v="West-Bob"/>
    <n v="185501.94"/>
    <x v="0"/>
    <n v="162410.87520000001"/>
    <n v="-23091.064799999993"/>
    <x v="1"/>
    <n v="-0.14217683866037101"/>
  </r>
  <r>
    <s v="sales_2023_H1.csv"/>
    <s v="1075"/>
    <d v="2023-06-29T00:00:00"/>
    <x v="2"/>
    <x v="1"/>
    <n v="4223.3900000000003"/>
    <n v="30"/>
    <x v="1"/>
    <n v="738.06"/>
    <n v="1095.45"/>
    <x v="1"/>
    <n v="0.05"/>
    <s v="Bank Transfer"/>
    <x v="0"/>
    <s v="South-David"/>
    <n v="22141.8"/>
    <x v="0"/>
    <n v="31220.324999999997"/>
    <n v="9078.5249999999978"/>
    <x v="1"/>
    <n v="0.29078893317093901"/>
  </r>
  <r>
    <s v="sales_2023_H1.csv"/>
    <s v="1067"/>
    <d v="2023-06-29T00:00:00"/>
    <x v="0"/>
    <x v="1"/>
    <n v="114.59"/>
    <n v="48"/>
    <x v="3"/>
    <n v="4319.32"/>
    <n v="4625.5600000000004"/>
    <x v="0"/>
    <n v="0.1"/>
    <s v="Bank Transfer"/>
    <x v="0"/>
    <s v="South-Eve"/>
    <n v="207327.35999999999"/>
    <x v="0"/>
    <n v="199824.19200000001"/>
    <n v="-7503.167999999976"/>
    <x v="1"/>
    <n v="-3.7548846938412601E-2"/>
  </r>
  <r>
    <s v="sales_2023_H1.csv"/>
    <s v="1086"/>
    <d v="2023-06-30T00:00:00"/>
    <x v="3"/>
    <x v="0"/>
    <n v="8414.0400000000009"/>
    <n v="46"/>
    <x v="0"/>
    <n v="2245.64"/>
    <n v="2260.81"/>
    <x v="1"/>
    <n v="0"/>
    <s v="Cash"/>
    <x v="1"/>
    <s v="North-Bob"/>
    <n v="103299.43999999999"/>
    <x v="0"/>
    <n v="103997.26"/>
    <n v="697.82000000000698"/>
    <x v="1"/>
    <n v="6.7099844745910301E-3"/>
  </r>
  <r>
    <s v="sales_2023_H1.csv"/>
    <s v="1032"/>
    <d v="2023-06-30T00:00:00"/>
    <x v="0"/>
    <x v="0"/>
    <n v="3312.67"/>
    <n v="6"/>
    <x v="0"/>
    <n v="2522.7600000000002"/>
    <n v="2840.14"/>
    <x v="0"/>
    <n v="7.0000000000000007E-2"/>
    <s v="Credit Card"/>
    <x v="1"/>
    <s v="North-Eve"/>
    <n v="15136.560000000001"/>
    <x v="0"/>
    <n v="15847.981199999998"/>
    <n v="711.42119999999704"/>
    <x v="1"/>
    <n v="4.4890335937551297E-2"/>
  </r>
  <r>
    <s v="sales_2023_H1.csv"/>
    <s v="1065"/>
    <d v="2023-06-30T00:00:00"/>
    <x v="0"/>
    <x v="1"/>
    <n v="8840.86"/>
    <n v="13"/>
    <x v="1"/>
    <n v="1339"/>
    <n v="1441.88"/>
    <x v="0"/>
    <n v="0.23"/>
    <s v="Credit Card"/>
    <x v="1"/>
    <s v="South-Eve"/>
    <n v="17407"/>
    <x v="0"/>
    <n v="14433.218800000002"/>
    <n v="-2973.7811999999976"/>
    <x v="1"/>
    <n v="-0.20603728393558299"/>
  </r>
  <r>
    <s v="sales_2023_H2.csv"/>
    <s v="1090"/>
    <d v="2023-07-01T00:00:00"/>
    <x v="2"/>
    <x v="0"/>
    <n v="2150.0500000000002"/>
    <n v="31"/>
    <x v="1"/>
    <n v="4496.8599999999997"/>
    <n v="4880.8"/>
    <x v="1"/>
    <n v="0.06"/>
    <s v="Cash"/>
    <x v="1"/>
    <s v="North-David"/>
    <n v="139402.66"/>
    <x v="0"/>
    <n v="142226.51200000002"/>
    <n v="2823.8520000000135"/>
    <x v="2"/>
    <n v="1.9854610510310601E-2"/>
  </r>
  <r>
    <s v="sales_2023_H2.csv"/>
    <s v="1036"/>
    <d v="2023-07-01T00:00:00"/>
    <x v="4"/>
    <x v="2"/>
    <n v="3111.57"/>
    <n v="17"/>
    <x v="1"/>
    <n v="1475"/>
    <n v="1840.77"/>
    <x v="0"/>
    <n v="0.1"/>
    <s v="Credit Card"/>
    <x v="0"/>
    <s v="West-Alice"/>
    <n v="25075"/>
    <x v="0"/>
    <n v="28163.780999999999"/>
    <n v="3088.780999999999"/>
    <x v="2"/>
    <n v="0.1096720997795"/>
  </r>
  <r>
    <s v="sales_2023_H2.csv"/>
    <s v="1027"/>
    <d v="2023-07-01T00:00:00"/>
    <x v="0"/>
    <x v="0"/>
    <n v="8666.43"/>
    <n v="15"/>
    <x v="0"/>
    <n v="1615.26"/>
    <n v="1710.95"/>
    <x v="1"/>
    <n v="0.23"/>
    <s v="Credit Card"/>
    <x v="1"/>
    <s v="North-Eve"/>
    <n v="24228.9"/>
    <x v="0"/>
    <n v="19761.4725"/>
    <n v="-4467.4275000000016"/>
    <x v="2"/>
    <n v="-0.226067541272544"/>
  </r>
  <r>
    <s v="sales_2023_H2.csv"/>
    <s v="1067"/>
    <d v="2023-07-02T00:00:00"/>
    <x v="4"/>
    <x v="0"/>
    <n v="8602.2900000000009"/>
    <n v="36"/>
    <x v="2"/>
    <n v="689.66"/>
    <n v="1150.28"/>
    <x v="1"/>
    <n v="0.2"/>
    <s v="Bank Transfer"/>
    <x v="0"/>
    <s v="North-Alice"/>
    <n v="24827.759999999998"/>
    <x v="0"/>
    <n v="33128.064000000006"/>
    <n v="8300.3040000000074"/>
    <x v="2"/>
    <n v="0.25055203950342497"/>
  </r>
  <r>
    <s v="sales_2023_H2.csv"/>
    <s v="1014"/>
    <d v="2023-07-02T00:00:00"/>
    <x v="2"/>
    <x v="3"/>
    <n v="9278.5300000000007"/>
    <n v="7"/>
    <x v="0"/>
    <n v="4705.46"/>
    <n v="4747.07"/>
    <x v="1"/>
    <n v="0.27"/>
    <s v="Bank Transfer"/>
    <x v="1"/>
    <s v="East-David"/>
    <n v="32938.22"/>
    <x v="0"/>
    <n v="24257.527699999999"/>
    <n v="-8680.6923000000024"/>
    <x v="2"/>
    <n v="-0.35785560702461899"/>
  </r>
  <r>
    <s v="sales_2023_H2.csv"/>
    <s v="1066"/>
    <d v="2023-07-03T00:00:00"/>
    <x v="1"/>
    <x v="0"/>
    <n v="6380.2"/>
    <n v="15"/>
    <x v="1"/>
    <n v="2579.31"/>
    <n v="2867.36"/>
    <x v="0"/>
    <n v="0.04"/>
    <s v="Bank Transfer"/>
    <x v="1"/>
    <s v="North-Charlie"/>
    <n v="38689.65"/>
    <x v="0"/>
    <n v="41289.983999999997"/>
    <n v="2600.3339999999953"/>
    <x v="2"/>
    <n v="6.2977355476814795E-2"/>
  </r>
  <r>
    <s v="sales_2023_H2.csv"/>
    <s v="1029"/>
    <d v="2023-07-04T00:00:00"/>
    <x v="1"/>
    <x v="0"/>
    <n v="5240.32"/>
    <n v="31"/>
    <x v="1"/>
    <n v="951.21"/>
    <n v="1320.32"/>
    <x v="1"/>
    <n v="0.15"/>
    <s v="Cash"/>
    <x v="0"/>
    <s v="North-Charlie"/>
    <n v="29487.510000000002"/>
    <x v="0"/>
    <n v="34790.432000000001"/>
    <n v="5302.9219999999987"/>
    <x v="2"/>
    <n v="0.15242472413104799"/>
  </r>
  <r>
    <s v="sales_2023_H2.csv"/>
    <s v="1067"/>
    <d v="2023-07-05T00:00:00"/>
    <x v="4"/>
    <x v="2"/>
    <n v="6360.67"/>
    <n v="27"/>
    <x v="1"/>
    <n v="3624.97"/>
    <n v="3836.52"/>
    <x v="1"/>
    <n v="0.08"/>
    <s v="Cash"/>
    <x v="0"/>
    <s v="West-Alice"/>
    <n v="97874.189999999988"/>
    <x v="0"/>
    <n v="95299.156799999997"/>
    <n v="-2575.0331999999908"/>
    <x v="2"/>
    <n v="-2.7020524487998299E-2"/>
  </r>
  <r>
    <s v="sales_2023_H2.csv"/>
    <s v="1053"/>
    <d v="2023-07-06T00:00:00"/>
    <x v="1"/>
    <x v="3"/>
    <n v="4396.8100000000004"/>
    <n v="11"/>
    <x v="2"/>
    <n v="200.56"/>
    <n v="540.38"/>
    <x v="1"/>
    <n v="0.18"/>
    <s v="Bank Transfer"/>
    <x v="0"/>
    <s v="East-Charlie"/>
    <n v="2206.16"/>
    <x v="0"/>
    <n v="4874.2276000000002"/>
    <n v="2668.0676000000003"/>
    <x v="2"/>
    <n v="0.54738264581653895"/>
  </r>
  <r>
    <s v="sales_2023_H2.csv"/>
    <s v="1055"/>
    <d v="2023-07-06T00:00:00"/>
    <x v="0"/>
    <x v="1"/>
    <n v="1242.4100000000001"/>
    <n v="16"/>
    <x v="0"/>
    <n v="4195.38"/>
    <n v="4461.51"/>
    <x v="0"/>
    <n v="0.09"/>
    <s v="Bank Transfer"/>
    <x v="0"/>
    <s v="South-Eve"/>
    <n v="67126.080000000002"/>
    <x v="0"/>
    <n v="64959.585600000006"/>
    <n v="-2166.4943999999959"/>
    <x v="2"/>
    <n v="-3.3351419655608103E-2"/>
  </r>
  <r>
    <s v="sales_2023_H2.csv"/>
    <s v="1004"/>
    <d v="2023-07-07T00:00:00"/>
    <x v="0"/>
    <x v="0"/>
    <n v="6772.8"/>
    <n v="35"/>
    <x v="0"/>
    <n v="2278.87"/>
    <n v="2646.53"/>
    <x v="0"/>
    <n v="0.09"/>
    <s v="Bank Transfer"/>
    <x v="0"/>
    <s v="North-Eve"/>
    <n v="79760.45"/>
    <x v="0"/>
    <n v="84291.980500000005"/>
    <n v="4531.530500000008"/>
    <x v="2"/>
    <n v="5.3759924409416501E-2"/>
  </r>
  <r>
    <s v="sales_2023_H2.csv"/>
    <s v="1033"/>
    <d v="2023-07-07T00:00:00"/>
    <x v="0"/>
    <x v="3"/>
    <n v="8775.56"/>
    <n v="13"/>
    <x v="3"/>
    <n v="4342.53"/>
    <n v="4357.49"/>
    <x v="1"/>
    <n v="0.08"/>
    <s v="Bank Transfer"/>
    <x v="0"/>
    <s v="East-Eve"/>
    <n v="56452.89"/>
    <x v="0"/>
    <n v="52115.580399999999"/>
    <n v="-4337.3096000000005"/>
    <x v="2"/>
    <n v="-8.3224816201030005E-2"/>
  </r>
  <r>
    <s v="sales_2023_H2.csv"/>
    <s v="1080"/>
    <d v="2023-07-07T00:00:00"/>
    <x v="1"/>
    <x v="2"/>
    <n v="5993.5"/>
    <n v="14"/>
    <x v="3"/>
    <n v="4127.54"/>
    <n v="4495.13"/>
    <x v="1"/>
    <n v="0.06"/>
    <s v="Bank Transfer"/>
    <x v="1"/>
    <s v="West-Charlie"/>
    <n v="57785.56"/>
    <x v="0"/>
    <n v="59155.910799999998"/>
    <n v="1370.3508000000002"/>
    <x v="2"/>
    <n v="2.31650697532663E-2"/>
  </r>
  <r>
    <s v="sales_2023_H2.csv"/>
    <s v="1092"/>
    <d v="2023-07-07T00:00:00"/>
    <x v="4"/>
    <x v="1"/>
    <n v="1039.69"/>
    <n v="14"/>
    <x v="1"/>
    <n v="2559.65"/>
    <n v="2709.4"/>
    <x v="0"/>
    <n v="0.11"/>
    <s v="Credit Card"/>
    <x v="1"/>
    <s v="South-Alice"/>
    <n v="35835.1"/>
    <x v="0"/>
    <n v="33759.123999999996"/>
    <n v="-2075.9760000000024"/>
    <x v="2"/>
    <n v="-6.1493775727119102E-2"/>
  </r>
  <r>
    <s v="sales_2023_H2.csv"/>
    <s v="1047"/>
    <d v="2023-07-07T00:00:00"/>
    <x v="2"/>
    <x v="1"/>
    <n v="9519.2999999999993"/>
    <n v="15"/>
    <x v="0"/>
    <n v="957.95"/>
    <n v="1329.26"/>
    <x v="1"/>
    <n v="0.21"/>
    <s v="Cash"/>
    <x v="0"/>
    <s v="South-David"/>
    <n v="14369.25"/>
    <x v="0"/>
    <n v="15751.731000000002"/>
    <n v="1382.4810000000016"/>
    <x v="2"/>
    <n v="8.7766925425529496E-2"/>
  </r>
  <r>
    <s v="sales_2023_H2.csv"/>
    <s v="1042"/>
    <d v="2023-07-08T00:00:00"/>
    <x v="4"/>
    <x v="3"/>
    <n v="5947.31"/>
    <n v="23"/>
    <x v="2"/>
    <n v="1314"/>
    <n v="1567.78"/>
    <x v="0"/>
    <n v="0.15"/>
    <s v="Credit Card"/>
    <x v="1"/>
    <s v="East-Alice"/>
    <n v="30222"/>
    <x v="0"/>
    <n v="30650.099000000002"/>
    <n v="428.09900000000198"/>
    <x v="2"/>
    <n v="1.39672958315731E-2"/>
  </r>
  <r>
    <s v="sales_2023_H2.csv"/>
    <s v="1086"/>
    <d v="2023-07-09T00:00:00"/>
    <x v="2"/>
    <x v="0"/>
    <n v="7041.28"/>
    <n v="28"/>
    <x v="3"/>
    <n v="2564.35"/>
    <n v="2765.79"/>
    <x v="0"/>
    <n v="0.17"/>
    <s v="Credit Card"/>
    <x v="0"/>
    <s v="North-David"/>
    <n v="71801.8"/>
    <x v="0"/>
    <n v="64276.959599999995"/>
    <n v="-7524.8404000000082"/>
    <x v="2"/>
    <n v="-0.117069015815739"/>
  </r>
  <r>
    <s v="sales_2023_H2.csv"/>
    <s v="1047"/>
    <d v="2023-07-10T00:00:00"/>
    <x v="2"/>
    <x v="0"/>
    <n v="6976.95"/>
    <n v="36"/>
    <x v="3"/>
    <n v="4043.53"/>
    <n v="4384.8500000000004"/>
    <x v="1"/>
    <n v="0.14000000000000001"/>
    <s v="Cash"/>
    <x v="0"/>
    <s v="North-David"/>
    <n v="145567.08000000002"/>
    <x v="0"/>
    <n v="135754.95600000001"/>
    <n v="-9812.1240000000107"/>
    <x v="2"/>
    <n v="-7.2278201025677599E-2"/>
  </r>
  <r>
    <s v="sales_2023_H2.csv"/>
    <s v="1092"/>
    <d v="2023-07-11T00:00:00"/>
    <x v="0"/>
    <x v="3"/>
    <n v="7667.1"/>
    <n v="33"/>
    <x v="2"/>
    <n v="2595.42"/>
    <n v="3083.06"/>
    <x v="1"/>
    <n v="0.08"/>
    <s v="Credit Card"/>
    <x v="0"/>
    <s v="East-Eve"/>
    <n v="85648.86"/>
    <x v="0"/>
    <n v="93601.7016"/>
    <n v="7952.8415999999997"/>
    <x v="2"/>
    <n v="8.4964711795367603E-2"/>
  </r>
  <r>
    <s v="sales_2023_H2.csv"/>
    <s v="1025"/>
    <d v="2023-07-11T00:00:00"/>
    <x v="1"/>
    <x v="2"/>
    <n v="5910.67"/>
    <n v="40"/>
    <x v="2"/>
    <n v="2983.85"/>
    <n v="3239.74"/>
    <x v="1"/>
    <n v="0.27"/>
    <s v="Credit Card"/>
    <x v="0"/>
    <s v="West-Charlie"/>
    <n v="119354"/>
    <x v="0"/>
    <n v="94600.407999999996"/>
    <n v="-24753.592000000004"/>
    <x v="2"/>
    <n v="-0.26166474884548102"/>
  </r>
  <r>
    <s v="sales_2023_H2.csv"/>
    <s v="1058"/>
    <d v="2023-07-12T00:00:00"/>
    <x v="0"/>
    <x v="3"/>
    <n v="9580.0499999999993"/>
    <n v="14"/>
    <x v="2"/>
    <n v="2703.97"/>
    <n v="2796.88"/>
    <x v="1"/>
    <n v="0.13"/>
    <s v="Bank Transfer"/>
    <x v="0"/>
    <s v="East-Eve"/>
    <n v="37855.579999999994"/>
    <x v="0"/>
    <n v="34065.998399999997"/>
    <n v="-3789.5815999999977"/>
    <x v="2"/>
    <n v="-0.111242346562196"/>
  </r>
  <r>
    <s v="sales_2023_H2.csv"/>
    <s v="1023"/>
    <d v="2023-07-12T00:00:00"/>
    <x v="4"/>
    <x v="0"/>
    <n v="5051.12"/>
    <n v="2"/>
    <x v="3"/>
    <n v="665.89"/>
    <n v="944.79"/>
    <x v="1"/>
    <n v="0.1"/>
    <s v="Credit Card"/>
    <x v="1"/>
    <s v="North-Alice"/>
    <n v="1331.78"/>
    <x v="0"/>
    <n v="1700.6220000000001"/>
    <n v="368.8420000000001"/>
    <x v="2"/>
    <n v="0.21688652739997499"/>
  </r>
  <r>
    <s v="sales_2023_H2.csv"/>
    <s v="1046"/>
    <d v="2023-07-12T00:00:00"/>
    <x v="0"/>
    <x v="0"/>
    <n v="485.49"/>
    <n v="17"/>
    <x v="1"/>
    <n v="3850.99"/>
    <n v="4045.34"/>
    <x v="0"/>
    <n v="0.16"/>
    <s v="Credit Card"/>
    <x v="0"/>
    <s v="North-Eve"/>
    <n v="65466.829999999994"/>
    <x v="0"/>
    <n v="57767.455199999997"/>
    <n v="-7699.3747999999978"/>
    <x v="2"/>
    <n v="-0.13328222220181901"/>
  </r>
  <r>
    <s v="sales_2023_H2.csv"/>
    <s v="1021"/>
    <d v="2023-07-13T00:00:00"/>
    <x v="3"/>
    <x v="2"/>
    <n v="9638.64"/>
    <n v="43"/>
    <x v="1"/>
    <n v="4154.3"/>
    <n v="4469.07"/>
    <x v="0"/>
    <n v="0.23"/>
    <s v="Cash"/>
    <x v="1"/>
    <s v="West-Bob"/>
    <n v="178634.9"/>
    <x v="0"/>
    <n v="147970.90769999998"/>
    <n v="-30663.992300000013"/>
    <x v="2"/>
    <n v="-0.207229872254139"/>
  </r>
  <r>
    <s v="sales_2023_H2.csv"/>
    <s v="1054"/>
    <d v="2023-07-13T00:00:00"/>
    <x v="4"/>
    <x v="1"/>
    <n v="7002.37"/>
    <n v="47"/>
    <x v="3"/>
    <n v="4429.8"/>
    <n v="4694.21"/>
    <x v="1"/>
    <n v="0.25"/>
    <s v="Bank Transfer"/>
    <x v="0"/>
    <s v="South-Alice"/>
    <n v="208200.6"/>
    <x v="0"/>
    <n v="165470.9025"/>
    <n v="-42729.697500000009"/>
    <x v="2"/>
    <n v="-0.258230884429968"/>
  </r>
  <r>
    <s v="sales_2023_H2.csv"/>
    <s v="1004"/>
    <d v="2023-07-13T00:00:00"/>
    <x v="0"/>
    <x v="3"/>
    <n v="1526.38"/>
    <n v="16"/>
    <x v="0"/>
    <n v="1067.83"/>
    <n v="1189.22"/>
    <x v="0"/>
    <n v="0.26"/>
    <s v="Credit Card"/>
    <x v="1"/>
    <s v="East-Eve"/>
    <n v="17085.28"/>
    <x v="0"/>
    <n v="14080.364799999999"/>
    <n v="-3004.9151999999995"/>
    <x v="2"/>
    <n v="-0.213411743423011"/>
  </r>
  <r>
    <s v="sales_2023_H2.csv"/>
    <s v="1030"/>
    <d v="2023-07-14T00:00:00"/>
    <x v="3"/>
    <x v="3"/>
    <n v="3407.09"/>
    <n v="39"/>
    <x v="0"/>
    <n v="4929.7299999999996"/>
    <n v="5088.0200000000004"/>
    <x v="1"/>
    <n v="0.23"/>
    <s v="Bank Transfer"/>
    <x v="1"/>
    <s v="East-Bob"/>
    <n v="192259.46999999997"/>
    <x v="0"/>
    <n v="152793.24060000002"/>
    <n v="-39466.229399999953"/>
    <x v="2"/>
    <n v="-0.25829826794052502"/>
  </r>
  <r>
    <s v="sales_2023_H2.csv"/>
    <s v="1027"/>
    <d v="2023-07-14T00:00:00"/>
    <x v="3"/>
    <x v="1"/>
    <n v="6650.67"/>
    <n v="22"/>
    <x v="3"/>
    <n v="3240.2"/>
    <n v="3606.09"/>
    <x v="1"/>
    <n v="7.0000000000000007E-2"/>
    <s v="Cash"/>
    <x v="0"/>
    <s v="South-Bob"/>
    <n v="71284.399999999994"/>
    <x v="0"/>
    <n v="73780.6014"/>
    <n v="2496.2014000000054"/>
    <x v="2"/>
    <n v="3.3832760273488402E-2"/>
  </r>
  <r>
    <s v="sales_2023_H2.csv"/>
    <s v="1081"/>
    <d v="2023-07-14T00:00:00"/>
    <x v="0"/>
    <x v="0"/>
    <n v="7001.64"/>
    <n v="16"/>
    <x v="0"/>
    <n v="2530.15"/>
    <n v="2568.13"/>
    <x v="1"/>
    <n v="0.01"/>
    <s v="Credit Card"/>
    <x v="0"/>
    <s v="North-Eve"/>
    <n v="40482.400000000001"/>
    <x v="0"/>
    <n v="40679.179199999999"/>
    <n v="196.77919999999722"/>
    <x v="2"/>
    <n v="4.83734440738168E-3"/>
  </r>
  <r>
    <s v="sales_2023_H2.csv"/>
    <s v="1052"/>
    <d v="2023-07-15T00:00:00"/>
    <x v="1"/>
    <x v="3"/>
    <n v="1700.55"/>
    <n v="48"/>
    <x v="3"/>
    <n v="3002.35"/>
    <n v="3080.61"/>
    <x v="0"/>
    <n v="0.18"/>
    <s v="Bank Transfer"/>
    <x v="1"/>
    <s v="East-Charlie"/>
    <n v="144112.79999999999"/>
    <x v="0"/>
    <n v="121252.80960000001"/>
    <n v="-22859.990399999981"/>
    <x v="2"/>
    <n v="-0.188531634651705"/>
  </r>
  <r>
    <s v="sales_2023_H2.csv"/>
    <s v="1017"/>
    <d v="2023-07-15T00:00:00"/>
    <x v="2"/>
    <x v="0"/>
    <n v="5705.19"/>
    <n v="23"/>
    <x v="2"/>
    <n v="1771.52"/>
    <n v="2147.8000000000002"/>
    <x v="1"/>
    <n v="7.0000000000000007E-2"/>
    <s v="Bank Transfer"/>
    <x v="0"/>
    <s v="North-David"/>
    <n v="40744.959999999999"/>
    <x v="0"/>
    <n v="45941.441999999995"/>
    <n v="5196.4819999999963"/>
    <x v="2"/>
    <n v="0.11311099029064001"/>
  </r>
  <r>
    <s v="sales_2023_H2.csv"/>
    <s v="1017"/>
    <d v="2023-07-16T00:00:00"/>
    <x v="4"/>
    <x v="1"/>
    <n v="3137.09"/>
    <n v="18"/>
    <x v="1"/>
    <n v="1069.73"/>
    <n v="1180.04"/>
    <x v="0"/>
    <n v="0.22"/>
    <s v="Bank Transfer"/>
    <x v="0"/>
    <s v="South-Alice"/>
    <n v="19255.14"/>
    <x v="0"/>
    <n v="16567.761600000002"/>
    <n v="-2687.3783999999978"/>
    <x v="2"/>
    <n v="-0.162205279438593"/>
  </r>
  <r>
    <s v="sales_2023_H2.csv"/>
    <s v="1030"/>
    <d v="2023-07-17T00:00:00"/>
    <x v="2"/>
    <x v="2"/>
    <n v="3023.48"/>
    <n v="19"/>
    <x v="0"/>
    <n v="3049.33"/>
    <n v="3209.22"/>
    <x v="0"/>
    <n v="0.26"/>
    <s v="Cash"/>
    <x v="0"/>
    <s v="West-David"/>
    <n v="57937.27"/>
    <x v="0"/>
    <n v="45121.633199999997"/>
    <n v="-12815.6368"/>
    <x v="2"/>
    <n v="-0.284024222775695"/>
  </r>
  <r>
    <s v="sales_2023_H2.csv"/>
    <s v="1003"/>
    <d v="2023-07-17T00:00:00"/>
    <x v="0"/>
    <x v="2"/>
    <n v="5738.44"/>
    <n v="15"/>
    <x v="2"/>
    <n v="1729.14"/>
    <n v="1870.88"/>
    <x v="0"/>
    <n v="0.23"/>
    <s v="Cash"/>
    <x v="0"/>
    <s v="West-Eve"/>
    <n v="25937.100000000002"/>
    <x v="0"/>
    <n v="21608.664000000001"/>
    <n v="-4328.4360000000015"/>
    <x v="2"/>
    <n v="-0.20031020890509499"/>
  </r>
  <r>
    <s v="sales_2023_H2.csv"/>
    <s v="1019"/>
    <d v="2023-07-17T00:00:00"/>
    <x v="2"/>
    <x v="1"/>
    <n v="7320.51"/>
    <n v="14"/>
    <x v="0"/>
    <n v="1614.19"/>
    <n v="1882.79"/>
    <x v="1"/>
    <n v="0.25"/>
    <s v="Credit Card"/>
    <x v="1"/>
    <s v="South-David"/>
    <n v="22598.66"/>
    <x v="0"/>
    <n v="19769.294999999998"/>
    <n v="-2829.3650000000016"/>
    <x v="2"/>
    <n v="-0.14311916535212801"/>
  </r>
  <r>
    <s v="sales_2023_H2.csv"/>
    <s v="1090"/>
    <d v="2023-07-17T00:00:00"/>
    <x v="2"/>
    <x v="0"/>
    <n v="5076.05"/>
    <n v="14"/>
    <x v="2"/>
    <n v="1350.47"/>
    <n v="1514.61"/>
    <x v="1"/>
    <n v="0.2"/>
    <s v="Credit Card"/>
    <x v="1"/>
    <s v="North-David"/>
    <n v="18906.580000000002"/>
    <x v="0"/>
    <n v="16963.631999999998"/>
    <n v="-1942.948000000004"/>
    <x v="2"/>
    <n v="-0.11453608519685"/>
  </r>
  <r>
    <s v="sales_2023_H2.csv"/>
    <s v="1089"/>
    <d v="2023-07-17T00:00:00"/>
    <x v="1"/>
    <x v="0"/>
    <n v="3438.35"/>
    <n v="31"/>
    <x v="0"/>
    <n v="845.14"/>
    <n v="1001.77"/>
    <x v="1"/>
    <n v="0.03"/>
    <s v="Cash"/>
    <x v="0"/>
    <s v="North-Charlie"/>
    <n v="26199.34"/>
    <x v="0"/>
    <n v="30123.223899999997"/>
    <n v="3923.8838999999971"/>
    <x v="2"/>
    <n v="0.13026108735990899"/>
  </r>
  <r>
    <s v="sales_2023_H2.csv"/>
    <s v="1052"/>
    <d v="2023-07-18T00:00:00"/>
    <x v="0"/>
    <x v="1"/>
    <n v="6675.77"/>
    <n v="42"/>
    <x v="2"/>
    <n v="417.96"/>
    <n v="907.63"/>
    <x v="1"/>
    <n v="0.04"/>
    <s v="Cash"/>
    <x v="1"/>
    <s v="South-Eve"/>
    <n v="17554.32"/>
    <x v="0"/>
    <n v="36595.641599999995"/>
    <n v="19041.321599999996"/>
    <x v="2"/>
    <n v="0.52031664885470996"/>
  </r>
  <r>
    <s v="sales_2023_H2.csv"/>
    <s v="1019"/>
    <d v="2023-07-18T00:00:00"/>
    <x v="4"/>
    <x v="0"/>
    <n v="7948.31"/>
    <n v="12"/>
    <x v="0"/>
    <n v="4745.18"/>
    <n v="5145.88"/>
    <x v="0"/>
    <n v="0.19"/>
    <s v="Credit Card"/>
    <x v="0"/>
    <s v="North-Alice"/>
    <n v="56942.16"/>
    <x v="0"/>
    <n v="50017.953600000001"/>
    <n v="-6924.2064000000028"/>
    <x v="2"/>
    <n v="-0.138434420075915"/>
  </r>
  <r>
    <s v="sales_2023_H2.csv"/>
    <s v="1050"/>
    <d v="2023-07-18T00:00:00"/>
    <x v="0"/>
    <x v="1"/>
    <n v="6107.78"/>
    <n v="43"/>
    <x v="1"/>
    <n v="4834.47"/>
    <n v="4973.38"/>
    <x v="0"/>
    <n v="0.03"/>
    <s v="Bank Transfer"/>
    <x v="0"/>
    <s v="South-Eve"/>
    <n v="207882.21000000002"/>
    <x v="0"/>
    <n v="207439.67979999998"/>
    <n v="-442.53020000003744"/>
    <x v="2"/>
    <n v="-2.13329581122906E-3"/>
  </r>
  <r>
    <s v="sales_2023_H2.csv"/>
    <s v="1062"/>
    <d v="2023-07-19T00:00:00"/>
    <x v="1"/>
    <x v="0"/>
    <n v="5684.33"/>
    <n v="10"/>
    <x v="2"/>
    <n v="2940.4"/>
    <n v="3054.79"/>
    <x v="0"/>
    <n v="0.08"/>
    <s v="Credit Card"/>
    <x v="0"/>
    <s v="North-Charlie"/>
    <n v="29404"/>
    <x v="0"/>
    <n v="28104.068000000003"/>
    <n v="-1299.9319999999971"/>
    <x v="2"/>
    <n v="-4.62542291030607E-2"/>
  </r>
  <r>
    <s v="sales_2023_H2.csv"/>
    <s v="1090"/>
    <d v="2023-07-19T00:00:00"/>
    <x v="1"/>
    <x v="2"/>
    <n v="656.14"/>
    <n v="10"/>
    <x v="1"/>
    <n v="2387.63"/>
    <n v="2438.9699999999998"/>
    <x v="0"/>
    <n v="0.02"/>
    <s v="Bank Transfer"/>
    <x v="1"/>
    <s v="West-Charlie"/>
    <n v="23876.300000000003"/>
    <x v="0"/>
    <n v="23901.905999999995"/>
    <n v="25.605999999992491"/>
    <x v="2"/>
    <n v="1.0712953184567201E-3"/>
  </r>
  <r>
    <s v="sales_2023_H2.csv"/>
    <s v="1086"/>
    <d v="2023-07-20T00:00:00"/>
    <x v="3"/>
    <x v="0"/>
    <n v="7075.09"/>
    <n v="17"/>
    <x v="3"/>
    <n v="1057.27"/>
    <n v="1366.62"/>
    <x v="1"/>
    <n v="0.21"/>
    <s v="Credit Card"/>
    <x v="1"/>
    <s v="North-Bob"/>
    <n v="17973.59"/>
    <x v="0"/>
    <n v="18353.706599999998"/>
    <n v="380.11659999999756"/>
    <x v="2"/>
    <n v="2.0710617658015601E-2"/>
  </r>
  <r>
    <s v="sales_2023_H2.csv"/>
    <s v="1055"/>
    <d v="2023-07-20T00:00:00"/>
    <x v="0"/>
    <x v="2"/>
    <n v="7354.06"/>
    <n v="43"/>
    <x v="1"/>
    <n v="4111.7"/>
    <n v="4537.9399999999996"/>
    <x v="0"/>
    <n v="0.13"/>
    <s v="Bank Transfer"/>
    <x v="0"/>
    <s v="West-Eve"/>
    <n v="176803.1"/>
    <x v="0"/>
    <n v="169764.33539999998"/>
    <n v="-7038.7646000000241"/>
    <x v="2"/>
    <n v="-4.14619748218331E-2"/>
  </r>
  <r>
    <s v="sales_2023_H2.csv"/>
    <s v="1062"/>
    <d v="2023-07-20T00:00:00"/>
    <x v="0"/>
    <x v="0"/>
    <n v="903.38"/>
    <n v="48"/>
    <x v="2"/>
    <n v="1679.69"/>
    <n v="1939.04"/>
    <x v="1"/>
    <n v="0.09"/>
    <s v="Credit Card"/>
    <x v="0"/>
    <s v="North-Eve"/>
    <n v="80625.119999999995"/>
    <x v="0"/>
    <n v="84697.267200000002"/>
    <n v="4072.1472000000067"/>
    <x v="2"/>
    <n v="4.80788499395646E-2"/>
  </r>
  <r>
    <s v="sales_2023_H2.csv"/>
    <s v="1017"/>
    <d v="2023-07-21T00:00:00"/>
    <x v="2"/>
    <x v="3"/>
    <n v="3388.69"/>
    <n v="1"/>
    <x v="3"/>
    <n v="172.59"/>
    <n v="404.69"/>
    <x v="0"/>
    <n v="0.28999999999999998"/>
    <s v="Bank Transfer"/>
    <x v="0"/>
    <s v="East-David"/>
    <n v="172.59"/>
    <x v="0"/>
    <n v="287.32990000000001"/>
    <n v="114.73990000000001"/>
    <x v="2"/>
    <n v="0.399331569739174"/>
  </r>
  <r>
    <s v="sales_2023_H2.csv"/>
    <s v="1063"/>
    <d v="2023-07-21T00:00:00"/>
    <x v="3"/>
    <x v="3"/>
    <n v="6359.59"/>
    <n v="32"/>
    <x v="2"/>
    <n v="975.31"/>
    <n v="1176.17"/>
    <x v="1"/>
    <n v="0.22"/>
    <s v="Bank Transfer"/>
    <x v="1"/>
    <s v="East-Bob"/>
    <n v="31209.919999999998"/>
    <x v="0"/>
    <n v="29357.203200000004"/>
    <n v="-1852.7167999999947"/>
    <x v="2"/>
    <n v="-6.3109444976011703E-2"/>
  </r>
  <r>
    <s v="sales_2023_H2.csv"/>
    <s v="1066"/>
    <d v="2023-07-21T00:00:00"/>
    <x v="1"/>
    <x v="3"/>
    <n v="3492.19"/>
    <n v="4"/>
    <x v="1"/>
    <n v="868.83"/>
    <n v="1177.75"/>
    <x v="0"/>
    <n v="0.21"/>
    <s v="Credit Card"/>
    <x v="1"/>
    <s v="East-Charlie"/>
    <n v="3475.32"/>
    <x v="0"/>
    <n v="3721.69"/>
    <n v="246.36999999999989"/>
    <x v="2"/>
    <n v="6.6198420609991704E-2"/>
  </r>
  <r>
    <s v="sales_2023_H2.csv"/>
    <s v="1023"/>
    <d v="2023-07-21T00:00:00"/>
    <x v="0"/>
    <x v="0"/>
    <n v="2282.9899999999998"/>
    <n v="4"/>
    <x v="0"/>
    <n v="1532.8"/>
    <n v="1619.69"/>
    <x v="0"/>
    <n v="0.05"/>
    <s v="Bank Transfer"/>
    <x v="1"/>
    <s v="North-Eve"/>
    <n v="6131.2"/>
    <x v="0"/>
    <n v="6154.8220000000001"/>
    <n v="23.622000000000298"/>
    <x v="2"/>
    <n v="3.8379663944790401E-3"/>
  </r>
  <r>
    <s v="sales_2023_H2.csv"/>
    <s v="1039"/>
    <d v="2023-07-22T00:00:00"/>
    <x v="4"/>
    <x v="3"/>
    <n v="6807.67"/>
    <n v="42"/>
    <x v="0"/>
    <n v="3120.19"/>
    <n v="3600.14"/>
    <x v="0"/>
    <n v="0.19"/>
    <s v="Credit Card"/>
    <x v="1"/>
    <s v="East-Alice"/>
    <n v="131047.98"/>
    <x v="0"/>
    <n v="122476.76280000001"/>
    <n v="-8571.2171999999846"/>
    <x v="2"/>
    <n v="-6.9982395060493696E-2"/>
  </r>
  <r>
    <s v="sales_2023_H2.csv"/>
    <s v="1056"/>
    <d v="2023-07-23T00:00:00"/>
    <x v="3"/>
    <x v="2"/>
    <n v="7591.63"/>
    <n v="35"/>
    <x v="1"/>
    <n v="2344.9299999999998"/>
    <n v="2707.25"/>
    <x v="1"/>
    <n v="0.12"/>
    <s v="Credit Card"/>
    <x v="1"/>
    <s v="West-Bob"/>
    <n v="82072.549999999988"/>
    <x v="0"/>
    <n v="83383.3"/>
    <n v="1310.7500000000146"/>
    <x v="2"/>
    <n v="1.57195745431041E-2"/>
  </r>
  <r>
    <s v="sales_2023_H2.csv"/>
    <s v="1042"/>
    <d v="2023-07-23T00:00:00"/>
    <x v="1"/>
    <x v="2"/>
    <n v="8417.07"/>
    <n v="26"/>
    <x v="2"/>
    <n v="4208.09"/>
    <n v="4226.5600000000004"/>
    <x v="0"/>
    <n v="0.28999999999999998"/>
    <s v="Cash"/>
    <x v="1"/>
    <s v="West-Charlie"/>
    <n v="109410.34"/>
    <x v="0"/>
    <n v="78022.297600000005"/>
    <n v="-31388.042399999991"/>
    <x v="2"/>
    <n v="-0.40229579704148599"/>
  </r>
  <r>
    <s v="sales_2023_H2.csv"/>
    <s v="1098"/>
    <d v="2023-07-24T00:00:00"/>
    <x v="4"/>
    <x v="1"/>
    <n v="8188.04"/>
    <n v="19"/>
    <x v="2"/>
    <n v="4055.51"/>
    <n v="4258.84"/>
    <x v="0"/>
    <n v="0.03"/>
    <s v="Credit Card"/>
    <x v="0"/>
    <s v="South-Alice"/>
    <n v="77054.69"/>
    <x v="0"/>
    <n v="78490.421199999997"/>
    <n v="1435.7311999999947"/>
    <x v="2"/>
    <n v="1.8291801445957798E-2"/>
  </r>
  <r>
    <s v="sales_2023_H2.csv"/>
    <s v="1003"/>
    <d v="2023-07-25T00:00:00"/>
    <x v="0"/>
    <x v="2"/>
    <n v="5617.64"/>
    <n v="5"/>
    <x v="3"/>
    <n v="2206.58"/>
    <n v="2490.4699999999998"/>
    <x v="1"/>
    <n v="0.28000000000000003"/>
    <s v="Cash"/>
    <x v="0"/>
    <s v="West-Eve"/>
    <n v="11032.9"/>
    <x v="0"/>
    <n v="8965.6919999999991"/>
    <n v="-2067.2080000000005"/>
    <x v="2"/>
    <n v="-0.23056870568384499"/>
  </r>
  <r>
    <s v="sales_2023_H2.csv"/>
    <s v="1047"/>
    <d v="2023-07-25T00:00:00"/>
    <x v="1"/>
    <x v="3"/>
    <n v="2936.54"/>
    <n v="19"/>
    <x v="1"/>
    <n v="3484.62"/>
    <n v="3781.55"/>
    <x v="0"/>
    <n v="0.21"/>
    <s v="Credit Card"/>
    <x v="1"/>
    <s v="East-Charlie"/>
    <n v="66207.78"/>
    <x v="0"/>
    <n v="56761.065499999997"/>
    <n v="-9446.7145000000019"/>
    <x v="2"/>
    <n v="-0.166429477966724"/>
  </r>
  <r>
    <s v="sales_2023_H2.csv"/>
    <s v="1015"/>
    <d v="2023-07-26T00:00:00"/>
    <x v="2"/>
    <x v="0"/>
    <n v="2706.15"/>
    <n v="9"/>
    <x v="2"/>
    <n v="4680.3500000000004"/>
    <n v="4758.1099999999997"/>
    <x v="0"/>
    <n v="0.05"/>
    <s v="Bank Transfer"/>
    <x v="0"/>
    <s v="North-David"/>
    <n v="42123.15"/>
    <x v="0"/>
    <n v="40681.840499999998"/>
    <n v="-1441.309500000003"/>
    <x v="2"/>
    <n v="-3.5428817435140397E-2"/>
  </r>
  <r>
    <s v="sales_2023_H2.csv"/>
    <s v="1062"/>
    <d v="2023-07-27T00:00:00"/>
    <x v="2"/>
    <x v="1"/>
    <n v="4078.68"/>
    <n v="44"/>
    <x v="2"/>
    <n v="987.74"/>
    <n v="1462.19"/>
    <x v="1"/>
    <n v="0.24"/>
    <s v="Bank Transfer"/>
    <x v="0"/>
    <s v="South-David"/>
    <n v="43460.56"/>
    <x v="0"/>
    <n v="48895.633600000001"/>
    <n v="5435.0736000000034"/>
    <x v="2"/>
    <n v="0.111156624832038"/>
  </r>
  <r>
    <s v="sales_2023_H2.csv"/>
    <s v="1078"/>
    <d v="2023-07-27T00:00:00"/>
    <x v="0"/>
    <x v="0"/>
    <n v="4127.37"/>
    <n v="3"/>
    <x v="0"/>
    <n v="902.38"/>
    <n v="1128.9100000000001"/>
    <x v="1"/>
    <n v="0.01"/>
    <s v="Bank Transfer"/>
    <x v="1"/>
    <s v="North-Eve"/>
    <n v="2707.14"/>
    <x v="0"/>
    <n v="3352.8627000000006"/>
    <n v="645.72270000000071"/>
    <x v="2"/>
    <n v="0.19258847074173399"/>
  </r>
  <r>
    <s v="sales_2023_H2.csv"/>
    <s v="1025"/>
    <d v="2023-07-28T00:00:00"/>
    <x v="2"/>
    <x v="2"/>
    <n v="4376.99"/>
    <n v="37"/>
    <x v="2"/>
    <n v="1115.02"/>
    <n v="1174.48"/>
    <x v="1"/>
    <n v="0.22"/>
    <s v="Credit Card"/>
    <x v="0"/>
    <s v="West-David"/>
    <n v="41255.74"/>
    <x v="0"/>
    <n v="33895.4928"/>
    <n v="-7360.247199999998"/>
    <x v="2"/>
    <n v="-0.217145307295842"/>
  </r>
  <r>
    <s v="sales_2023_H2.csv"/>
    <s v="1054"/>
    <d v="2023-07-28T00:00:00"/>
    <x v="2"/>
    <x v="3"/>
    <n v="768.28"/>
    <n v="20"/>
    <x v="0"/>
    <n v="4622.1400000000003"/>
    <n v="5122.07"/>
    <x v="1"/>
    <n v="0.26"/>
    <s v="Cash"/>
    <x v="1"/>
    <s v="East-David"/>
    <n v="92442.8"/>
    <x v="0"/>
    <n v="75806.635999999999"/>
    <n v="-16636.164000000004"/>
    <x v="2"/>
    <n v="-0.21945524663566399"/>
  </r>
  <r>
    <s v="sales_2023_H2.csv"/>
    <s v="1082"/>
    <d v="2023-07-28T00:00:00"/>
    <x v="4"/>
    <x v="3"/>
    <n v="8540.2199999999993"/>
    <n v="48"/>
    <x v="3"/>
    <n v="3380.52"/>
    <n v="3778.94"/>
    <x v="0"/>
    <n v="0.3"/>
    <s v="Bank Transfer"/>
    <x v="0"/>
    <s v="East-Alice"/>
    <n v="162264.95999999999"/>
    <x v="0"/>
    <n v="126972.38399999999"/>
    <n v="-35292.576000000001"/>
    <x v="2"/>
    <n v="-0.27795474014254901"/>
  </r>
  <r>
    <s v="sales_2023_H2.csv"/>
    <s v="1096"/>
    <d v="2023-07-29T00:00:00"/>
    <x v="1"/>
    <x v="2"/>
    <n v="485.41"/>
    <n v="38"/>
    <x v="2"/>
    <n v="3955.66"/>
    <n v="4270.59"/>
    <x v="0"/>
    <n v="0.15"/>
    <s v="Credit Card"/>
    <x v="0"/>
    <s v="West-Charlie"/>
    <n v="150315.07999999999"/>
    <x v="0"/>
    <n v="137940.057"/>
    <n v="-12375.022999999986"/>
    <x v="2"/>
    <n v="-8.97130483279414E-2"/>
  </r>
  <r>
    <s v="sales_2023_H2.csv"/>
    <s v="1059"/>
    <d v="2023-07-29T00:00:00"/>
    <x v="3"/>
    <x v="1"/>
    <n v="7678.91"/>
    <n v="16"/>
    <x v="1"/>
    <n v="4287.21"/>
    <n v="4464.28"/>
    <x v="0"/>
    <n v="0.2"/>
    <s v="Credit Card"/>
    <x v="1"/>
    <s v="South-Bob"/>
    <n v="68595.360000000001"/>
    <x v="0"/>
    <n v="57142.784"/>
    <n v="-11452.576000000001"/>
    <x v="2"/>
    <n v="-0.20042033653803101"/>
  </r>
  <r>
    <s v="sales_2023_H2.csv"/>
    <s v="1044"/>
    <d v="2023-07-29T00:00:00"/>
    <x v="4"/>
    <x v="0"/>
    <n v="6144.41"/>
    <n v="47"/>
    <x v="2"/>
    <n v="1512.34"/>
    <n v="1830.76"/>
    <x v="1"/>
    <n v="0.12"/>
    <s v="Bank Transfer"/>
    <x v="0"/>
    <s v="North-Alice"/>
    <n v="71079.98"/>
    <x v="0"/>
    <n v="75720.233600000007"/>
    <n v="4640.2536000000109"/>
    <x v="2"/>
    <n v="6.1281554207989301E-2"/>
  </r>
  <r>
    <s v="sales_2023_H2.csv"/>
    <s v="1082"/>
    <d v="2023-07-29T00:00:00"/>
    <x v="0"/>
    <x v="3"/>
    <n v="5677.61"/>
    <n v="46"/>
    <x v="3"/>
    <n v="1102.69"/>
    <n v="1437.12"/>
    <x v="1"/>
    <n v="0.11"/>
    <s v="Credit Card"/>
    <x v="0"/>
    <s v="East-Eve"/>
    <n v="50723.740000000005"/>
    <x v="0"/>
    <n v="58835.69279999999"/>
    <n v="8111.9527999999846"/>
    <x v="2"/>
    <n v="0.13787468820287199"/>
  </r>
  <r>
    <s v="sales_2023_H2.csv"/>
    <s v="1048"/>
    <d v="2023-07-30T00:00:00"/>
    <x v="4"/>
    <x v="0"/>
    <n v="9527"/>
    <n v="6"/>
    <x v="1"/>
    <n v="1945.27"/>
    <n v="2309.4299999999998"/>
    <x v="1"/>
    <n v="0.26"/>
    <s v="Credit Card"/>
    <x v="0"/>
    <s v="North-Alice"/>
    <n v="11671.619999999999"/>
    <x v="0"/>
    <n v="10253.869199999999"/>
    <n v="-1417.7507999999998"/>
    <x v="2"/>
    <n v="-0.138264958558278"/>
  </r>
  <r>
    <s v="sales_2023_H2.csv"/>
    <s v="1088"/>
    <d v="2023-07-30T00:00:00"/>
    <x v="0"/>
    <x v="3"/>
    <n v="7997.55"/>
    <n v="1"/>
    <x v="1"/>
    <n v="4384.6400000000003"/>
    <n v="4693.8999999999996"/>
    <x v="1"/>
    <n v="0.14000000000000001"/>
    <s v="Cash"/>
    <x v="1"/>
    <s v="East-Eve"/>
    <n v="4384.6400000000003"/>
    <x v="0"/>
    <n v="4036.7539999999995"/>
    <n v="-347.88600000000088"/>
    <x v="2"/>
    <n v="-8.6179638392629598E-2"/>
  </r>
  <r>
    <s v="sales_2023_H2.csv"/>
    <s v="1002"/>
    <d v="2023-07-31T00:00:00"/>
    <x v="2"/>
    <x v="3"/>
    <n v="8090.84"/>
    <n v="21"/>
    <x v="0"/>
    <n v="4138.41"/>
    <n v="4361.7"/>
    <x v="0"/>
    <n v="7.0000000000000007E-2"/>
    <s v="Credit Card"/>
    <x v="1"/>
    <s v="East-David"/>
    <n v="86906.61"/>
    <x v="0"/>
    <n v="85184.000999999989"/>
    <n v="-1722.6090000000113"/>
    <x v="2"/>
    <n v="-2.0222212854266002E-2"/>
  </r>
  <r>
    <s v="sales_2023_H2.csv"/>
    <s v="1063"/>
    <d v="2023-08-01T00:00:00"/>
    <x v="3"/>
    <x v="1"/>
    <n v="6346.13"/>
    <n v="4"/>
    <x v="2"/>
    <n v="1046.26"/>
    <n v="1475.29"/>
    <x v="0"/>
    <n v="0.09"/>
    <s v="Bank Transfer"/>
    <x v="1"/>
    <s v="South-Bob"/>
    <n v="4185.04"/>
    <x v="0"/>
    <n v="5370.0555999999997"/>
    <n v="1185.0155999999997"/>
    <x v="2"/>
    <n v="0.220671011302006"/>
  </r>
  <r>
    <s v="sales_2023_H2.csv"/>
    <s v="1039"/>
    <d v="2023-08-01T00:00:00"/>
    <x v="0"/>
    <x v="2"/>
    <n v="7527.63"/>
    <n v="36"/>
    <x v="0"/>
    <n v="2919"/>
    <n v="3125.01"/>
    <x v="1"/>
    <n v="0.24"/>
    <s v="Cash"/>
    <x v="0"/>
    <s v="West-Eve"/>
    <n v="105084"/>
    <x v="0"/>
    <n v="85500.273600000015"/>
    <n v="-19583.726399999985"/>
    <x v="2"/>
    <n v="-0.229048698623112"/>
  </r>
  <r>
    <s v="sales_2023_H2.csv"/>
    <s v="1096"/>
    <d v="2023-08-02T00:00:00"/>
    <x v="3"/>
    <x v="0"/>
    <n v="4815.72"/>
    <n v="30"/>
    <x v="2"/>
    <n v="3969.86"/>
    <n v="4281.79"/>
    <x v="0"/>
    <n v="0.08"/>
    <s v="Bank Transfer"/>
    <x v="1"/>
    <s v="North-Bob"/>
    <n v="119095.8"/>
    <x v="0"/>
    <n v="118177.40400000001"/>
    <n v="-918.39599999999336"/>
    <x v="2"/>
    <n v="-7.7713333422013003E-3"/>
  </r>
  <r>
    <s v="sales_2023_H2.csv"/>
    <s v="1038"/>
    <d v="2023-08-02T00:00:00"/>
    <x v="4"/>
    <x v="3"/>
    <n v="8489.14"/>
    <n v="43"/>
    <x v="1"/>
    <n v="3031.17"/>
    <n v="3231.32"/>
    <x v="0"/>
    <n v="0.22"/>
    <s v="Cash"/>
    <x v="1"/>
    <s v="East-Alice"/>
    <n v="130340.31"/>
    <x v="0"/>
    <n v="108378.47280000002"/>
    <n v="-21961.83719999998"/>
    <x v="2"/>
    <n v="-0.202640216572603"/>
  </r>
  <r>
    <s v="sales_2023_H2.csv"/>
    <s v="1029"/>
    <d v="2023-08-02T00:00:00"/>
    <x v="0"/>
    <x v="1"/>
    <n v="2855.85"/>
    <n v="46"/>
    <x v="1"/>
    <n v="4609.66"/>
    <n v="4879.1499999999996"/>
    <x v="0"/>
    <n v="0.3"/>
    <s v="Cash"/>
    <x v="1"/>
    <s v="South-Eve"/>
    <n v="212044.36"/>
    <x v="0"/>
    <n v="157108.62999999998"/>
    <n v="-54935.73000000001"/>
    <x v="2"/>
    <n v="-0.34966716977927997"/>
  </r>
  <r>
    <s v="sales_2023_H2.csv"/>
    <s v="1001"/>
    <d v="2023-08-03T00:00:00"/>
    <x v="3"/>
    <x v="2"/>
    <n v="5879.35"/>
    <n v="20"/>
    <x v="3"/>
    <n v="2153.52"/>
    <n v="2303.6999999999998"/>
    <x v="0"/>
    <n v="0.01"/>
    <s v="Cash"/>
    <x v="1"/>
    <s v="West-Bob"/>
    <n v="43070.400000000001"/>
    <x v="0"/>
    <n v="45613.26"/>
    <n v="2542.8600000000006"/>
    <x v="2"/>
    <n v="5.5748262676248099E-2"/>
  </r>
  <r>
    <s v="sales_2023_H2.csv"/>
    <s v="1033"/>
    <d v="2023-08-03T00:00:00"/>
    <x v="4"/>
    <x v="2"/>
    <n v="1103.5899999999999"/>
    <n v="40"/>
    <x v="3"/>
    <n v="541.19000000000005"/>
    <n v="595.20000000000005"/>
    <x v="0"/>
    <n v="0.19"/>
    <s v="Credit Card"/>
    <x v="0"/>
    <s v="West-Alice"/>
    <n v="21647.600000000002"/>
    <x v="0"/>
    <n v="19284.48"/>
    <n v="-2363.1200000000026"/>
    <x v="2"/>
    <n v="-0.122539990707554"/>
  </r>
  <r>
    <s v="sales_2023_H2.csv"/>
    <s v="1043"/>
    <d v="2023-08-03T00:00:00"/>
    <x v="2"/>
    <x v="3"/>
    <n v="6601.89"/>
    <n v="22"/>
    <x v="2"/>
    <n v="4260"/>
    <n v="4656.58"/>
    <x v="1"/>
    <n v="0"/>
    <s v="Bank Transfer"/>
    <x v="0"/>
    <s v="East-David"/>
    <n v="93720"/>
    <x v="0"/>
    <n v="102444.76"/>
    <n v="8724.7599999999948"/>
    <x v="2"/>
    <n v="8.51655077331432E-2"/>
  </r>
  <r>
    <s v="sales_2023_H2.csv"/>
    <s v="1016"/>
    <d v="2023-08-03T00:00:00"/>
    <x v="4"/>
    <x v="2"/>
    <n v="3080.36"/>
    <n v="16"/>
    <x v="1"/>
    <n v="4457.68"/>
    <n v="4743.03"/>
    <x v="0"/>
    <n v="0.19"/>
    <s v="Cash"/>
    <x v="0"/>
    <s v="West-Alice"/>
    <n v="71322.880000000005"/>
    <x v="0"/>
    <n v="61469.668799999999"/>
    <n v="-9853.2112000000052"/>
    <x v="2"/>
    <n v="-0.16029387163381001"/>
  </r>
  <r>
    <s v="sales_2023_H2.csv"/>
    <s v="1002"/>
    <d v="2023-08-03T00:00:00"/>
    <x v="4"/>
    <x v="1"/>
    <n v="8302.7000000000007"/>
    <n v="16"/>
    <x v="1"/>
    <n v="2872.4"/>
    <n v="3193.76"/>
    <x v="0"/>
    <n v="0.04"/>
    <s v="Credit Card"/>
    <x v="0"/>
    <s v="South-Alice"/>
    <n v="45958.400000000001"/>
    <x v="0"/>
    <n v="49056.153600000005"/>
    <n v="3097.7536000000036"/>
    <x v="2"/>
    <n v="6.3147095168912801E-2"/>
  </r>
  <r>
    <s v="sales_2023_H2.csv"/>
    <s v="1023"/>
    <d v="2023-08-03T00:00:00"/>
    <x v="2"/>
    <x v="2"/>
    <n v="8055.02"/>
    <n v="45"/>
    <x v="3"/>
    <n v="4692.24"/>
    <n v="4825.92"/>
    <x v="0"/>
    <n v="0.19"/>
    <s v="Bank Transfer"/>
    <x v="1"/>
    <s v="West-David"/>
    <n v="211150.8"/>
    <x v="0"/>
    <n v="175904.78400000001"/>
    <n v="-35246.015999999974"/>
    <x v="2"/>
    <n v="-0.20036985463681301"/>
  </r>
  <r>
    <s v="sales_2023_H2.csv"/>
    <s v="1028"/>
    <d v="2023-08-04T00:00:00"/>
    <x v="4"/>
    <x v="0"/>
    <n v="2363.9"/>
    <n v="38"/>
    <x v="0"/>
    <n v="3350.32"/>
    <n v="3449.94"/>
    <x v="1"/>
    <n v="0.26"/>
    <s v="Cash"/>
    <x v="0"/>
    <s v="North-Alice"/>
    <n v="127312.16"/>
    <x v="0"/>
    <n v="97012.3128"/>
    <n v="-30299.847200000004"/>
    <x v="2"/>
    <n v="-0.31232991282731298"/>
  </r>
  <r>
    <s v="sales_2023_H2.csv"/>
    <s v="1047"/>
    <d v="2023-08-04T00:00:00"/>
    <x v="0"/>
    <x v="1"/>
    <n v="733.66"/>
    <n v="47"/>
    <x v="0"/>
    <n v="4729.59"/>
    <n v="4976.68"/>
    <x v="0"/>
    <n v="0.18"/>
    <s v="Credit Card"/>
    <x v="1"/>
    <s v="South-Eve"/>
    <n v="222290.73"/>
    <x v="0"/>
    <n v="191801.24720000004"/>
    <n v="-30489.482799999969"/>
    <x v="2"/>
    <n v="-0.158963944422151"/>
  </r>
  <r>
    <s v="sales_2023_H2.csv"/>
    <s v="1035"/>
    <d v="2023-08-04T00:00:00"/>
    <x v="2"/>
    <x v="1"/>
    <n v="3817.14"/>
    <n v="30"/>
    <x v="2"/>
    <n v="3813.62"/>
    <n v="3839.72"/>
    <x v="1"/>
    <n v="0.21"/>
    <s v="Credit Card"/>
    <x v="0"/>
    <s v="South-David"/>
    <n v="114408.59999999999"/>
    <x v="0"/>
    <n v="91001.364000000001"/>
    <n v="-23407.23599999999"/>
    <x v="2"/>
    <n v="-0.25721851817517799"/>
  </r>
  <r>
    <s v="sales_2023_H2.csv"/>
    <s v="1001"/>
    <d v="2023-08-04T00:00:00"/>
    <x v="2"/>
    <x v="2"/>
    <n v="9087.6"/>
    <n v="20"/>
    <x v="3"/>
    <n v="3279.76"/>
    <n v="3563.97"/>
    <x v="0"/>
    <n v="0.25"/>
    <s v="Cash"/>
    <x v="1"/>
    <s v="West-David"/>
    <n v="65595.200000000012"/>
    <x v="0"/>
    <n v="53459.549999999996"/>
    <n v="-12135.650000000016"/>
    <x v="2"/>
    <n v="-0.22700621310878999"/>
  </r>
  <r>
    <s v="sales_2023_H2.csv"/>
    <s v="1001"/>
    <d v="2023-08-05T00:00:00"/>
    <x v="3"/>
    <x v="0"/>
    <n v="8247.5400000000009"/>
    <n v="4"/>
    <x v="3"/>
    <n v="1791.83"/>
    <n v="1871.22"/>
    <x v="0"/>
    <n v="0.12"/>
    <s v="Bank Transfer"/>
    <x v="0"/>
    <s v="North-Bob"/>
    <n v="7167.32"/>
    <x v="0"/>
    <n v="6586.6944000000003"/>
    <n v="-580.62559999999939"/>
    <x v="2"/>
    <n v="-8.8151288755707199E-2"/>
  </r>
  <r>
    <s v="sales_2023_H2.csv"/>
    <s v="1030"/>
    <d v="2023-08-05T00:00:00"/>
    <x v="3"/>
    <x v="2"/>
    <n v="9733.4599999999991"/>
    <n v="34"/>
    <x v="2"/>
    <n v="3125.07"/>
    <n v="3564.19"/>
    <x v="0"/>
    <n v="0.09"/>
    <s v="Cash"/>
    <x v="0"/>
    <s v="West-Bob"/>
    <n v="106252.38"/>
    <x v="0"/>
    <n v="110276.03860000001"/>
    <n v="4023.6586000000098"/>
    <x v="2"/>
    <n v="3.6487152159998003E-2"/>
  </r>
  <r>
    <s v="sales_2023_H2.csv"/>
    <s v="1079"/>
    <d v="2023-08-06T00:00:00"/>
    <x v="2"/>
    <x v="0"/>
    <n v="1107.8599999999999"/>
    <n v="45"/>
    <x v="0"/>
    <n v="1406.9"/>
    <n v="1547.35"/>
    <x v="1"/>
    <n v="0.17"/>
    <s v="Cash"/>
    <x v="1"/>
    <s v="North-David"/>
    <n v="63310.500000000007"/>
    <x v="0"/>
    <n v="57793.522499999999"/>
    <n v="-5516.9775000000081"/>
    <x v="2"/>
    <n v="-9.5460135692542497E-2"/>
  </r>
  <r>
    <s v="sales_2023_H2.csv"/>
    <s v="1069"/>
    <d v="2023-08-06T00:00:00"/>
    <x v="3"/>
    <x v="0"/>
    <n v="7936.43"/>
    <n v="4"/>
    <x v="2"/>
    <n v="2485.86"/>
    <n v="2532.87"/>
    <x v="1"/>
    <n v="0.01"/>
    <s v="Credit Card"/>
    <x v="0"/>
    <s v="North-Bob"/>
    <n v="9943.44"/>
    <x v="0"/>
    <n v="10030.165199999999"/>
    <n v="86.725199999998949"/>
    <x v="2"/>
    <n v="8.6464378473047401E-3"/>
  </r>
  <r>
    <s v="sales_2023_H2.csv"/>
    <s v="1015"/>
    <d v="2023-08-07T00:00:00"/>
    <x v="4"/>
    <x v="3"/>
    <n v="1148.47"/>
    <n v="19"/>
    <x v="0"/>
    <n v="433.54"/>
    <n v="445.48"/>
    <x v="1"/>
    <n v="0.28999999999999998"/>
    <s v="Bank Transfer"/>
    <x v="1"/>
    <s v="East-Alice"/>
    <n v="8237.26"/>
    <x v="0"/>
    <n v="6009.5252"/>
    <n v="-2227.7348000000002"/>
    <x v="2"/>
    <n v="-0.37070063372061401"/>
  </r>
  <r>
    <s v="sales_2023_H2.csv"/>
    <s v="1077"/>
    <d v="2023-08-07T00:00:00"/>
    <x v="1"/>
    <x v="3"/>
    <n v="242.38"/>
    <n v="43"/>
    <x v="3"/>
    <n v="4402.66"/>
    <n v="4724.7"/>
    <x v="1"/>
    <n v="0.1"/>
    <s v="Bank Transfer"/>
    <x v="1"/>
    <s v="East-Charlie"/>
    <n v="189314.38"/>
    <x v="0"/>
    <n v="182845.89"/>
    <n v="-6468.4899999999907"/>
    <x v="2"/>
    <n v="-3.5376731738405401E-2"/>
  </r>
  <r>
    <s v="sales_2023_H2.csv"/>
    <s v="1047"/>
    <d v="2023-08-08T00:00:00"/>
    <x v="2"/>
    <x v="0"/>
    <n v="1331.25"/>
    <n v="33"/>
    <x v="2"/>
    <n v="1341.55"/>
    <n v="1427.21"/>
    <x v="0"/>
    <n v="0.15"/>
    <s v="Credit Card"/>
    <x v="0"/>
    <s v="North-David"/>
    <n v="44271.15"/>
    <x v="0"/>
    <n v="40033.2405"/>
    <n v="-4237.9095000000016"/>
    <x v="2"/>
    <n v="-0.105859766710616"/>
  </r>
  <r>
    <s v="sales_2023_H2.csv"/>
    <s v="1044"/>
    <d v="2023-08-08T00:00:00"/>
    <x v="4"/>
    <x v="0"/>
    <n v="4912.6899999999996"/>
    <n v="18"/>
    <x v="0"/>
    <n v="430.14"/>
    <n v="641.17999999999995"/>
    <x v="1"/>
    <n v="0.13"/>
    <s v="Cash"/>
    <x v="0"/>
    <s v="North-Alice"/>
    <n v="7742.5199999999995"/>
    <x v="0"/>
    <n v="10040.8788"/>
    <n v="2298.3588000000009"/>
    <x v="2"/>
    <n v="0.22890016359922599"/>
  </r>
  <r>
    <s v="sales_2023_H2.csv"/>
    <s v="1047"/>
    <d v="2023-08-09T00:00:00"/>
    <x v="2"/>
    <x v="0"/>
    <n v="1910.09"/>
    <n v="41"/>
    <x v="0"/>
    <n v="2888.49"/>
    <n v="2929.45"/>
    <x v="1"/>
    <n v="0.06"/>
    <s v="Cash"/>
    <x v="1"/>
    <s v="North-David"/>
    <n v="118428.09"/>
    <x v="0"/>
    <n v="112901.003"/>
    <n v="-5527.0869999999995"/>
    <x v="2"/>
    <n v="-4.8955162958118303E-2"/>
  </r>
  <r>
    <s v="sales_2023_H2.csv"/>
    <s v="1075"/>
    <d v="2023-08-10T00:00:00"/>
    <x v="1"/>
    <x v="0"/>
    <n v="9217.85"/>
    <n v="17"/>
    <x v="2"/>
    <n v="4966.66"/>
    <n v="5037.2700000000004"/>
    <x v="0"/>
    <n v="0.24"/>
    <s v="Bank Transfer"/>
    <x v="1"/>
    <s v="North-Charlie"/>
    <n v="84433.22"/>
    <x v="0"/>
    <n v="65081.52840000001"/>
    <n v="-19351.691599999991"/>
    <x v="2"/>
    <n v="-0.29734537703327801"/>
  </r>
  <r>
    <s v="sales_2023_H2.csv"/>
    <s v="1024"/>
    <d v="2023-08-10T00:00:00"/>
    <x v="0"/>
    <x v="1"/>
    <n v="4384.3900000000003"/>
    <n v="30"/>
    <x v="3"/>
    <n v="1543.96"/>
    <n v="1558.87"/>
    <x v="0"/>
    <n v="0.28000000000000003"/>
    <s v="Credit Card"/>
    <x v="0"/>
    <s v="South-Eve"/>
    <n v="46318.8"/>
    <x v="0"/>
    <n v="33671.591999999997"/>
    <n v="-12647.208000000006"/>
    <x v="2"/>
    <n v="-0.375604693713324"/>
  </r>
  <r>
    <s v="sales_2023_H2.csv"/>
    <s v="1064"/>
    <d v="2023-08-10T00:00:00"/>
    <x v="3"/>
    <x v="1"/>
    <n v="322.02"/>
    <n v="5"/>
    <x v="3"/>
    <n v="421.05"/>
    <n v="488.23"/>
    <x v="0"/>
    <n v="7.0000000000000007E-2"/>
    <s v="Credit Card"/>
    <x v="1"/>
    <s v="South-Bob"/>
    <n v="2105.25"/>
    <x v="0"/>
    <n v="2270.2694999999999"/>
    <n v="165.01949999999988"/>
    <x v="2"/>
    <n v="7.2687185376009295E-2"/>
  </r>
  <r>
    <s v="sales_2023_H2.csv"/>
    <s v="1017"/>
    <d v="2023-08-10T00:00:00"/>
    <x v="4"/>
    <x v="0"/>
    <n v="7400.52"/>
    <n v="43"/>
    <x v="1"/>
    <n v="1454.8"/>
    <n v="1674.97"/>
    <x v="1"/>
    <n v="0.03"/>
    <s v="Credit Card"/>
    <x v="0"/>
    <s v="North-Alice"/>
    <n v="62556.4"/>
    <x v="0"/>
    <n v="69862.998700000011"/>
    <n v="7306.5987000000096"/>
    <x v="2"/>
    <n v="0.10458467051171701"/>
  </r>
  <r>
    <s v="sales_2023_H2.csv"/>
    <s v="1015"/>
    <d v="2023-08-11T00:00:00"/>
    <x v="0"/>
    <x v="3"/>
    <n v="3853.03"/>
    <n v="32"/>
    <x v="1"/>
    <n v="970.51"/>
    <n v="1330.84"/>
    <x v="0"/>
    <n v="0.06"/>
    <s v="Cash"/>
    <x v="1"/>
    <s v="East-Eve"/>
    <n v="31056.32"/>
    <x v="0"/>
    <n v="40031.667199999996"/>
    <n v="8975.3471999999965"/>
    <x v="2"/>
    <n v="0.22420618045106"/>
  </r>
  <r>
    <s v="sales_2023_H2.csv"/>
    <s v="1027"/>
    <d v="2023-08-11T00:00:00"/>
    <x v="0"/>
    <x v="0"/>
    <n v="1657"/>
    <n v="43"/>
    <x v="0"/>
    <n v="4232.6099999999997"/>
    <n v="4572.21"/>
    <x v="1"/>
    <n v="0.01"/>
    <s v="Cash"/>
    <x v="1"/>
    <s v="North-Eve"/>
    <n v="182002.22999999998"/>
    <x v="0"/>
    <n v="194638.9797"/>
    <n v="12636.749700000015"/>
    <x v="2"/>
    <n v="6.4924044091667701E-2"/>
  </r>
  <r>
    <s v="sales_2023_H2.csv"/>
    <s v="1032"/>
    <d v="2023-08-11T00:00:00"/>
    <x v="2"/>
    <x v="3"/>
    <n v="3147.18"/>
    <n v="5"/>
    <x v="3"/>
    <n v="4714.74"/>
    <n v="5129.1099999999997"/>
    <x v="1"/>
    <n v="0.25"/>
    <s v="Bank Transfer"/>
    <x v="0"/>
    <s v="East-David"/>
    <n v="23573.699999999997"/>
    <x v="0"/>
    <n v="19234.162499999999"/>
    <n v="-4339.5374999999985"/>
    <x v="2"/>
    <n v="-0.22561614003209099"/>
  </r>
  <r>
    <s v="sales_2023_H2.csv"/>
    <s v="1028"/>
    <d v="2023-08-11T00:00:00"/>
    <x v="1"/>
    <x v="2"/>
    <n v="5809.35"/>
    <n v="45"/>
    <x v="0"/>
    <n v="4848.9799999999996"/>
    <n v="4985.75"/>
    <x v="0"/>
    <n v="0.2"/>
    <s v="Bank Transfer"/>
    <x v="0"/>
    <s v="West-Charlie"/>
    <n v="218204.09999999998"/>
    <x v="0"/>
    <n v="179487"/>
    <n v="-38717.099999999977"/>
    <x v="2"/>
    <n v="-0.21570977285262999"/>
  </r>
  <r>
    <s v="sales_2023_H2.csv"/>
    <s v="1082"/>
    <d v="2023-08-11T00:00:00"/>
    <x v="1"/>
    <x v="0"/>
    <n v="3207.37"/>
    <n v="43"/>
    <x v="1"/>
    <n v="2289.2199999999998"/>
    <n v="2581"/>
    <x v="1"/>
    <n v="0.05"/>
    <s v="Bank Transfer"/>
    <x v="0"/>
    <s v="North-Charlie"/>
    <n v="98436.459999999992"/>
    <x v="0"/>
    <n v="105433.84999999999"/>
    <n v="6997.3899999999994"/>
    <x v="2"/>
    <n v="6.6367584983380606E-2"/>
  </r>
  <r>
    <s v="sales_2023_H2.csv"/>
    <s v="1060"/>
    <d v="2023-08-12T00:00:00"/>
    <x v="2"/>
    <x v="0"/>
    <n v="1756.48"/>
    <n v="5"/>
    <x v="1"/>
    <n v="3970.08"/>
    <n v="4096.4799999999996"/>
    <x v="0"/>
    <n v="0.13"/>
    <s v="Cash"/>
    <x v="1"/>
    <s v="North-David"/>
    <n v="19850.400000000001"/>
    <x v="0"/>
    <n v="17819.687999999998"/>
    <n v="-2030.7120000000032"/>
    <x v="2"/>
    <n v="-0.11395889759686"/>
  </r>
  <r>
    <s v="sales_2023_H2.csv"/>
    <s v="1018"/>
    <d v="2023-08-12T00:00:00"/>
    <x v="1"/>
    <x v="0"/>
    <n v="2835.56"/>
    <n v="9"/>
    <x v="2"/>
    <n v="3161.09"/>
    <n v="3216.42"/>
    <x v="1"/>
    <n v="0.17"/>
    <s v="Bank Transfer"/>
    <x v="0"/>
    <s v="North-Charlie"/>
    <n v="28449.81"/>
    <x v="0"/>
    <n v="24026.657399999996"/>
    <n v="-4423.1526000000049"/>
    <x v="2"/>
    <n v="-0.184093547694238"/>
  </r>
  <r>
    <s v="sales_2023_H2.csv"/>
    <s v="1074"/>
    <d v="2023-08-12T00:00:00"/>
    <x v="3"/>
    <x v="3"/>
    <n v="6011.84"/>
    <n v="2"/>
    <x v="3"/>
    <n v="2868.02"/>
    <n v="2994.74"/>
    <x v="0"/>
    <n v="0.18"/>
    <s v="Bank Transfer"/>
    <x v="0"/>
    <s v="East-Bob"/>
    <n v="5736.04"/>
    <x v="0"/>
    <n v="4911.3735999999999"/>
    <n v="-824.66640000000007"/>
    <x v="2"/>
    <n v="-0.16790952331543299"/>
  </r>
  <r>
    <s v="sales_2023_H2.csv"/>
    <s v="1075"/>
    <d v="2023-08-12T00:00:00"/>
    <x v="2"/>
    <x v="3"/>
    <n v="8989.4"/>
    <n v="14"/>
    <x v="1"/>
    <n v="1612.93"/>
    <n v="1964.15"/>
    <x v="0"/>
    <n v="0.24"/>
    <s v="Bank Transfer"/>
    <x v="1"/>
    <s v="East-David"/>
    <n v="22581.02"/>
    <x v="0"/>
    <n v="20898.556"/>
    <n v="-1682.4639999999999"/>
    <x v="2"/>
    <n v="-8.0506232105222994E-2"/>
  </r>
  <r>
    <s v="sales_2023_H2.csv"/>
    <s v="1028"/>
    <d v="2023-08-12T00:00:00"/>
    <x v="1"/>
    <x v="1"/>
    <n v="2490.8200000000002"/>
    <n v="41"/>
    <x v="0"/>
    <n v="3956.03"/>
    <n v="4163.68"/>
    <x v="1"/>
    <n v="0.12"/>
    <s v="Bank Transfer"/>
    <x v="1"/>
    <s v="South-Charlie"/>
    <n v="162197.23000000001"/>
    <x v="0"/>
    <n v="150225.57440000001"/>
    <n v="-11971.655599999998"/>
    <x v="2"/>
    <n v="-7.9691195376118296E-2"/>
  </r>
  <r>
    <s v="sales_2023_H2.csv"/>
    <s v="1084"/>
    <d v="2023-08-13T00:00:00"/>
    <x v="4"/>
    <x v="2"/>
    <n v="1290.05"/>
    <n v="21"/>
    <x v="1"/>
    <n v="3497.98"/>
    <n v="3765.31"/>
    <x v="1"/>
    <n v="0.08"/>
    <s v="Cash"/>
    <x v="0"/>
    <s v="West-Alice"/>
    <n v="73457.58"/>
    <x v="0"/>
    <n v="72745.789199999999"/>
    <n v="-711.79080000000249"/>
    <x v="2"/>
    <n v="-9.7846323179349402E-3"/>
  </r>
  <r>
    <s v="sales_2023_H2.csv"/>
    <s v="1035"/>
    <d v="2023-08-13T00:00:00"/>
    <x v="4"/>
    <x v="2"/>
    <n v="2049.56"/>
    <n v="5"/>
    <x v="0"/>
    <n v="3991.69"/>
    <n v="4454.97"/>
    <x v="1"/>
    <n v="0.14000000000000001"/>
    <s v="Credit Card"/>
    <x v="1"/>
    <s v="West-Alice"/>
    <n v="19958.45"/>
    <x v="0"/>
    <n v="19156.371000000003"/>
    <n v="-802.0789999999979"/>
    <x v="2"/>
    <n v="-4.1870091156618203E-2"/>
  </r>
  <r>
    <s v="sales_2023_H2.csv"/>
    <s v="1023"/>
    <d v="2023-08-13T00:00:00"/>
    <x v="3"/>
    <x v="3"/>
    <n v="4896.93"/>
    <n v="38"/>
    <x v="0"/>
    <n v="324.45"/>
    <n v="336.37"/>
    <x v="1"/>
    <n v="0.28000000000000003"/>
    <s v="Credit Card"/>
    <x v="1"/>
    <s v="East-Bob"/>
    <n v="12329.1"/>
    <x v="0"/>
    <n v="9203.0831999999991"/>
    <n v="-3126.0168000000012"/>
    <x v="2"/>
    <n v="-0.33967060082647099"/>
  </r>
  <r>
    <s v="sales_2023_H2.csv"/>
    <s v="1100"/>
    <d v="2023-08-14T00:00:00"/>
    <x v="3"/>
    <x v="2"/>
    <n v="2198.7399999999998"/>
    <n v="43"/>
    <x v="3"/>
    <n v="1100.81"/>
    <n v="1137.44"/>
    <x v="0"/>
    <n v="0.08"/>
    <s v="Bank Transfer"/>
    <x v="0"/>
    <s v="West-Bob"/>
    <n v="47334.829999999994"/>
    <x v="0"/>
    <n v="44997.126400000008"/>
    <n v="-2337.7035999999862"/>
    <x v="2"/>
    <n v="-5.1952286446451501E-2"/>
  </r>
  <r>
    <s v="sales_2023_H2.csv"/>
    <s v="1093"/>
    <d v="2023-08-14T00:00:00"/>
    <x v="2"/>
    <x v="2"/>
    <n v="6885.89"/>
    <n v="6"/>
    <x v="3"/>
    <n v="235.12"/>
    <n v="677.5"/>
    <x v="0"/>
    <n v="0.16"/>
    <s v="Credit Card"/>
    <x v="0"/>
    <s v="West-David"/>
    <n v="1410.72"/>
    <x v="0"/>
    <n v="3414.6"/>
    <n v="2003.8799999999999"/>
    <x v="2"/>
    <n v="0.58685643999297099"/>
  </r>
  <r>
    <s v="sales_2023_H2.csv"/>
    <s v="1013"/>
    <d v="2023-08-14T00:00:00"/>
    <x v="4"/>
    <x v="3"/>
    <n v="4250.79"/>
    <n v="26"/>
    <x v="0"/>
    <n v="3749.12"/>
    <n v="4138.83"/>
    <x v="1"/>
    <n v="0.13"/>
    <s v="Credit Card"/>
    <x v="0"/>
    <s v="East-Alice"/>
    <n v="97477.119999999995"/>
    <x v="0"/>
    <n v="93620.334600000002"/>
    <n v="-3856.7853999999934"/>
    <x v="2"/>
    <n v="-4.1196022386358701E-2"/>
  </r>
  <r>
    <s v="sales_2023_H2.csv"/>
    <s v="1083"/>
    <d v="2023-08-14T00:00:00"/>
    <x v="0"/>
    <x v="2"/>
    <n v="4902.4399999999996"/>
    <n v="42"/>
    <x v="0"/>
    <n v="2505.41"/>
    <n v="2638.96"/>
    <x v="1"/>
    <n v="0.1"/>
    <s v="Bank Transfer"/>
    <x v="0"/>
    <s v="West-Eve"/>
    <n v="105227.22"/>
    <x v="0"/>
    <n v="99752.688000000009"/>
    <n v="-5474.531999999992"/>
    <x v="2"/>
    <n v="-5.4881047415985297E-2"/>
  </r>
  <r>
    <s v="sales_2023_H2.csv"/>
    <s v="1066"/>
    <d v="2023-08-14T00:00:00"/>
    <x v="4"/>
    <x v="1"/>
    <n v="4891.49"/>
    <n v="20"/>
    <x v="2"/>
    <n v="955.18"/>
    <n v="1072.82"/>
    <x v="1"/>
    <n v="0.03"/>
    <s v="Bank Transfer"/>
    <x v="1"/>
    <s v="South-Alice"/>
    <n v="19103.599999999999"/>
    <x v="0"/>
    <n v="20812.707999999999"/>
    <n v="1709.1080000000002"/>
    <x v="2"/>
    <n v="8.2118482611681295E-2"/>
  </r>
  <r>
    <s v="sales_2023_H2.csv"/>
    <s v="1065"/>
    <d v="2023-08-14T00:00:00"/>
    <x v="3"/>
    <x v="2"/>
    <n v="5878.76"/>
    <n v="26"/>
    <x v="0"/>
    <n v="4337.8500000000004"/>
    <n v="4612.49"/>
    <x v="0"/>
    <n v="0.01"/>
    <s v="Cash"/>
    <x v="1"/>
    <s v="West-Bob"/>
    <n v="112784.1"/>
    <x v="0"/>
    <n v="118725.49259999998"/>
    <n v="5941.3925999999774"/>
    <x v="2"/>
    <n v="5.0043107591199697E-2"/>
  </r>
  <r>
    <s v="sales_2023_H2.csv"/>
    <s v="1063"/>
    <d v="2023-08-14T00:00:00"/>
    <x v="3"/>
    <x v="0"/>
    <n v="9956.75"/>
    <n v="27"/>
    <x v="0"/>
    <n v="3760.25"/>
    <n v="4147.1099999999997"/>
    <x v="1"/>
    <n v="0.22"/>
    <s v="Cash"/>
    <x v="0"/>
    <s v="North-Bob"/>
    <n v="101526.75"/>
    <x v="0"/>
    <n v="87338.136599999998"/>
    <n v="-14188.613400000002"/>
    <x v="2"/>
    <n v="-0.16245610396959201"/>
  </r>
  <r>
    <s v="sales_2023_H2.csv"/>
    <s v="1068"/>
    <d v="2023-08-15T00:00:00"/>
    <x v="4"/>
    <x v="1"/>
    <n v="7262.13"/>
    <n v="21"/>
    <x v="3"/>
    <n v="1142.53"/>
    <n v="1384.3"/>
    <x v="0"/>
    <n v="0.02"/>
    <s v="Credit Card"/>
    <x v="1"/>
    <s v="South-Alice"/>
    <n v="23993.13"/>
    <x v="0"/>
    <n v="28488.894"/>
    <n v="4495.7639999999992"/>
    <x v="2"/>
    <n v="0.157807600393332"/>
  </r>
  <r>
    <s v="sales_2023_H2.csv"/>
    <s v="1063"/>
    <d v="2023-08-15T00:00:00"/>
    <x v="4"/>
    <x v="3"/>
    <n v="2780.98"/>
    <n v="26"/>
    <x v="3"/>
    <n v="1046.96"/>
    <n v="1528.15"/>
    <x v="1"/>
    <n v="7.0000000000000007E-2"/>
    <s v="Credit Card"/>
    <x v="1"/>
    <s v="East-Alice"/>
    <n v="27220.959999999999"/>
    <x v="0"/>
    <n v="36950.667000000001"/>
    <n v="9729.7070000000022"/>
    <x v="2"/>
    <n v="0.26331613986832803"/>
  </r>
  <r>
    <s v="sales_2023_H2.csv"/>
    <s v="1046"/>
    <d v="2023-08-15T00:00:00"/>
    <x v="4"/>
    <x v="1"/>
    <n v="2373.02"/>
    <n v="4"/>
    <x v="1"/>
    <n v="4095.1"/>
    <n v="4134.55"/>
    <x v="0"/>
    <n v="0.09"/>
    <s v="Bank Transfer"/>
    <x v="1"/>
    <s v="South-Alice"/>
    <n v="16380.4"/>
    <x v="0"/>
    <n v="15049.762000000001"/>
    <n v="-1330.637999999999"/>
    <x v="2"/>
    <n v="-8.84158832544992E-2"/>
  </r>
  <r>
    <s v="sales_2023_H2.csv"/>
    <s v="1074"/>
    <d v="2023-08-15T00:00:00"/>
    <x v="2"/>
    <x v="2"/>
    <n v="289.38"/>
    <n v="29"/>
    <x v="1"/>
    <n v="1723.01"/>
    <n v="2197.42"/>
    <x v="1"/>
    <n v="7.0000000000000007E-2"/>
    <s v="Bank Transfer"/>
    <x v="1"/>
    <s v="West-David"/>
    <n v="49967.29"/>
    <x v="0"/>
    <n v="59264.417399999998"/>
    <n v="9297.1273999999976"/>
    <x v="2"/>
    <n v="0.156875369874133"/>
  </r>
  <r>
    <s v="sales_2023_H2.csv"/>
    <s v="1075"/>
    <d v="2023-08-15T00:00:00"/>
    <x v="1"/>
    <x v="0"/>
    <n v="9972.11"/>
    <n v="28"/>
    <x v="0"/>
    <n v="2570.2199999999998"/>
    <n v="2610.84"/>
    <x v="0"/>
    <n v="0.27"/>
    <s v="Bank Transfer"/>
    <x v="1"/>
    <s v="North-Charlie"/>
    <n v="71966.159999999989"/>
    <x v="0"/>
    <n v="53365.569600000003"/>
    <n v="-18600.590399999986"/>
    <x v="2"/>
    <n v="-0.34855039568433599"/>
  </r>
  <r>
    <s v="sales_2023_H2.csv"/>
    <s v="1033"/>
    <d v="2023-08-15T00:00:00"/>
    <x v="0"/>
    <x v="3"/>
    <n v="3953.38"/>
    <n v="29"/>
    <x v="0"/>
    <n v="1412.09"/>
    <n v="1596.65"/>
    <x v="0"/>
    <n v="7.0000000000000007E-2"/>
    <s v="Cash"/>
    <x v="0"/>
    <s v="East-Eve"/>
    <n v="40950.61"/>
    <x v="0"/>
    <n v="43061.650500000003"/>
    <n v="2111.0405000000028"/>
    <x v="2"/>
    <n v="4.90236782726199E-2"/>
  </r>
  <r>
    <s v="sales_2023_H2.csv"/>
    <s v="1059"/>
    <d v="2023-08-16T00:00:00"/>
    <x v="4"/>
    <x v="2"/>
    <n v="3634.59"/>
    <n v="21"/>
    <x v="0"/>
    <n v="3110.54"/>
    <n v="3192.99"/>
    <x v="1"/>
    <n v="0.17"/>
    <s v="Credit Card"/>
    <x v="0"/>
    <s v="West-Alice"/>
    <n v="65321.34"/>
    <x v="0"/>
    <n v="55653.815699999992"/>
    <n v="-9667.5243000000046"/>
    <x v="2"/>
    <n v="-0.17370820272436399"/>
  </r>
  <r>
    <s v="sales_2023_H2.csv"/>
    <s v="1014"/>
    <d v="2023-08-16T00:00:00"/>
    <x v="2"/>
    <x v="1"/>
    <n v="8983.92"/>
    <n v="26"/>
    <x v="1"/>
    <n v="433.19"/>
    <n v="800.6"/>
    <x v="0"/>
    <n v="0.2"/>
    <s v="Cash"/>
    <x v="0"/>
    <s v="South-David"/>
    <n v="11262.94"/>
    <x v="0"/>
    <n v="16652.480000000003"/>
    <n v="5389.5400000000027"/>
    <x v="2"/>
    <n v="0.32364788908318798"/>
  </r>
  <r>
    <s v="sales_2023_H2.csv"/>
    <s v="1086"/>
    <d v="2023-08-16T00:00:00"/>
    <x v="4"/>
    <x v="3"/>
    <n v="4923.93"/>
    <n v="48"/>
    <x v="3"/>
    <n v="2632.58"/>
    <n v="2926.68"/>
    <x v="0"/>
    <n v="0.14000000000000001"/>
    <s v="Cash"/>
    <x v="0"/>
    <s v="East-Alice"/>
    <n v="126363.84"/>
    <x v="0"/>
    <n v="120813.35039999998"/>
    <n v="-5550.4896000000153"/>
    <x v="2"/>
    <n v="-4.5942684162163697E-2"/>
  </r>
  <r>
    <s v="sales_2023_H2.csv"/>
    <s v="1022"/>
    <d v="2023-08-17T00:00:00"/>
    <x v="1"/>
    <x v="1"/>
    <n v="8813.5499999999993"/>
    <n v="21"/>
    <x v="3"/>
    <n v="2537.1999999999998"/>
    <n v="2869.6"/>
    <x v="1"/>
    <n v="0.28999999999999998"/>
    <s v="Bank Transfer"/>
    <x v="1"/>
    <s v="South-Charlie"/>
    <n v="53281.2"/>
    <x v="0"/>
    <n v="42785.735999999997"/>
    <n v="-10495.464"/>
    <x v="2"/>
    <n v="-0.245302873836271"/>
  </r>
  <r>
    <s v="sales_2023_H2.csv"/>
    <s v="1060"/>
    <d v="2023-08-17T00:00:00"/>
    <x v="3"/>
    <x v="3"/>
    <n v="8371.25"/>
    <n v="16"/>
    <x v="0"/>
    <n v="3975.99"/>
    <n v="4422.59"/>
    <x v="1"/>
    <n v="0.24"/>
    <s v="Cash"/>
    <x v="0"/>
    <s v="East-Bob"/>
    <n v="63615.839999999997"/>
    <x v="0"/>
    <n v="53778.6944"/>
    <n v="-9837.1455999999962"/>
    <x v="2"/>
    <n v="-0.182919011139103"/>
  </r>
  <r>
    <s v="sales_2023_H2.csv"/>
    <s v="1009"/>
    <d v="2023-08-17T00:00:00"/>
    <x v="3"/>
    <x v="2"/>
    <n v="8912.4"/>
    <n v="33"/>
    <x v="0"/>
    <n v="450.72"/>
    <n v="918.17"/>
    <x v="0"/>
    <n v="0.11"/>
    <s v="Cash"/>
    <x v="0"/>
    <s v="West-Bob"/>
    <n v="14873.76"/>
    <x v="0"/>
    <n v="26966.652899999997"/>
    <n v="12092.892899999997"/>
    <x v="2"/>
    <n v="0.44843877899285001"/>
  </r>
  <r>
    <s v="sales_2023_H2.csv"/>
    <s v="1007"/>
    <d v="2023-08-17T00:00:00"/>
    <x v="0"/>
    <x v="3"/>
    <n v="2426.2399999999998"/>
    <n v="16"/>
    <x v="1"/>
    <n v="4310.3100000000004"/>
    <n v="4633.1000000000004"/>
    <x v="1"/>
    <n v="0.28000000000000003"/>
    <s v="Credit Card"/>
    <x v="1"/>
    <s v="East-Eve"/>
    <n v="68964.960000000006"/>
    <x v="0"/>
    <n v="53373.312000000005"/>
    <n v="-15591.648000000001"/>
    <x v="2"/>
    <n v="-0.29212442353211998"/>
  </r>
  <r>
    <s v="sales_2023_H2.csv"/>
    <s v="1016"/>
    <d v="2023-08-17T00:00:00"/>
    <x v="0"/>
    <x v="2"/>
    <n v="777.74"/>
    <n v="7"/>
    <x v="3"/>
    <n v="282.94"/>
    <n v="779.33"/>
    <x v="0"/>
    <n v="0.28000000000000003"/>
    <s v="Credit Card"/>
    <x v="0"/>
    <s v="West-Eve"/>
    <n v="1980.58"/>
    <x v="0"/>
    <n v="3927.8232000000003"/>
    <n v="1947.2432000000003"/>
    <x v="2"/>
    <n v="0.49575632630307798"/>
  </r>
  <r>
    <s v="sales_2023_H2.csv"/>
    <s v="1090"/>
    <d v="2023-08-19T00:00:00"/>
    <x v="3"/>
    <x v="2"/>
    <n v="9088.2000000000007"/>
    <n v="31"/>
    <x v="0"/>
    <n v="2347.81"/>
    <n v="2668.02"/>
    <x v="0"/>
    <n v="0.09"/>
    <s v="Bank Transfer"/>
    <x v="1"/>
    <s v="West-Bob"/>
    <n v="72782.11"/>
    <x v="0"/>
    <n v="75264.844199999992"/>
    <n v="2482.7341999999917"/>
    <x v="2"/>
    <n v="3.2986638401890103E-2"/>
  </r>
  <r>
    <s v="sales_2023_H2.csv"/>
    <s v="1005"/>
    <d v="2023-08-20T00:00:00"/>
    <x v="3"/>
    <x v="0"/>
    <n v="4400.59"/>
    <n v="21"/>
    <x v="3"/>
    <n v="4376.37"/>
    <n v="4818.95"/>
    <x v="1"/>
    <n v="0"/>
    <s v="Credit Card"/>
    <x v="1"/>
    <s v="North-Bob"/>
    <n v="91903.77"/>
    <x v="0"/>
    <n v="101197.95"/>
    <n v="9294.179999999993"/>
    <x v="2"/>
    <n v="9.1841583747496805E-2"/>
  </r>
  <r>
    <s v="sales_2023_H2.csv"/>
    <s v="1072"/>
    <d v="2023-08-21T00:00:00"/>
    <x v="4"/>
    <x v="2"/>
    <n v="8271.6200000000008"/>
    <n v="12"/>
    <x v="0"/>
    <n v="710.99"/>
    <n v="876.46"/>
    <x v="0"/>
    <n v="0.03"/>
    <s v="Credit Card"/>
    <x v="0"/>
    <s v="West-Alice"/>
    <n v="8531.880000000001"/>
    <x v="0"/>
    <n v="10201.9944"/>
    <n v="1670.1143999999986"/>
    <x v="2"/>
    <n v="0.16370469679928401"/>
  </r>
  <r>
    <s v="sales_2023_H2.csv"/>
    <s v="1050"/>
    <d v="2023-08-21T00:00:00"/>
    <x v="2"/>
    <x v="0"/>
    <n v="9976.52"/>
    <n v="17"/>
    <x v="1"/>
    <n v="2346.8000000000002"/>
    <n v="2654.65"/>
    <x v="1"/>
    <n v="0.13"/>
    <s v="Cash"/>
    <x v="1"/>
    <s v="North-David"/>
    <n v="39895.600000000006"/>
    <x v="0"/>
    <n v="39262.273500000003"/>
    <n v="-633.32650000000285"/>
    <x v="2"/>
    <n v="-1.6130662937794499E-2"/>
  </r>
  <r>
    <s v="sales_2023_H2.csv"/>
    <s v="1080"/>
    <d v="2023-08-21T00:00:00"/>
    <x v="2"/>
    <x v="1"/>
    <n v="5677.74"/>
    <n v="12"/>
    <x v="2"/>
    <n v="2316.13"/>
    <n v="2525.27"/>
    <x v="0"/>
    <n v="0.12"/>
    <s v="Credit Card"/>
    <x v="1"/>
    <s v="South-David"/>
    <n v="27793.56"/>
    <x v="0"/>
    <n v="26666.851199999997"/>
    <n v="-1126.708800000004"/>
    <x v="2"/>
    <n v="-4.2251287621089803E-2"/>
  </r>
  <r>
    <s v="sales_2023_H2.csv"/>
    <s v="1092"/>
    <d v="2023-08-22T00:00:00"/>
    <x v="2"/>
    <x v="3"/>
    <n v="6250.8"/>
    <n v="29"/>
    <x v="0"/>
    <n v="1742.24"/>
    <n v="2070.52"/>
    <x v="1"/>
    <n v="0.12"/>
    <s v="Cash"/>
    <x v="0"/>
    <s v="East-David"/>
    <n v="50524.959999999999"/>
    <x v="0"/>
    <n v="52839.670400000003"/>
    <n v="2314.7104000000036"/>
    <x v="2"/>
    <n v="4.38062989885721E-2"/>
  </r>
  <r>
    <s v="sales_2023_H2.csv"/>
    <s v="1027"/>
    <d v="2023-08-23T00:00:00"/>
    <x v="3"/>
    <x v="3"/>
    <n v="4036.36"/>
    <n v="4"/>
    <x v="2"/>
    <n v="282.61"/>
    <n v="548.25"/>
    <x v="1"/>
    <n v="0.17"/>
    <s v="Credit Card"/>
    <x v="0"/>
    <s v="East-Bob"/>
    <n v="1130.44"/>
    <x v="0"/>
    <n v="1820.1899999999998"/>
    <n v="689.74999999999977"/>
    <x v="2"/>
    <n v="0.37894395640015599"/>
  </r>
  <r>
    <s v="sales_2023_H2.csv"/>
    <s v="1036"/>
    <d v="2023-08-23T00:00:00"/>
    <x v="2"/>
    <x v="3"/>
    <n v="8167.9"/>
    <n v="25"/>
    <x v="3"/>
    <n v="2520.9699999999998"/>
    <n v="2707.11"/>
    <x v="1"/>
    <n v="0.25"/>
    <s v="Cash"/>
    <x v="1"/>
    <s v="East-David"/>
    <n v="63024.249999999993"/>
    <x v="0"/>
    <n v="50758.3125"/>
    <n v="-12265.937499999993"/>
    <x v="2"/>
    <n v="-0.24165376853298601"/>
  </r>
  <r>
    <s v="sales_2023_H2.csv"/>
    <s v="1072"/>
    <d v="2023-08-24T00:00:00"/>
    <x v="3"/>
    <x v="1"/>
    <n v="2167.94"/>
    <n v="39"/>
    <x v="0"/>
    <n v="4330.03"/>
    <n v="4467.75"/>
    <x v="1"/>
    <n v="0.02"/>
    <s v="Credit Card"/>
    <x v="1"/>
    <s v="South-Bob"/>
    <n v="168871.16999999998"/>
    <x v="0"/>
    <n v="170757.405"/>
    <n v="1886.2350000000151"/>
    <x v="2"/>
    <n v="1.1046285225522199E-2"/>
  </r>
  <r>
    <s v="sales_2023_H2.csv"/>
    <s v="1080"/>
    <d v="2023-08-24T00:00:00"/>
    <x v="3"/>
    <x v="2"/>
    <n v="1493.95"/>
    <n v="17"/>
    <x v="1"/>
    <n v="2742.67"/>
    <n v="2979.64"/>
    <x v="0"/>
    <n v="0.01"/>
    <s v="Cash"/>
    <x v="1"/>
    <s v="West-Bob"/>
    <n v="46625.39"/>
    <x v="0"/>
    <n v="50147.341199999995"/>
    <n v="3521.9511999999959"/>
    <x v="2"/>
    <n v="7.0232062472735807E-2"/>
  </r>
  <r>
    <s v="sales_2023_H2.csv"/>
    <s v="1075"/>
    <d v="2023-08-24T00:00:00"/>
    <x v="1"/>
    <x v="2"/>
    <n v="2301.38"/>
    <n v="42"/>
    <x v="0"/>
    <n v="967.77"/>
    <n v="1414.88"/>
    <x v="1"/>
    <n v="0.17"/>
    <s v="Bank Transfer"/>
    <x v="0"/>
    <s v="West-Charlie"/>
    <n v="40646.339999999997"/>
    <x v="0"/>
    <n v="49322.716800000002"/>
    <n v="8676.3768000000055"/>
    <x v="2"/>
    <n v="0.17591035861187601"/>
  </r>
  <r>
    <s v="sales_2023_H2.csv"/>
    <s v="1089"/>
    <d v="2023-08-24T00:00:00"/>
    <x v="0"/>
    <x v="0"/>
    <n v="2528.9899999999998"/>
    <n v="4"/>
    <x v="1"/>
    <n v="4231.75"/>
    <n v="4727.75"/>
    <x v="0"/>
    <n v="0.12"/>
    <s v="Credit Card"/>
    <x v="1"/>
    <s v="North-Eve"/>
    <n v="16927"/>
    <x v="0"/>
    <n v="16641.68"/>
    <n v="-285.31999999999971"/>
    <x v="2"/>
    <n v="-1.7144903639536399E-2"/>
  </r>
  <r>
    <s v="sales_2023_H2.csv"/>
    <s v="1095"/>
    <d v="2023-08-24T00:00:00"/>
    <x v="3"/>
    <x v="2"/>
    <n v="2825.35"/>
    <n v="20"/>
    <x v="3"/>
    <n v="729.27"/>
    <n v="999.18"/>
    <x v="1"/>
    <n v="0.1"/>
    <s v="Bank Transfer"/>
    <x v="0"/>
    <s v="West-Bob"/>
    <n v="14585.4"/>
    <x v="0"/>
    <n v="17985.239999999998"/>
    <n v="3399.8399999999983"/>
    <x v="2"/>
    <n v="0.18903500870713999"/>
  </r>
  <r>
    <s v="sales_2023_H2.csv"/>
    <s v="1079"/>
    <d v="2023-08-24T00:00:00"/>
    <x v="4"/>
    <x v="0"/>
    <n v="9972.66"/>
    <n v="8"/>
    <x v="0"/>
    <n v="3808.23"/>
    <n v="3891.62"/>
    <x v="0"/>
    <n v="0.26"/>
    <s v="Bank Transfer"/>
    <x v="0"/>
    <s v="North-Alice"/>
    <n v="30465.84"/>
    <x v="0"/>
    <n v="23038.3904"/>
    <n v="-7427.4495999999999"/>
    <x v="2"/>
    <n v="-0.32239446728014498"/>
  </r>
  <r>
    <s v="sales_2023_H2.csv"/>
    <s v="1041"/>
    <d v="2023-08-25T00:00:00"/>
    <x v="3"/>
    <x v="1"/>
    <n v="854.77"/>
    <n v="31"/>
    <x v="3"/>
    <n v="1604.52"/>
    <n v="1756.34"/>
    <x v="0"/>
    <n v="0.17"/>
    <s v="Cash"/>
    <x v="1"/>
    <s v="South-Bob"/>
    <n v="49740.12"/>
    <x v="0"/>
    <n v="45190.628199999999"/>
    <n v="-4549.4918000000034"/>
    <x v="2"/>
    <n v="-0.100673347134396"/>
  </r>
  <r>
    <s v="sales_2023_H2.csv"/>
    <s v="1024"/>
    <d v="2023-08-25T00:00:00"/>
    <x v="2"/>
    <x v="1"/>
    <n v="1221.7"/>
    <n v="42"/>
    <x v="2"/>
    <n v="1586.02"/>
    <n v="2047.13"/>
    <x v="1"/>
    <n v="0.25"/>
    <s v="Cash"/>
    <x v="1"/>
    <s v="South-David"/>
    <n v="66612.84"/>
    <x v="0"/>
    <n v="64484.595000000001"/>
    <n v="-2128.2449999999953"/>
    <x v="2"/>
    <n v="-3.3003929077944798E-2"/>
  </r>
  <r>
    <s v="sales_2023_H2.csv"/>
    <s v="1032"/>
    <d v="2023-08-25T00:00:00"/>
    <x v="3"/>
    <x v="0"/>
    <n v="8841.64"/>
    <n v="23"/>
    <x v="2"/>
    <n v="4673.1899999999996"/>
    <n v="4761.18"/>
    <x v="0"/>
    <n v="0.17"/>
    <s v="Credit Card"/>
    <x v="1"/>
    <s v="North-Bob"/>
    <n v="107483.37"/>
    <x v="0"/>
    <n v="90890.926200000002"/>
    <n v="-16592.443799999994"/>
    <x v="2"/>
    <n v="-0.182553358115081"/>
  </r>
  <r>
    <s v="sales_2023_H2.csv"/>
    <s v="1072"/>
    <d v="2023-08-25T00:00:00"/>
    <x v="1"/>
    <x v="1"/>
    <n v="2490.86"/>
    <n v="12"/>
    <x v="3"/>
    <n v="1517.4"/>
    <n v="1545.02"/>
    <x v="1"/>
    <n v="0.03"/>
    <s v="Bank Transfer"/>
    <x v="1"/>
    <s v="South-Charlie"/>
    <n v="18208.800000000003"/>
    <x v="0"/>
    <n v="17984.032799999997"/>
    <n v="-224.76720000000569"/>
    <x v="2"/>
    <n v="-1.24981533619092E-2"/>
  </r>
  <r>
    <s v="sales_2023_H2.csv"/>
    <s v="1099"/>
    <d v="2023-08-26T00:00:00"/>
    <x v="2"/>
    <x v="2"/>
    <n v="1934.18"/>
    <n v="17"/>
    <x v="3"/>
    <n v="2471.73"/>
    <n v="2568.73"/>
    <x v="1"/>
    <n v="0.05"/>
    <s v="Cash"/>
    <x v="1"/>
    <s v="West-David"/>
    <n v="42019.41"/>
    <x v="0"/>
    <n v="41484.989500000003"/>
    <n v="-534.42050000000017"/>
    <x v="2"/>
    <n v="-1.288226190825E-2"/>
  </r>
  <r>
    <s v="sales_2023_H2.csv"/>
    <s v="1008"/>
    <d v="2023-08-27T00:00:00"/>
    <x v="2"/>
    <x v="1"/>
    <n v="4432.8500000000004"/>
    <n v="40"/>
    <x v="0"/>
    <n v="2687.49"/>
    <n v="3001.56"/>
    <x v="0"/>
    <n v="0.26"/>
    <s v="Bank Transfer"/>
    <x v="0"/>
    <s v="South-David"/>
    <n v="107499.59999999999"/>
    <x v="0"/>
    <n v="88846.175999999992"/>
    <n v="-18653.423999999999"/>
    <x v="2"/>
    <n v="-0.20995190608991399"/>
  </r>
  <r>
    <s v="sales_2023_H2.csv"/>
    <s v="1019"/>
    <d v="2023-08-27T00:00:00"/>
    <x v="1"/>
    <x v="0"/>
    <n v="2558.92"/>
    <n v="18"/>
    <x v="3"/>
    <n v="3591.14"/>
    <n v="3822.99"/>
    <x v="0"/>
    <n v="0.09"/>
    <s v="Credit Card"/>
    <x v="0"/>
    <s v="North-Charlie"/>
    <n v="64640.52"/>
    <x v="0"/>
    <n v="62620.576199999996"/>
    <n v="-2019.9438000000009"/>
    <x v="2"/>
    <n v="-3.2256870226626898E-2"/>
  </r>
  <r>
    <s v="sales_2023_H2.csv"/>
    <s v="1021"/>
    <d v="2023-08-27T00:00:00"/>
    <x v="0"/>
    <x v="0"/>
    <n v="671.55"/>
    <n v="19"/>
    <x v="0"/>
    <n v="444.05"/>
    <n v="584.44000000000005"/>
    <x v="0"/>
    <n v="0.28000000000000003"/>
    <s v="Cash"/>
    <x v="1"/>
    <s v="North-Eve"/>
    <n v="8436.9500000000007"/>
    <x v="0"/>
    <n v="7995.1392000000005"/>
    <n v="-441.8108000000002"/>
    <x v="2"/>
    <n v="-5.5259925930995699E-2"/>
  </r>
  <r>
    <s v="sales_2023_H2.csv"/>
    <s v="1099"/>
    <d v="2023-08-29T00:00:00"/>
    <x v="4"/>
    <x v="2"/>
    <n v="4567.8100000000004"/>
    <n v="44"/>
    <x v="0"/>
    <n v="4933.1099999999997"/>
    <n v="5245.86"/>
    <x v="0"/>
    <n v="0.13"/>
    <s v="Bank Transfer"/>
    <x v="1"/>
    <s v="West-Alice"/>
    <n v="217056.84"/>
    <x v="0"/>
    <n v="200811.5208"/>
    <n v="-16245.319199999998"/>
    <x v="2"/>
    <n v="-8.0898342561628603E-2"/>
  </r>
  <r>
    <s v="sales_2023_H2.csv"/>
    <s v="1042"/>
    <d v="2023-08-29T00:00:00"/>
    <x v="0"/>
    <x v="1"/>
    <n v="3955.11"/>
    <n v="27"/>
    <x v="0"/>
    <n v="1139.45"/>
    <n v="1454.41"/>
    <x v="0"/>
    <n v="0.3"/>
    <s v="Bank Transfer"/>
    <x v="0"/>
    <s v="South-Eve"/>
    <n v="30765.15"/>
    <x v="0"/>
    <n v="27488.348999999998"/>
    <n v="-3276.8010000000031"/>
    <x v="2"/>
    <n v="-0.11920690471443"/>
  </r>
  <r>
    <s v="sales_2023_H2.csv"/>
    <s v="1033"/>
    <d v="2023-08-30T00:00:00"/>
    <x v="3"/>
    <x v="3"/>
    <n v="6577.99"/>
    <n v="14"/>
    <x v="3"/>
    <n v="504.3"/>
    <n v="735.95"/>
    <x v="0"/>
    <n v="0.21"/>
    <s v="Cash"/>
    <x v="1"/>
    <s v="East-Bob"/>
    <n v="7060.2"/>
    <x v="0"/>
    <n v="8139.6070000000009"/>
    <n v="1079.4070000000011"/>
    <x v="2"/>
    <n v="0.13261168506047"/>
  </r>
  <r>
    <s v="sales_2023_H2.csv"/>
    <s v="1077"/>
    <d v="2023-08-30T00:00:00"/>
    <x v="4"/>
    <x v="2"/>
    <n v="8660.1200000000008"/>
    <n v="25"/>
    <x v="2"/>
    <n v="61.5"/>
    <n v="258.92"/>
    <x v="1"/>
    <n v="0.17"/>
    <s v="Credit Card"/>
    <x v="0"/>
    <s v="West-Alice"/>
    <n v="1537.5"/>
    <x v="0"/>
    <n v="5372.59"/>
    <n v="3835.09"/>
    <x v="2"/>
    <n v="0.71382517556709102"/>
  </r>
  <r>
    <s v="sales_2023_H2.csv"/>
    <s v="1059"/>
    <d v="2023-08-31T00:00:00"/>
    <x v="4"/>
    <x v="0"/>
    <n v="1203.97"/>
    <n v="35"/>
    <x v="3"/>
    <n v="3333.64"/>
    <n v="3764.52"/>
    <x v="0"/>
    <n v="0.02"/>
    <s v="Credit Card"/>
    <x v="0"/>
    <s v="North-Alice"/>
    <n v="116677.4"/>
    <x v="0"/>
    <n v="129123.03600000001"/>
    <n v="12445.636000000013"/>
    <x v="2"/>
    <n v="9.6385868746147005E-2"/>
  </r>
  <r>
    <s v="sales_2023_H2.csv"/>
    <s v="1092"/>
    <d v="2023-08-31T00:00:00"/>
    <x v="0"/>
    <x v="1"/>
    <n v="9203.36"/>
    <n v="47"/>
    <x v="3"/>
    <n v="4284.9799999999996"/>
    <n v="4462.3999999999996"/>
    <x v="1"/>
    <n v="0.28000000000000003"/>
    <s v="Credit Card"/>
    <x v="1"/>
    <s v="South-Eve"/>
    <n v="201394.05999999997"/>
    <x v="0"/>
    <n v="151007.61599999998"/>
    <n v="-50386.443999999989"/>
    <x v="2"/>
    <n v="-0.33366823034938797"/>
  </r>
  <r>
    <s v="sales_2023_H2.csv"/>
    <s v="1028"/>
    <d v="2023-08-31T00:00:00"/>
    <x v="0"/>
    <x v="0"/>
    <n v="5403"/>
    <n v="28"/>
    <x v="1"/>
    <n v="2055.2800000000002"/>
    <n v="2449.64"/>
    <x v="1"/>
    <n v="0.19"/>
    <s v="Credit Card"/>
    <x v="0"/>
    <s v="North-Eve"/>
    <n v="57547.840000000004"/>
    <x v="0"/>
    <n v="55557.835200000001"/>
    <n v="-1990.0048000000024"/>
    <x v="2"/>
    <n v="-3.5818616633212598E-2"/>
  </r>
  <r>
    <s v="sales_2023_H2.csv"/>
    <s v="1026"/>
    <d v="2023-08-31T00:00:00"/>
    <x v="4"/>
    <x v="3"/>
    <n v="3784.52"/>
    <n v="25"/>
    <x v="2"/>
    <n v="1156.8800000000001"/>
    <n v="1454.68"/>
    <x v="0"/>
    <n v="0.06"/>
    <s v="Credit Card"/>
    <x v="0"/>
    <s v="East-Alice"/>
    <n v="28922.000000000004"/>
    <x v="0"/>
    <n v="34184.979999999996"/>
    <n v="5262.9799999999923"/>
    <x v="2"/>
    <n v="0.15395591865199301"/>
  </r>
  <r>
    <s v="sales_2023_H2.csv"/>
    <s v="1018"/>
    <d v="2023-08-31T00:00:00"/>
    <x v="4"/>
    <x v="3"/>
    <n v="2260.25"/>
    <n v="1"/>
    <x v="2"/>
    <n v="2315.83"/>
    <n v="2333.19"/>
    <x v="1"/>
    <n v="0.01"/>
    <s v="Cash"/>
    <x v="1"/>
    <s v="East-Alice"/>
    <n v="2315.83"/>
    <x v="0"/>
    <n v="2309.8580999999999"/>
    <n v="-5.9719000000000051"/>
    <x v="2"/>
    <n v="-2.58539691247701E-3"/>
  </r>
  <r>
    <s v="sales_2023_H2.csv"/>
    <s v="1086"/>
    <d v="2023-09-01T00:00:00"/>
    <x v="1"/>
    <x v="2"/>
    <n v="5437.04"/>
    <n v="17"/>
    <x v="2"/>
    <n v="4075.08"/>
    <n v="4262.21"/>
    <x v="1"/>
    <n v="0.17"/>
    <s v="Cash"/>
    <x v="0"/>
    <s v="West-Charlie"/>
    <n v="69276.36"/>
    <x v="0"/>
    <n v="60139.783100000001"/>
    <n v="-9136.5769"/>
    <x v="2"/>
    <n v="-0.151922345393361"/>
  </r>
  <r>
    <s v="sales_2023_H2.csv"/>
    <s v="1019"/>
    <d v="2023-09-01T00:00:00"/>
    <x v="2"/>
    <x v="2"/>
    <n v="2550.84"/>
    <n v="16"/>
    <x v="0"/>
    <n v="97.24"/>
    <n v="487.03"/>
    <x v="1"/>
    <n v="0.22"/>
    <s v="Bank Transfer"/>
    <x v="1"/>
    <s v="West-David"/>
    <n v="1555.84"/>
    <x v="0"/>
    <n v="6078.1343999999999"/>
    <n v="4522.2943999999998"/>
    <x v="2"/>
    <n v="0.74402671977769996"/>
  </r>
  <r>
    <s v="sales_2023_H2.csv"/>
    <s v="1058"/>
    <d v="2023-09-02T00:00:00"/>
    <x v="2"/>
    <x v="1"/>
    <n v="1142.92"/>
    <n v="9"/>
    <x v="1"/>
    <n v="760.55"/>
    <n v="1086.8900000000001"/>
    <x v="0"/>
    <n v="0.15"/>
    <s v="Cash"/>
    <x v="1"/>
    <s v="South-David"/>
    <n v="6844.95"/>
    <x v="0"/>
    <n v="8314.7085000000006"/>
    <n v="1469.7585000000008"/>
    <x v="2"/>
    <n v="0.176766088672862"/>
  </r>
  <r>
    <s v="sales_2023_H2.csv"/>
    <s v="1023"/>
    <d v="2023-09-03T00:00:00"/>
    <x v="2"/>
    <x v="1"/>
    <n v="4285.01"/>
    <n v="32"/>
    <x v="2"/>
    <n v="4775.04"/>
    <n v="4785.66"/>
    <x v="1"/>
    <n v="0.03"/>
    <s v="Cash"/>
    <x v="0"/>
    <s v="South-David"/>
    <n v="152801.28"/>
    <x v="0"/>
    <n v="148546.88639999999"/>
    <n v="-4254.3936000000103"/>
    <x v="2"/>
    <n v="-2.86400725259497E-2"/>
  </r>
  <r>
    <s v="sales_2023_H2.csv"/>
    <s v="1055"/>
    <d v="2023-09-03T00:00:00"/>
    <x v="1"/>
    <x v="2"/>
    <n v="7169.12"/>
    <n v="12"/>
    <x v="2"/>
    <n v="2538.61"/>
    <n v="2971.75"/>
    <x v="0"/>
    <n v="0.24"/>
    <s v="Cash"/>
    <x v="0"/>
    <s v="West-Charlie"/>
    <n v="30463.32"/>
    <x v="0"/>
    <n v="27102.36"/>
    <n v="-3360.9599999999991"/>
    <x v="2"/>
    <n v="-0.12400986482357999"/>
  </r>
  <r>
    <s v="sales_2023_H2.csv"/>
    <s v="1091"/>
    <d v="2023-09-04T00:00:00"/>
    <x v="1"/>
    <x v="1"/>
    <n v="675.11"/>
    <n v="44"/>
    <x v="3"/>
    <n v="2085.46"/>
    <n v="2406.58"/>
    <x v="0"/>
    <n v="0.06"/>
    <s v="Bank Transfer"/>
    <x v="1"/>
    <s v="South-Charlie"/>
    <n v="91760.24"/>
    <x v="0"/>
    <n v="99536.148799999981"/>
    <n v="7775.9087999999756"/>
    <x v="2"/>
    <n v="7.8121455307903001E-2"/>
  </r>
  <r>
    <s v="sales_2023_H2.csv"/>
    <s v="1068"/>
    <d v="2023-09-04T00:00:00"/>
    <x v="0"/>
    <x v="3"/>
    <n v="3905.11"/>
    <n v="14"/>
    <x v="3"/>
    <n v="1140.58"/>
    <n v="1438.76"/>
    <x v="0"/>
    <n v="0.03"/>
    <s v="Bank Transfer"/>
    <x v="0"/>
    <s v="East-Eve"/>
    <n v="15968.119999999999"/>
    <x v="0"/>
    <n v="19538.360799999999"/>
    <n v="3570.2407999999996"/>
    <x v="2"/>
    <n v="0.18272980198011299"/>
  </r>
  <r>
    <s v="sales_2023_H2.csv"/>
    <s v="1081"/>
    <d v="2023-09-04T00:00:00"/>
    <x v="4"/>
    <x v="0"/>
    <n v="7215.52"/>
    <n v="23"/>
    <x v="2"/>
    <n v="1236.25"/>
    <n v="1543.38"/>
    <x v="1"/>
    <n v="0.1"/>
    <s v="Bank Transfer"/>
    <x v="0"/>
    <s v="North-Alice"/>
    <n v="28433.75"/>
    <x v="0"/>
    <n v="31947.966000000004"/>
    <n v="3514.216000000004"/>
    <x v="2"/>
    <n v="0.10999811380793401"/>
  </r>
  <r>
    <s v="sales_2023_H2.csv"/>
    <s v="1020"/>
    <d v="2023-09-06T00:00:00"/>
    <x v="1"/>
    <x v="3"/>
    <n v="9705.5499999999993"/>
    <n v="4"/>
    <x v="0"/>
    <n v="3730"/>
    <n v="3893.6"/>
    <x v="1"/>
    <n v="0.25"/>
    <s v="Bank Transfer"/>
    <x v="1"/>
    <s v="East-Charlie"/>
    <n v="14920"/>
    <x v="0"/>
    <n v="11680.8"/>
    <n v="-3239.2000000000007"/>
    <x v="2"/>
    <n v="-0.277309773303198"/>
  </r>
  <r>
    <s v="sales_2023_H2.csv"/>
    <s v="1020"/>
    <d v="2023-09-06T00:00:00"/>
    <x v="3"/>
    <x v="3"/>
    <n v="1958.45"/>
    <n v="45"/>
    <x v="0"/>
    <n v="2188.4499999999998"/>
    <n v="2255.0500000000002"/>
    <x v="1"/>
    <n v="0.11"/>
    <s v="Bank Transfer"/>
    <x v="1"/>
    <s v="East-Bob"/>
    <n v="98480.249999999985"/>
    <x v="0"/>
    <n v="90314.752500000017"/>
    <n v="-8165.4974999999686"/>
    <x v="2"/>
    <n v="-9.04115581781611E-2"/>
  </r>
  <r>
    <s v="sales_2023_H2.csv"/>
    <s v="1013"/>
    <d v="2023-09-07T00:00:00"/>
    <x v="4"/>
    <x v="2"/>
    <n v="7413.36"/>
    <n v="16"/>
    <x v="1"/>
    <n v="919.58"/>
    <n v="1258.3"/>
    <x v="0"/>
    <n v="0.14000000000000001"/>
    <s v="Bank Transfer"/>
    <x v="0"/>
    <s v="West-Alice"/>
    <n v="14713.28"/>
    <x v="0"/>
    <n v="17314.207999999999"/>
    <n v="2600.9279999999981"/>
    <x v="2"/>
    <n v="0.150219288112976"/>
  </r>
  <r>
    <s v="sales_2023_H2.csv"/>
    <s v="1019"/>
    <d v="2023-09-07T00:00:00"/>
    <x v="3"/>
    <x v="2"/>
    <n v="6882.83"/>
    <n v="27"/>
    <x v="2"/>
    <n v="2387.52"/>
    <n v="2604.06"/>
    <x v="0"/>
    <n v="0.16"/>
    <s v="Cash"/>
    <x v="0"/>
    <s v="West-Bob"/>
    <n v="64463.040000000001"/>
    <x v="0"/>
    <n v="59060.080799999996"/>
    <n v="-5402.9592000000048"/>
    <x v="2"/>
    <n v="-9.1482421405695194E-2"/>
  </r>
  <r>
    <s v="sales_2023_H2.csv"/>
    <s v="1067"/>
    <d v="2023-09-07T00:00:00"/>
    <x v="3"/>
    <x v="0"/>
    <n v="4716.3599999999997"/>
    <n v="37"/>
    <x v="0"/>
    <n v="1754.32"/>
    <n v="1856.4"/>
    <x v="1"/>
    <n v="0.21"/>
    <s v="Bank Transfer"/>
    <x v="1"/>
    <s v="North-Bob"/>
    <n v="64909.84"/>
    <x v="0"/>
    <n v="54262.572000000007"/>
    <n v="-10647.267999999989"/>
    <x v="2"/>
    <n v="-0.196217532777473"/>
  </r>
  <r>
    <s v="sales_2023_H2.csv"/>
    <s v="1020"/>
    <d v="2023-09-08T00:00:00"/>
    <x v="0"/>
    <x v="0"/>
    <n v="9733.4699999999993"/>
    <n v="26"/>
    <x v="0"/>
    <n v="4472.3500000000004"/>
    <n v="4770.42"/>
    <x v="1"/>
    <n v="0.01"/>
    <s v="Credit Card"/>
    <x v="1"/>
    <s v="North-Eve"/>
    <n v="116281.1"/>
    <x v="0"/>
    <n v="122790.61079999999"/>
    <n v="6509.5107999999891"/>
    <x v="2"/>
    <n v="5.3013098946161401E-2"/>
  </r>
  <r>
    <s v="sales_2023_H2.csv"/>
    <s v="1087"/>
    <d v="2023-09-08T00:00:00"/>
    <x v="1"/>
    <x v="0"/>
    <n v="119.72"/>
    <n v="20"/>
    <x v="0"/>
    <n v="193.27"/>
    <n v="297.69"/>
    <x v="1"/>
    <n v="0.22"/>
    <s v="Cash"/>
    <x v="0"/>
    <s v="North-Charlie"/>
    <n v="3865.4"/>
    <x v="0"/>
    <n v="4643.9639999999999"/>
    <n v="778.56399999999985"/>
    <x v="2"/>
    <n v="0.16765073975594999"/>
  </r>
  <r>
    <s v="sales_2023_H2.csv"/>
    <s v="1089"/>
    <d v="2023-09-08T00:00:00"/>
    <x v="3"/>
    <x v="2"/>
    <n v="5228.28"/>
    <n v="40"/>
    <x v="1"/>
    <n v="4089.66"/>
    <n v="4275.96"/>
    <x v="1"/>
    <n v="0.23"/>
    <s v="Credit Card"/>
    <x v="0"/>
    <s v="West-Bob"/>
    <n v="163586.4"/>
    <x v="0"/>
    <n v="131699.568"/>
    <n v="-31886.831999999995"/>
    <x v="2"/>
    <n v="-0.242117969589695"/>
  </r>
  <r>
    <s v="sales_2023_H2.csv"/>
    <s v="1005"/>
    <d v="2023-09-08T00:00:00"/>
    <x v="0"/>
    <x v="0"/>
    <n v="7103.23"/>
    <n v="9"/>
    <x v="2"/>
    <n v="4737.0600000000004"/>
    <n v="4869.5"/>
    <x v="1"/>
    <n v="7.0000000000000007E-2"/>
    <s v="Cash"/>
    <x v="0"/>
    <s v="North-Eve"/>
    <n v="42633.54"/>
    <x v="0"/>
    <n v="40757.714999999997"/>
    <n v="-1875.8250000000044"/>
    <x v="2"/>
    <n v="-4.6023801874074698E-2"/>
  </r>
  <r>
    <s v="sales_2023_H2.csv"/>
    <s v="1046"/>
    <d v="2023-09-08T00:00:00"/>
    <x v="4"/>
    <x v="0"/>
    <n v="8398.48"/>
    <n v="30"/>
    <x v="1"/>
    <n v="320.73"/>
    <n v="678.04"/>
    <x v="0"/>
    <n v="0.08"/>
    <s v="Cash"/>
    <x v="1"/>
    <s v="North-Alice"/>
    <n v="9621.9000000000015"/>
    <x v="0"/>
    <n v="18713.903999999999"/>
    <n v="9092.0039999999972"/>
    <x v="2"/>
    <n v="0.48584218450623601"/>
  </r>
  <r>
    <s v="sales_2023_H2.csv"/>
    <s v="1096"/>
    <d v="2023-09-11T00:00:00"/>
    <x v="0"/>
    <x v="1"/>
    <n v="7597.37"/>
    <n v="23"/>
    <x v="2"/>
    <n v="608.57000000000005"/>
    <n v="1032.22"/>
    <x v="1"/>
    <n v="0.25"/>
    <s v="Cash"/>
    <x v="1"/>
    <s v="South-Eve"/>
    <n v="13997.11"/>
    <x v="0"/>
    <n v="17805.795000000002"/>
    <n v="3808.6850000000013"/>
    <x v="2"/>
    <n v="0.213901429281871"/>
  </r>
  <r>
    <s v="sales_2023_H2.csv"/>
    <s v="1003"/>
    <d v="2023-09-11T00:00:00"/>
    <x v="2"/>
    <x v="3"/>
    <n v="9514.19"/>
    <n v="22"/>
    <x v="3"/>
    <n v="4218.43"/>
    <n v="4331.42"/>
    <x v="1"/>
    <n v="0.26"/>
    <s v="Bank Transfer"/>
    <x v="0"/>
    <s v="East-David"/>
    <n v="92805.46"/>
    <x v="0"/>
    <n v="70515.517600000006"/>
    <n v="-22289.9424"/>
    <x v="2"/>
    <n v="-0.31609981970833601"/>
  </r>
  <r>
    <s v="sales_2023_H2.csv"/>
    <s v="1014"/>
    <d v="2023-09-12T00:00:00"/>
    <x v="1"/>
    <x v="3"/>
    <n v="8406.07"/>
    <n v="48"/>
    <x v="1"/>
    <n v="556.72"/>
    <n v="665.07"/>
    <x v="0"/>
    <n v="0.01"/>
    <s v="Bank Transfer"/>
    <x v="1"/>
    <s v="East-Charlie"/>
    <n v="26722.560000000001"/>
    <x v="0"/>
    <n v="31604.126400000001"/>
    <n v="4881.5663999999997"/>
    <x v="2"/>
    <n v="0.15445977965712701"/>
  </r>
  <r>
    <s v="sales_2023_H2.csv"/>
    <s v="1037"/>
    <d v="2023-09-13T00:00:00"/>
    <x v="3"/>
    <x v="1"/>
    <n v="2929.01"/>
    <n v="5"/>
    <x v="1"/>
    <n v="1941.56"/>
    <n v="2385.48"/>
    <x v="0"/>
    <n v="0.15"/>
    <s v="Credit Card"/>
    <x v="0"/>
    <s v="South-Bob"/>
    <n v="9707.7999999999993"/>
    <x v="0"/>
    <n v="10138.289999999999"/>
    <n v="430.48999999999978"/>
    <x v="2"/>
    <n v="4.2461795825528698E-2"/>
  </r>
  <r>
    <s v="sales_2023_H2.csv"/>
    <s v="1001"/>
    <d v="2023-09-14T00:00:00"/>
    <x v="0"/>
    <x v="1"/>
    <n v="2126.33"/>
    <n v="39"/>
    <x v="3"/>
    <n v="2437.2600000000002"/>
    <n v="2889.67"/>
    <x v="0"/>
    <n v="0.25"/>
    <s v="Cash"/>
    <x v="0"/>
    <s v="South-Eve"/>
    <n v="95053.140000000014"/>
    <x v="0"/>
    <n v="84522.847500000003"/>
    <n v="-10530.29250000001"/>
    <x v="2"/>
    <n v="-0.12458516024321099"/>
  </r>
  <r>
    <s v="sales_2023_H2.csv"/>
    <s v="1090"/>
    <d v="2023-09-14T00:00:00"/>
    <x v="1"/>
    <x v="2"/>
    <n v="7122.28"/>
    <n v="47"/>
    <x v="0"/>
    <n v="2357.9499999999998"/>
    <n v="2693.33"/>
    <x v="1"/>
    <n v="0.18"/>
    <s v="Bank Transfer"/>
    <x v="0"/>
    <s v="West-Charlie"/>
    <n v="110823.65"/>
    <x v="0"/>
    <n v="103800.9382"/>
    <n v="-7022.71179999999"/>
    <x v="2"/>
    <n v="-6.7655571537020898E-2"/>
  </r>
  <r>
    <s v="sales_2023_H2.csv"/>
    <s v="1003"/>
    <d v="2023-09-14T00:00:00"/>
    <x v="3"/>
    <x v="2"/>
    <n v="3755.88"/>
    <n v="15"/>
    <x v="0"/>
    <n v="3286.24"/>
    <n v="3388.84"/>
    <x v="0"/>
    <n v="0.09"/>
    <s v="Credit Card"/>
    <x v="1"/>
    <s v="West-Bob"/>
    <n v="49293.599999999999"/>
    <x v="0"/>
    <n v="46257.666000000005"/>
    <n v="-3035.9339999999938"/>
    <x v="2"/>
    <n v="-6.5630937799585398E-2"/>
  </r>
  <r>
    <s v="sales_2023_H2.csv"/>
    <s v="1074"/>
    <d v="2023-09-14T00:00:00"/>
    <x v="2"/>
    <x v="1"/>
    <n v="8389.93"/>
    <n v="29"/>
    <x v="1"/>
    <n v="173.67"/>
    <n v="565.62"/>
    <x v="0"/>
    <n v="0.3"/>
    <s v="Cash"/>
    <x v="0"/>
    <s v="South-David"/>
    <n v="5036.4299999999994"/>
    <x v="0"/>
    <n v="11482.085999999999"/>
    <n v="6445.6559999999999"/>
    <x v="2"/>
    <n v="0.56136628832078095"/>
  </r>
  <r>
    <s v="sales_2023_H2.csv"/>
    <s v="1054"/>
    <d v="2023-09-15T00:00:00"/>
    <x v="3"/>
    <x v="1"/>
    <n v="2509.63"/>
    <n v="16"/>
    <x v="2"/>
    <n v="4557.79"/>
    <n v="5043.3599999999997"/>
    <x v="0"/>
    <n v="0.14000000000000001"/>
    <s v="Credit Card"/>
    <x v="1"/>
    <s v="South-Bob"/>
    <n v="72924.639999999999"/>
    <x v="0"/>
    <n v="69396.633600000001"/>
    <n v="-3528.0063999999984"/>
    <x v="2"/>
    <n v="-5.0838293112823202E-2"/>
  </r>
  <r>
    <s v="sales_2023_H2.csv"/>
    <s v="1006"/>
    <d v="2023-09-16T00:00:00"/>
    <x v="3"/>
    <x v="0"/>
    <n v="8995.75"/>
    <n v="49"/>
    <x v="3"/>
    <n v="2843.76"/>
    <n v="3146.6"/>
    <x v="1"/>
    <n v="0.08"/>
    <s v="Cash"/>
    <x v="1"/>
    <s v="North-Bob"/>
    <n v="139344.24000000002"/>
    <x v="0"/>
    <n v="141848.728"/>
    <n v="2504.487999999983"/>
    <x v="2"/>
    <n v="1.7656048350324201E-2"/>
  </r>
  <r>
    <s v="sales_2023_H2.csv"/>
    <s v="1012"/>
    <d v="2023-09-16T00:00:00"/>
    <x v="2"/>
    <x v="1"/>
    <n v="1916.08"/>
    <n v="19"/>
    <x v="2"/>
    <n v="1427.42"/>
    <n v="1763.69"/>
    <x v="1"/>
    <n v="0.03"/>
    <s v="Cash"/>
    <x v="1"/>
    <s v="South-David"/>
    <n v="27120.980000000003"/>
    <x v="0"/>
    <n v="32504.806700000001"/>
    <n v="5383.8266999999978"/>
    <x v="2"/>
    <n v="0.16563170947883199"/>
  </r>
  <r>
    <s v="sales_2023_H2.csv"/>
    <s v="1100"/>
    <d v="2023-09-17T00:00:00"/>
    <x v="1"/>
    <x v="0"/>
    <n v="4795.12"/>
    <n v="17"/>
    <x v="2"/>
    <n v="83.64"/>
    <n v="528.49"/>
    <x v="1"/>
    <n v="0.13"/>
    <s v="Credit Card"/>
    <x v="0"/>
    <s v="North-Charlie"/>
    <n v="1421.88"/>
    <x v="0"/>
    <n v="7816.3670999999995"/>
    <n v="6394.4870999999994"/>
    <x v="2"/>
    <n v="0.81808940370776595"/>
  </r>
  <r>
    <s v="sales_2023_H2.csv"/>
    <s v="1093"/>
    <d v="2023-09-18T00:00:00"/>
    <x v="2"/>
    <x v="2"/>
    <n v="4040.25"/>
    <n v="19"/>
    <x v="2"/>
    <n v="3808.59"/>
    <n v="3844.51"/>
    <x v="1"/>
    <n v="0.21"/>
    <s v="Credit Card"/>
    <x v="0"/>
    <s v="West-David"/>
    <n v="72363.210000000006"/>
    <x v="0"/>
    <n v="57706.095100000006"/>
    <n v="-14657.1149"/>
    <x v="2"/>
    <n v="-0.25399595787239498"/>
  </r>
  <r>
    <s v="sales_2023_H2.csv"/>
    <s v="1057"/>
    <d v="2023-09-18T00:00:00"/>
    <x v="1"/>
    <x v="2"/>
    <n v="7315.73"/>
    <n v="25"/>
    <x v="3"/>
    <n v="1821.91"/>
    <n v="2027.74"/>
    <x v="1"/>
    <n v="0.02"/>
    <s v="Bank Transfer"/>
    <x v="1"/>
    <s v="West-Charlie"/>
    <n v="45547.75"/>
    <x v="0"/>
    <n v="49679.63"/>
    <n v="4131.8799999999974"/>
    <x v="2"/>
    <n v="8.3170506704659405E-2"/>
  </r>
  <r>
    <s v="sales_2023_H2.csv"/>
    <s v="1006"/>
    <d v="2023-09-18T00:00:00"/>
    <x v="2"/>
    <x v="2"/>
    <n v="776.7"/>
    <n v="45"/>
    <x v="1"/>
    <n v="1623.63"/>
    <n v="1814.63"/>
    <x v="1"/>
    <n v="0.28999999999999998"/>
    <s v="Bank Transfer"/>
    <x v="1"/>
    <s v="West-David"/>
    <n v="73063.350000000006"/>
    <x v="0"/>
    <n v="57977.428500000002"/>
    <n v="-15085.921500000004"/>
    <x v="2"/>
    <n v="-0.26020335655280102"/>
  </r>
  <r>
    <s v="sales_2023_H2.csv"/>
    <s v="1085"/>
    <d v="2023-09-18T00:00:00"/>
    <x v="0"/>
    <x v="3"/>
    <n v="4716.47"/>
    <n v="40"/>
    <x v="0"/>
    <n v="4083.23"/>
    <n v="4521.57"/>
    <x v="1"/>
    <n v="0.27"/>
    <s v="Bank Transfer"/>
    <x v="1"/>
    <s v="East-Eve"/>
    <n v="163329.20000000001"/>
    <x v="0"/>
    <n v="132029.84399999998"/>
    <n v="-31299.356000000029"/>
    <x v="2"/>
    <n v="-0.23706273560392899"/>
  </r>
  <r>
    <s v="sales_2023_H2.csv"/>
    <s v="1008"/>
    <d v="2023-09-18T00:00:00"/>
    <x v="1"/>
    <x v="1"/>
    <n v="7688.5"/>
    <n v="32"/>
    <x v="3"/>
    <n v="921.32"/>
    <n v="1236.0999999999999"/>
    <x v="1"/>
    <n v="0.12"/>
    <s v="Credit Card"/>
    <x v="0"/>
    <s v="South-Charlie"/>
    <n v="29482.240000000002"/>
    <x v="0"/>
    <n v="34808.576000000001"/>
    <n v="5326.3359999999993"/>
    <x v="2"/>
    <n v="0.15301792293944999"/>
  </r>
  <r>
    <s v="sales_2023_H2.csv"/>
    <s v="1025"/>
    <d v="2023-09-19T00:00:00"/>
    <x v="4"/>
    <x v="3"/>
    <n v="8564.24"/>
    <n v="26"/>
    <x v="2"/>
    <n v="2007.32"/>
    <n v="2202.87"/>
    <x v="0"/>
    <n v="0.11"/>
    <s v="Cash"/>
    <x v="0"/>
    <s v="East-Alice"/>
    <n v="52190.32"/>
    <x v="0"/>
    <n v="50974.411799999994"/>
    <n v="-1215.9082000000053"/>
    <x v="2"/>
    <n v="-2.3853305159668499E-2"/>
  </r>
  <r>
    <s v="sales_2023_H2.csv"/>
    <s v="1039"/>
    <d v="2023-09-19T00:00:00"/>
    <x v="3"/>
    <x v="1"/>
    <n v="4306.0200000000004"/>
    <n v="28"/>
    <x v="0"/>
    <n v="666.84"/>
    <n v="817.36"/>
    <x v="0"/>
    <n v="0.02"/>
    <s v="Cash"/>
    <x v="1"/>
    <s v="South-Bob"/>
    <n v="18671.52"/>
    <x v="0"/>
    <n v="22428.358400000001"/>
    <n v="3756.8384000000005"/>
    <x v="2"/>
    <n v="0.16750394001194499"/>
  </r>
  <r>
    <s v="sales_2023_H2.csv"/>
    <s v="1037"/>
    <d v="2023-09-19T00:00:00"/>
    <x v="4"/>
    <x v="1"/>
    <n v="4606.2"/>
    <n v="17"/>
    <x v="2"/>
    <n v="1308.58"/>
    <n v="1575.59"/>
    <x v="1"/>
    <n v="0.3"/>
    <s v="Cash"/>
    <x v="0"/>
    <s v="South-Alice"/>
    <n v="22245.86"/>
    <x v="0"/>
    <n v="18749.520999999997"/>
    <n v="-3496.3390000000036"/>
    <x v="2"/>
    <n v="-0.18647617717807299"/>
  </r>
  <r>
    <s v="sales_2023_H2.csv"/>
    <s v="1019"/>
    <d v="2023-09-19T00:00:00"/>
    <x v="1"/>
    <x v="2"/>
    <n v="6705.4"/>
    <n v="45"/>
    <x v="0"/>
    <n v="2590.64"/>
    <n v="3036.18"/>
    <x v="1"/>
    <n v="0.05"/>
    <s v="Bank Transfer"/>
    <x v="1"/>
    <s v="West-Charlie"/>
    <n v="116578.79999999999"/>
    <x v="0"/>
    <n v="129796.69499999999"/>
    <n v="13217.895000000004"/>
    <x v="2"/>
    <n v="0.10183537415956601"/>
  </r>
  <r>
    <s v="sales_2023_H2.csv"/>
    <s v="1097"/>
    <d v="2023-09-20T00:00:00"/>
    <x v="2"/>
    <x v="0"/>
    <n v="6759.76"/>
    <n v="45"/>
    <x v="0"/>
    <n v="1525.13"/>
    <n v="1868.32"/>
    <x v="0"/>
    <n v="0.24"/>
    <s v="Cash"/>
    <x v="1"/>
    <s v="North-David"/>
    <n v="68630.850000000006"/>
    <x v="0"/>
    <n v="63896.543999999994"/>
    <n v="-4734.3060000000114"/>
    <x v="2"/>
    <n v="-7.4093303074419997E-2"/>
  </r>
  <r>
    <s v="sales_2023_H2.csv"/>
    <s v="1015"/>
    <d v="2023-09-21T00:00:00"/>
    <x v="2"/>
    <x v="1"/>
    <n v="4631.2299999999996"/>
    <n v="30"/>
    <x v="3"/>
    <n v="261.56"/>
    <n v="371.4"/>
    <x v="0"/>
    <n v="0.2"/>
    <s v="Bank Transfer"/>
    <x v="1"/>
    <s v="South-David"/>
    <n v="7846.8"/>
    <x v="0"/>
    <n v="8913.6"/>
    <n v="1066.8000000000002"/>
    <x v="2"/>
    <n v="0.119682283252558"/>
  </r>
  <r>
    <s v="sales_2023_H2.csv"/>
    <s v="1084"/>
    <d v="2023-09-21T00:00:00"/>
    <x v="0"/>
    <x v="1"/>
    <n v="2813.31"/>
    <n v="36"/>
    <x v="1"/>
    <n v="1458.77"/>
    <n v="1485.75"/>
    <x v="1"/>
    <n v="0.25"/>
    <s v="Credit Card"/>
    <x v="0"/>
    <s v="South-Eve"/>
    <n v="52515.72"/>
    <x v="0"/>
    <n v="40115.25"/>
    <n v="-12400.470000000001"/>
    <x v="2"/>
    <n v="-0.30912109484547601"/>
  </r>
  <r>
    <s v="sales_2023_H2.csv"/>
    <s v="1076"/>
    <d v="2023-09-21T00:00:00"/>
    <x v="3"/>
    <x v="0"/>
    <n v="611.52"/>
    <n v="26"/>
    <x v="2"/>
    <n v="1762"/>
    <n v="2002.95"/>
    <x v="0"/>
    <n v="0.28999999999999998"/>
    <s v="Credit Card"/>
    <x v="1"/>
    <s v="North-Bob"/>
    <n v="45812"/>
    <x v="0"/>
    <n v="36974.457000000002"/>
    <n v="-8837.5429999999978"/>
    <x v="2"/>
    <n v="-0.239017519581153"/>
  </r>
  <r>
    <s v="sales_2023_H2.csv"/>
    <s v="1062"/>
    <d v="2023-09-21T00:00:00"/>
    <x v="2"/>
    <x v="0"/>
    <n v="2994.59"/>
    <n v="37"/>
    <x v="2"/>
    <n v="4658.4399999999996"/>
    <n v="4823.5"/>
    <x v="0"/>
    <n v="0.14000000000000001"/>
    <s v="Credit Card"/>
    <x v="0"/>
    <s v="North-David"/>
    <n v="172362.28"/>
    <x v="0"/>
    <n v="153483.76999999999"/>
    <n v="-18878.510000000009"/>
    <x v="2"/>
    <n v="-0.123000040981532"/>
  </r>
  <r>
    <s v="sales_2023_H2.csv"/>
    <s v="1061"/>
    <d v="2023-09-21T00:00:00"/>
    <x v="1"/>
    <x v="1"/>
    <n v="9895.57"/>
    <n v="25"/>
    <x v="3"/>
    <n v="2747.66"/>
    <n v="3027.01"/>
    <x v="1"/>
    <n v="0.23"/>
    <s v="Cash"/>
    <x v="0"/>
    <s v="South-Charlie"/>
    <n v="68691.5"/>
    <x v="0"/>
    <n v="58269.942500000005"/>
    <n v="-10421.557499999995"/>
    <x v="2"/>
    <n v="-0.17884962731857801"/>
  </r>
  <r>
    <s v="sales_2023_H2.csv"/>
    <s v="1015"/>
    <d v="2023-09-22T00:00:00"/>
    <x v="2"/>
    <x v="1"/>
    <n v="9914.15"/>
    <n v="22"/>
    <x v="2"/>
    <n v="4275.59"/>
    <n v="4576.72"/>
    <x v="0"/>
    <n v="0.02"/>
    <s v="Cash"/>
    <x v="1"/>
    <s v="South-David"/>
    <n v="94062.98000000001"/>
    <x v="0"/>
    <n v="98674.083200000008"/>
    <n v="4611.1031999999977"/>
    <x v="2"/>
    <n v="4.6730641425407199E-2"/>
  </r>
  <r>
    <s v="sales_2023_H2.csv"/>
    <s v="1093"/>
    <d v="2023-09-23T00:00:00"/>
    <x v="1"/>
    <x v="0"/>
    <n v="9787.4"/>
    <n v="40"/>
    <x v="1"/>
    <n v="1047.25"/>
    <n v="1075.8900000000001"/>
    <x v="1"/>
    <n v="0.28000000000000003"/>
    <s v="Credit Card"/>
    <x v="1"/>
    <s v="North-Charlie"/>
    <n v="41890"/>
    <x v="0"/>
    <n v="30985.632000000001"/>
    <n v="-10904.367999999999"/>
    <x v="2"/>
    <n v="-0.35191691426529598"/>
  </r>
  <r>
    <s v="sales_2023_H2.csv"/>
    <s v="1100"/>
    <d v="2023-09-23T00:00:00"/>
    <x v="1"/>
    <x v="0"/>
    <n v="797.87"/>
    <n v="19"/>
    <x v="2"/>
    <n v="1820.89"/>
    <n v="2257.92"/>
    <x v="1"/>
    <n v="0.12"/>
    <s v="Cash"/>
    <x v="1"/>
    <s v="North-Charlie"/>
    <n v="34596.910000000003"/>
    <x v="0"/>
    <n v="37752.422400000003"/>
    <n v="3155.5123999999996"/>
    <x v="2"/>
    <n v="8.3584368880127796E-2"/>
  </r>
  <r>
    <s v="sales_2023_H2.csv"/>
    <s v="1036"/>
    <d v="2023-09-23T00:00:00"/>
    <x v="3"/>
    <x v="0"/>
    <n v="3971.23"/>
    <n v="42"/>
    <x v="1"/>
    <n v="3549.43"/>
    <n v="3967.69"/>
    <x v="1"/>
    <n v="0.14000000000000001"/>
    <s v="Bank Transfer"/>
    <x v="0"/>
    <s v="North-Bob"/>
    <n v="149076.06"/>
    <x v="0"/>
    <n v="143312.96280000001"/>
    <n v="-5763.0971999999892"/>
    <x v="2"/>
    <n v="-4.02133700078664E-2"/>
  </r>
  <r>
    <s v="sales_2023_H2.csv"/>
    <s v="1089"/>
    <d v="2023-09-24T00:00:00"/>
    <x v="3"/>
    <x v="1"/>
    <n v="2975.99"/>
    <n v="48"/>
    <x v="3"/>
    <n v="2246.67"/>
    <n v="2486.14"/>
    <x v="1"/>
    <n v="0.03"/>
    <s v="Cash"/>
    <x v="1"/>
    <s v="South-Bob"/>
    <n v="107840.16"/>
    <x v="0"/>
    <n v="115754.6784"/>
    <n v="7914.5184000000008"/>
    <x v="2"/>
    <n v="6.8373205380526603E-2"/>
  </r>
  <r>
    <s v="sales_2023_H2.csv"/>
    <s v="1097"/>
    <d v="2023-09-24T00:00:00"/>
    <x v="4"/>
    <x v="3"/>
    <n v="5025.6400000000003"/>
    <n v="9"/>
    <x v="3"/>
    <n v="4067.28"/>
    <n v="4548.09"/>
    <x v="0"/>
    <n v="0.12"/>
    <s v="Credit Card"/>
    <x v="1"/>
    <s v="East-Alice"/>
    <n v="36605.520000000004"/>
    <x v="0"/>
    <n v="36020.872799999997"/>
    <n v="-584.64720000000671"/>
    <x v="2"/>
    <n v="-1.6230789388312801E-2"/>
  </r>
  <r>
    <s v="sales_2023_H2.csv"/>
    <s v="1015"/>
    <d v="2023-09-24T00:00:00"/>
    <x v="3"/>
    <x v="3"/>
    <n v="182.37"/>
    <n v="35"/>
    <x v="0"/>
    <n v="3461.15"/>
    <n v="3631.75"/>
    <x v="0"/>
    <n v="0.27"/>
    <s v="Credit Card"/>
    <x v="0"/>
    <s v="East-Bob"/>
    <n v="121140.25"/>
    <x v="0"/>
    <n v="92791.212499999994"/>
    <n v="-28349.037500000006"/>
    <x v="2"/>
    <n v="-0.30551424791436999"/>
  </r>
  <r>
    <s v="sales_2023_H2.csv"/>
    <s v="1046"/>
    <d v="2023-09-24T00:00:00"/>
    <x v="1"/>
    <x v="2"/>
    <n v="4695.96"/>
    <n v="41"/>
    <x v="0"/>
    <n v="1825.37"/>
    <n v="2073.88"/>
    <x v="0"/>
    <n v="0.27"/>
    <s v="Cash"/>
    <x v="1"/>
    <s v="West-Charlie"/>
    <n v="74840.17"/>
    <x v="0"/>
    <n v="62071.2284"/>
    <n v="-12768.941599999998"/>
    <x v="2"/>
    <n v="-0.205714337047017"/>
  </r>
  <r>
    <s v="sales_2023_H2.csv"/>
    <s v="1005"/>
    <d v="2023-09-24T00:00:00"/>
    <x v="0"/>
    <x v="1"/>
    <n v="4453.43"/>
    <n v="6"/>
    <x v="3"/>
    <n v="122.5"/>
    <n v="385.83"/>
    <x v="0"/>
    <n v="0.1"/>
    <s v="Cash"/>
    <x v="1"/>
    <s v="South-Eve"/>
    <n v="735"/>
    <x v="0"/>
    <n v="2083.482"/>
    <n v="1348.482"/>
    <x v="2"/>
    <n v="0.64722517401158197"/>
  </r>
  <r>
    <s v="sales_2023_H2.csv"/>
    <s v="1066"/>
    <d v="2023-09-25T00:00:00"/>
    <x v="0"/>
    <x v="3"/>
    <n v="7391.7"/>
    <n v="47"/>
    <x v="3"/>
    <n v="1319.24"/>
    <n v="1805.56"/>
    <x v="1"/>
    <n v="0.26"/>
    <s v="Credit Card"/>
    <x v="1"/>
    <s v="East-Eve"/>
    <n v="62004.28"/>
    <x v="0"/>
    <n v="62797.376799999991"/>
    <n v="793.09679999999207"/>
    <x v="2"/>
    <n v="1.2629457477593101E-2"/>
  </r>
  <r>
    <s v="sales_2023_H2.csv"/>
    <s v="1039"/>
    <d v="2023-09-25T00:00:00"/>
    <x v="0"/>
    <x v="2"/>
    <n v="1143.3900000000001"/>
    <n v="37"/>
    <x v="2"/>
    <n v="4127.05"/>
    <n v="4313.45"/>
    <x v="1"/>
    <n v="0.16"/>
    <s v="Cash"/>
    <x v="0"/>
    <s v="West-Eve"/>
    <n v="152700.85"/>
    <x v="0"/>
    <n v="134062.02599999998"/>
    <n v="-18638.824000000022"/>
    <x v="2"/>
    <n v="-0.13903134657982899"/>
  </r>
  <r>
    <s v="sales_2023_H2.csv"/>
    <s v="1090"/>
    <d v="2023-09-26T00:00:00"/>
    <x v="0"/>
    <x v="0"/>
    <n v="7350.77"/>
    <n v="11"/>
    <x v="2"/>
    <n v="210.33"/>
    <n v="552.29"/>
    <x v="0"/>
    <n v="0.18"/>
    <s v="Cash"/>
    <x v="1"/>
    <s v="North-Eve"/>
    <n v="2313.63"/>
    <x v="0"/>
    <n v="4981.6558000000005"/>
    <n v="2668.0258000000003"/>
    <x v="2"/>
    <n v="0.53557008093573999"/>
  </r>
  <r>
    <s v="sales_2023_H2.csv"/>
    <s v="1018"/>
    <d v="2023-09-26T00:00:00"/>
    <x v="2"/>
    <x v="3"/>
    <n v="5634.69"/>
    <n v="25"/>
    <x v="1"/>
    <n v="739.63"/>
    <n v="1103.03"/>
    <x v="1"/>
    <n v="0.26"/>
    <s v="Bank Transfer"/>
    <x v="1"/>
    <s v="East-David"/>
    <n v="18490.75"/>
    <x v="0"/>
    <n v="20406.055"/>
    <n v="1915.3050000000003"/>
    <x v="2"/>
    <n v="9.3859641170231101E-2"/>
  </r>
  <r>
    <s v="sales_2023_H2.csv"/>
    <s v="1006"/>
    <d v="2023-09-26T00:00:00"/>
    <x v="3"/>
    <x v="3"/>
    <n v="6954.35"/>
    <n v="14"/>
    <x v="3"/>
    <n v="4503.7299999999996"/>
    <n v="4879.88"/>
    <x v="1"/>
    <n v="0.24"/>
    <s v="Bank Transfer"/>
    <x v="1"/>
    <s v="East-Bob"/>
    <n v="63052.219999999994"/>
    <x v="0"/>
    <n v="51921.923200000005"/>
    <n v="-11130.296799999989"/>
    <x v="2"/>
    <n v="-0.214366034885241"/>
  </r>
  <r>
    <s v="sales_2023_H2.csv"/>
    <s v="1088"/>
    <d v="2023-09-27T00:00:00"/>
    <x v="0"/>
    <x v="0"/>
    <n v="7106.44"/>
    <n v="12"/>
    <x v="0"/>
    <n v="4389.24"/>
    <n v="4856.22"/>
    <x v="0"/>
    <n v="0.15"/>
    <s v="Cash"/>
    <x v="1"/>
    <s v="North-Eve"/>
    <n v="52670.879999999997"/>
    <x v="0"/>
    <n v="49533.443999999996"/>
    <n v="-3137.4360000000015"/>
    <x v="2"/>
    <n v="-6.3339750815630799E-2"/>
  </r>
  <r>
    <s v="sales_2023_H2.csv"/>
    <s v="1058"/>
    <d v="2023-09-27T00:00:00"/>
    <x v="0"/>
    <x v="2"/>
    <n v="1193.28"/>
    <n v="29"/>
    <x v="2"/>
    <n v="3578.77"/>
    <n v="3635.02"/>
    <x v="1"/>
    <n v="0.2"/>
    <s v="Bank Transfer"/>
    <x v="1"/>
    <s v="West-Eve"/>
    <n v="103784.33"/>
    <x v="0"/>
    <n v="84332.464000000007"/>
    <n v="-19451.865999999995"/>
    <x v="2"/>
    <n v="-0.23065691523017701"/>
  </r>
  <r>
    <s v="sales_2023_H2.csv"/>
    <s v="1047"/>
    <d v="2023-09-27T00:00:00"/>
    <x v="0"/>
    <x v="0"/>
    <n v="8657.89"/>
    <n v="32"/>
    <x v="2"/>
    <n v="367.98"/>
    <n v="806.14"/>
    <x v="0"/>
    <n v="0.22"/>
    <s v="Credit Card"/>
    <x v="1"/>
    <s v="North-Eve"/>
    <n v="11775.36"/>
    <x v="0"/>
    <n v="20121.254400000002"/>
    <n v="8345.894400000001"/>
    <x v="2"/>
    <n v="0.414780024847755"/>
  </r>
  <r>
    <s v="sales_2023_H2.csv"/>
    <s v="1049"/>
    <d v="2023-09-28T00:00:00"/>
    <x v="4"/>
    <x v="2"/>
    <n v="5972.27"/>
    <n v="44"/>
    <x v="1"/>
    <n v="3351.33"/>
    <n v="3465.35"/>
    <x v="0"/>
    <n v="0.12"/>
    <s v="Bank Transfer"/>
    <x v="0"/>
    <s v="West-Alice"/>
    <n v="147458.51999999999"/>
    <x v="0"/>
    <n v="134178.35199999998"/>
    <n v="-13280.168000000005"/>
    <x v="2"/>
    <n v="-9.8973998428598997E-2"/>
  </r>
  <r>
    <s v="sales_2023_H2.csv"/>
    <s v="1004"/>
    <d v="2023-09-28T00:00:00"/>
    <x v="0"/>
    <x v="1"/>
    <n v="4936.1099999999997"/>
    <n v="27"/>
    <x v="0"/>
    <n v="4354.6000000000004"/>
    <n v="4820.2"/>
    <x v="1"/>
    <n v="0.14000000000000001"/>
    <s v="Credit Card"/>
    <x v="1"/>
    <s v="South-Eve"/>
    <n v="117574.20000000001"/>
    <x v="0"/>
    <n v="111925.04399999999"/>
    <n v="-5649.1560000000172"/>
    <x v="2"/>
    <n v="-5.0472671692673297E-2"/>
  </r>
  <r>
    <s v="sales_2023_H2.csv"/>
    <s v="1036"/>
    <d v="2023-09-29T00:00:00"/>
    <x v="3"/>
    <x v="0"/>
    <n v="6116.75"/>
    <n v="7"/>
    <x v="0"/>
    <n v="2588.67"/>
    <n v="2847.76"/>
    <x v="1"/>
    <n v="0.22"/>
    <s v="Cash"/>
    <x v="1"/>
    <s v="North-Bob"/>
    <n v="18120.690000000002"/>
    <x v="0"/>
    <n v="15548.7696"/>
    <n v="-2571.9204000000027"/>
    <x v="2"/>
    <n v="-0.16540989841408399"/>
  </r>
  <r>
    <s v="sales_2023_H2.csv"/>
    <s v="1048"/>
    <d v="2023-09-30T00:00:00"/>
    <x v="1"/>
    <x v="0"/>
    <n v="7873.38"/>
    <n v="4"/>
    <x v="1"/>
    <n v="2900.14"/>
    <n v="2910.51"/>
    <x v="1"/>
    <n v="0.22"/>
    <s v="Credit Card"/>
    <x v="1"/>
    <s v="North-Charlie"/>
    <n v="11600.56"/>
    <x v="0"/>
    <n v="9080.7912000000015"/>
    <n v="-2519.768799999998"/>
    <x v="2"/>
    <n v="-0.27748339814266398"/>
  </r>
  <r>
    <s v="sales_2023_H2.csv"/>
    <s v="1084"/>
    <d v="2023-09-30T00:00:00"/>
    <x v="4"/>
    <x v="3"/>
    <n v="9532.8700000000008"/>
    <n v="30"/>
    <x v="3"/>
    <n v="169"/>
    <n v="381.92"/>
    <x v="0"/>
    <n v="0.26"/>
    <s v="Cash"/>
    <x v="1"/>
    <s v="East-Alice"/>
    <n v="5070"/>
    <x v="0"/>
    <n v="8478.6239999999998"/>
    <n v="3408.6239999999998"/>
    <x v="2"/>
    <n v="0.40202561170303103"/>
  </r>
  <r>
    <s v="sales_2023_H2.csv"/>
    <s v="1023"/>
    <d v="2023-09-30T00:00:00"/>
    <x v="1"/>
    <x v="0"/>
    <n v="8046.14"/>
    <n v="8"/>
    <x v="1"/>
    <n v="1563.78"/>
    <n v="1829.16"/>
    <x v="0"/>
    <n v="0.15"/>
    <s v="Cash"/>
    <x v="0"/>
    <s v="North-Charlie"/>
    <n v="12510.24"/>
    <x v="0"/>
    <n v="12438.288"/>
    <n v="-71.951999999999316"/>
    <x v="2"/>
    <n v="-5.7847189259486002E-3"/>
  </r>
  <r>
    <s v="sales_2023_H2.csv"/>
    <s v="1093"/>
    <d v="2023-10-01T00:00:00"/>
    <x v="0"/>
    <x v="3"/>
    <n v="1697.49"/>
    <n v="22"/>
    <x v="2"/>
    <n v="2593.64"/>
    <n v="2955.51"/>
    <x v="0"/>
    <n v="0"/>
    <s v="Bank Transfer"/>
    <x v="1"/>
    <s v="East-Eve"/>
    <n v="57060.079999999994"/>
    <x v="0"/>
    <n v="65021.22"/>
    <n v="7961.1400000000067"/>
    <x v="3"/>
    <n v="0.122439105264405"/>
  </r>
  <r>
    <s v="sales_2023_H2.csv"/>
    <s v="1077"/>
    <d v="2023-10-01T00:00:00"/>
    <x v="4"/>
    <x v="2"/>
    <n v="5405.76"/>
    <n v="5"/>
    <x v="2"/>
    <n v="3650.89"/>
    <n v="3930.06"/>
    <x v="1"/>
    <n v="0.17"/>
    <s v="Bank Transfer"/>
    <x v="0"/>
    <s v="West-Alice"/>
    <n v="18254.45"/>
    <x v="0"/>
    <n v="16309.748999999998"/>
    <n v="-1944.7010000000028"/>
    <x v="3"/>
    <n v="-0.119235495285673"/>
  </r>
  <r>
    <s v="sales_2023_H2.csv"/>
    <s v="1091"/>
    <d v="2023-10-01T00:00:00"/>
    <x v="0"/>
    <x v="3"/>
    <n v="3917.42"/>
    <n v="15"/>
    <x v="2"/>
    <n v="1534.7"/>
    <n v="1972.62"/>
    <x v="0"/>
    <n v="0.06"/>
    <s v="Credit Card"/>
    <x v="1"/>
    <s v="East-Eve"/>
    <n v="23020.5"/>
    <x v="0"/>
    <n v="27813.941999999999"/>
    <n v="4793.4419999999991"/>
    <x v="3"/>
    <n v="0.172339541083389"/>
  </r>
  <r>
    <s v="sales_2023_H2.csv"/>
    <s v="1053"/>
    <d v="2023-10-02T00:00:00"/>
    <x v="2"/>
    <x v="3"/>
    <n v="7724.57"/>
    <n v="29"/>
    <x v="2"/>
    <n v="3741.3"/>
    <n v="4061.04"/>
    <x v="0"/>
    <n v="0.21"/>
    <s v="Credit Card"/>
    <x v="0"/>
    <s v="East-David"/>
    <n v="108497.70000000001"/>
    <x v="0"/>
    <n v="93038.426400000011"/>
    <n v="-15459.2736"/>
    <x v="3"/>
    <n v="-0.16616009318059599"/>
  </r>
  <r>
    <s v="sales_2023_H2.csv"/>
    <s v="1093"/>
    <d v="2023-10-02T00:00:00"/>
    <x v="3"/>
    <x v="2"/>
    <n v="3747.64"/>
    <n v="43"/>
    <x v="2"/>
    <n v="1486.76"/>
    <n v="1505.44"/>
    <x v="1"/>
    <n v="0.08"/>
    <s v="Cash"/>
    <x v="1"/>
    <s v="West-Bob"/>
    <n v="63930.68"/>
    <x v="0"/>
    <n v="59555.20640000001"/>
    <n v="-4375.4735999999903"/>
    <x v="3"/>
    <n v="-7.3469203861242796E-2"/>
  </r>
  <r>
    <s v="sales_2023_H2.csv"/>
    <s v="1088"/>
    <d v="2023-10-04T00:00:00"/>
    <x v="3"/>
    <x v="3"/>
    <n v="6116.75"/>
    <n v="40"/>
    <x v="2"/>
    <n v="4904.93"/>
    <n v="5034.3500000000004"/>
    <x v="1"/>
    <n v="0.1"/>
    <s v="Credit Card"/>
    <x v="1"/>
    <s v="East-Bob"/>
    <n v="196197.2"/>
    <x v="0"/>
    <n v="181236.6"/>
    <n v="-14960.600000000006"/>
    <x v="3"/>
    <n v="-8.2547344189860095E-2"/>
  </r>
  <r>
    <s v="sales_2023_H2.csv"/>
    <s v="1079"/>
    <d v="2023-10-04T00:00:00"/>
    <x v="0"/>
    <x v="3"/>
    <n v="942.52"/>
    <n v="12"/>
    <x v="3"/>
    <n v="4754.0200000000004"/>
    <n v="5080.74"/>
    <x v="1"/>
    <n v="0.2"/>
    <s v="Cash"/>
    <x v="0"/>
    <s v="East-Eve"/>
    <n v="57048.240000000005"/>
    <x v="0"/>
    <n v="48775.103999999999"/>
    <n v="-8273.1360000000059"/>
    <x v="3"/>
    <n v="-0.16961800840035099"/>
  </r>
  <r>
    <s v="sales_2023_H2.csv"/>
    <s v="1066"/>
    <d v="2023-10-05T00:00:00"/>
    <x v="4"/>
    <x v="1"/>
    <n v="3530.59"/>
    <n v="4"/>
    <x v="1"/>
    <n v="4596.68"/>
    <n v="5044.74"/>
    <x v="1"/>
    <n v="0.01"/>
    <s v="Bank Transfer"/>
    <x v="0"/>
    <s v="South-Alice"/>
    <n v="18386.72"/>
    <x v="0"/>
    <n v="19977.170399999999"/>
    <n v="1590.4503999999979"/>
    <x v="3"/>
    <n v="7.9613397100522204E-2"/>
  </r>
  <r>
    <s v="sales_2023_H2.csv"/>
    <s v="1063"/>
    <d v="2023-10-05T00:00:00"/>
    <x v="4"/>
    <x v="1"/>
    <n v="7859.01"/>
    <n v="27"/>
    <x v="3"/>
    <n v="2069.08"/>
    <n v="2246.2399999999998"/>
    <x v="1"/>
    <n v="0.06"/>
    <s v="Bank Transfer"/>
    <x v="1"/>
    <s v="South-Alice"/>
    <n v="55865.159999999996"/>
    <x v="0"/>
    <n v="57009.571199999991"/>
    <n v="1144.411199999995"/>
    <x v="3"/>
    <n v="2.0074018728981301E-2"/>
  </r>
  <r>
    <s v="sales_2023_H2.csv"/>
    <s v="1060"/>
    <d v="2023-10-07T00:00:00"/>
    <x v="4"/>
    <x v="1"/>
    <n v="6453.17"/>
    <n v="23"/>
    <x v="2"/>
    <n v="647.70000000000005"/>
    <n v="902.26"/>
    <x v="1"/>
    <n v="0.17"/>
    <s v="Bank Transfer"/>
    <x v="0"/>
    <s v="South-Alice"/>
    <n v="14897.1"/>
    <x v="0"/>
    <n v="17224.143399999997"/>
    <n v="2327.0433999999968"/>
    <x v="3"/>
    <n v="0.13510357792306801"/>
  </r>
  <r>
    <s v="sales_2023_H2.csv"/>
    <s v="1051"/>
    <d v="2023-10-07T00:00:00"/>
    <x v="3"/>
    <x v="2"/>
    <n v="8047.83"/>
    <n v="3"/>
    <x v="1"/>
    <n v="3434.75"/>
    <n v="3659.42"/>
    <x v="1"/>
    <n v="0.16"/>
    <s v="Cash"/>
    <x v="0"/>
    <s v="West-Bob"/>
    <n v="10304.25"/>
    <x v="0"/>
    <n v="9221.7384000000002"/>
    <n v="-1082.5115999999998"/>
    <x v="3"/>
    <n v="-0.117386934333336"/>
  </r>
  <r>
    <s v="sales_2023_H2.csv"/>
    <s v="1032"/>
    <d v="2023-10-08T00:00:00"/>
    <x v="0"/>
    <x v="3"/>
    <n v="4095.65"/>
    <n v="11"/>
    <x v="3"/>
    <n v="2025.67"/>
    <n v="2081.5500000000002"/>
    <x v="1"/>
    <n v="0.27"/>
    <s v="Bank Transfer"/>
    <x v="0"/>
    <s v="East-Eve"/>
    <n v="22282.370000000003"/>
    <x v="0"/>
    <n v="16714.846500000003"/>
    <n v="-5567.5234999999993"/>
    <x v="3"/>
    <n v="-0.33308852103427899"/>
  </r>
  <r>
    <s v="sales_2023_H2.csv"/>
    <s v="1001"/>
    <d v="2023-10-08T00:00:00"/>
    <x v="3"/>
    <x v="2"/>
    <n v="8397.73"/>
    <n v="33"/>
    <x v="1"/>
    <n v="2933.54"/>
    <n v="3307.75"/>
    <x v="0"/>
    <n v="0.01"/>
    <s v="Bank Transfer"/>
    <x v="1"/>
    <s v="West-Bob"/>
    <n v="96806.819999999992"/>
    <x v="0"/>
    <n v="108064.1925"/>
    <n v="11257.372500000012"/>
    <x v="3"/>
    <n v="0.10417301272112001"/>
  </r>
  <r>
    <s v="sales_2023_H2.csv"/>
    <s v="1075"/>
    <d v="2023-10-09T00:00:00"/>
    <x v="1"/>
    <x v="2"/>
    <n v="8239.58"/>
    <n v="18"/>
    <x v="0"/>
    <n v="2228.35"/>
    <n v="2682.34"/>
    <x v="1"/>
    <n v="0.13"/>
    <s v="Bank Transfer"/>
    <x v="0"/>
    <s v="West-Charlie"/>
    <n v="40110.299999999996"/>
    <x v="0"/>
    <n v="42005.4444"/>
    <n v="1895.1444000000047"/>
    <x v="3"/>
    <n v="4.5116637309043799E-2"/>
  </r>
  <r>
    <s v="sales_2023_H2.csv"/>
    <s v="1062"/>
    <d v="2023-10-09T00:00:00"/>
    <x v="3"/>
    <x v="3"/>
    <n v="544.62"/>
    <n v="4"/>
    <x v="2"/>
    <n v="1581.59"/>
    <n v="2034.15"/>
    <x v="0"/>
    <n v="0.21"/>
    <s v="Cash"/>
    <x v="0"/>
    <s v="East-Bob"/>
    <n v="6326.36"/>
    <x v="0"/>
    <n v="6427.9140000000007"/>
    <n v="101.554000000001"/>
    <x v="3"/>
    <n v="1.57989045901985E-2"/>
  </r>
  <r>
    <s v="sales_2023_H2.csv"/>
    <s v="1052"/>
    <d v="2023-10-09T00:00:00"/>
    <x v="2"/>
    <x v="2"/>
    <n v="6757.36"/>
    <n v="41"/>
    <x v="2"/>
    <n v="1509.98"/>
    <n v="1792.83"/>
    <x v="1"/>
    <n v="0.04"/>
    <s v="Cash"/>
    <x v="1"/>
    <s v="West-David"/>
    <n v="61909.18"/>
    <x v="0"/>
    <n v="70565.788799999995"/>
    <n v="8656.6087999999945"/>
    <x v="3"/>
    <n v="0.12267430077958701"/>
  </r>
  <r>
    <s v="sales_2023_H2.csv"/>
    <s v="1095"/>
    <d v="2023-10-09T00:00:00"/>
    <x v="2"/>
    <x v="0"/>
    <n v="8828.74"/>
    <n v="21"/>
    <x v="0"/>
    <n v="621.04999999999995"/>
    <n v="820.37"/>
    <x v="0"/>
    <n v="0.24"/>
    <s v="Bank Transfer"/>
    <x v="0"/>
    <s v="North-David"/>
    <n v="13042.05"/>
    <x v="0"/>
    <n v="13093.1052"/>
    <n v="51.055200000000696"/>
    <x v="3"/>
    <n v="3.8993958438522801E-3"/>
  </r>
  <r>
    <s v="sales_2023_H2.csv"/>
    <s v="1001"/>
    <d v="2023-10-10T00:00:00"/>
    <x v="2"/>
    <x v="2"/>
    <n v="3780.07"/>
    <n v="18"/>
    <x v="1"/>
    <n v="2602.6"/>
    <n v="3013.49"/>
    <x v="0"/>
    <n v="0.08"/>
    <s v="Bank Transfer"/>
    <x v="0"/>
    <s v="West-David"/>
    <n v="46846.799999999996"/>
    <x v="0"/>
    <n v="49903.394399999997"/>
    <n v="3056.5944000000018"/>
    <x v="3"/>
    <n v="6.1250230304974999E-2"/>
  </r>
  <r>
    <s v="sales_2023_H2.csv"/>
    <s v="1019"/>
    <d v="2023-10-11T00:00:00"/>
    <x v="0"/>
    <x v="1"/>
    <n v="2030.25"/>
    <n v="32"/>
    <x v="2"/>
    <n v="2866.47"/>
    <n v="3286.47"/>
    <x v="1"/>
    <n v="0.09"/>
    <s v="Credit Card"/>
    <x v="0"/>
    <s v="South-Eve"/>
    <n v="91727.039999999994"/>
    <x v="0"/>
    <n v="95702.006399999998"/>
    <n v="3974.9664000000048"/>
    <x v="3"/>
    <n v="4.1534828260403202E-2"/>
  </r>
  <r>
    <s v="sales_2023_H2.csv"/>
    <s v="1052"/>
    <d v="2023-10-12T00:00:00"/>
    <x v="2"/>
    <x v="0"/>
    <n v="7444.77"/>
    <n v="46"/>
    <x v="2"/>
    <n v="3136.42"/>
    <n v="3198.49"/>
    <x v="0"/>
    <n v="0.28999999999999998"/>
    <s v="Cash"/>
    <x v="1"/>
    <s v="North-David"/>
    <n v="144275.32"/>
    <x v="0"/>
    <n v="104462.68339999998"/>
    <n v="-39812.636600000027"/>
    <x v="3"/>
    <n v="-0.38111826447682501"/>
  </r>
  <r>
    <s v="sales_2023_H2.csv"/>
    <s v="1032"/>
    <d v="2023-10-12T00:00:00"/>
    <x v="4"/>
    <x v="0"/>
    <n v="3035.94"/>
    <n v="17"/>
    <x v="0"/>
    <n v="1291.9100000000001"/>
    <n v="1528.59"/>
    <x v="0"/>
    <n v="0.11"/>
    <s v="Credit Card"/>
    <x v="1"/>
    <s v="North-Alice"/>
    <n v="21962.47"/>
    <x v="0"/>
    <n v="23127.566699999999"/>
    <n v="1165.0966999999982"/>
    <x v="3"/>
    <n v="5.0376968537723402E-2"/>
  </r>
  <r>
    <s v="sales_2023_H2.csv"/>
    <s v="1019"/>
    <d v="2023-10-12T00:00:00"/>
    <x v="1"/>
    <x v="2"/>
    <n v="220.35"/>
    <n v="16"/>
    <x v="0"/>
    <n v="4977.78"/>
    <n v="4995.55"/>
    <x v="1"/>
    <n v="0.25"/>
    <s v="Credit Card"/>
    <x v="0"/>
    <s v="West-Charlie"/>
    <n v="79644.479999999996"/>
    <x v="0"/>
    <n v="59946.600000000006"/>
    <n v="-19697.87999999999"/>
    <x v="3"/>
    <n v="-0.32859044549649202"/>
  </r>
  <r>
    <s v="sales_2023_H2.csv"/>
    <s v="1010"/>
    <d v="2023-10-12T00:00:00"/>
    <x v="1"/>
    <x v="0"/>
    <n v="9907.7199999999993"/>
    <n v="20"/>
    <x v="1"/>
    <n v="4298.74"/>
    <n v="4475.1899999999996"/>
    <x v="0"/>
    <n v="0.16"/>
    <s v="Cash"/>
    <x v="0"/>
    <s v="North-Charlie"/>
    <n v="85974.799999999988"/>
    <x v="0"/>
    <n v="75183.191999999981"/>
    <n v="-10791.608000000007"/>
    <x v="3"/>
    <n v="-0.14353750769187901"/>
  </r>
  <r>
    <s v="sales_2023_H2.csv"/>
    <s v="1089"/>
    <d v="2023-10-12T00:00:00"/>
    <x v="2"/>
    <x v="1"/>
    <n v="9813.07"/>
    <n v="25"/>
    <x v="1"/>
    <n v="3512.69"/>
    <n v="3964.63"/>
    <x v="0"/>
    <n v="0.03"/>
    <s v="Credit Card"/>
    <x v="1"/>
    <s v="South-David"/>
    <n v="87817.25"/>
    <x v="0"/>
    <n v="96142.277499999997"/>
    <n v="8325.0274999999965"/>
    <x v="3"/>
    <n v="8.6590704073969904E-2"/>
  </r>
  <r>
    <s v="sales_2023_H2.csv"/>
    <s v="1077"/>
    <d v="2023-10-12T00:00:00"/>
    <x v="2"/>
    <x v="1"/>
    <n v="628.15"/>
    <n v="23"/>
    <x v="2"/>
    <n v="557.52"/>
    <n v="822.39"/>
    <x v="0"/>
    <n v="0.28999999999999998"/>
    <s v="Credit Card"/>
    <x v="0"/>
    <s v="South-David"/>
    <n v="12822.96"/>
    <x v="0"/>
    <n v="13429.628699999999"/>
    <n v="606.66870000000017"/>
    <x v="3"/>
    <n v="4.5173899707294199E-2"/>
  </r>
  <r>
    <s v="sales_2023_H2.csv"/>
    <s v="1008"/>
    <d v="2023-10-13T00:00:00"/>
    <x v="0"/>
    <x v="2"/>
    <n v="1558.3"/>
    <n v="24"/>
    <x v="2"/>
    <n v="1542.24"/>
    <n v="1739.45"/>
    <x v="0"/>
    <n v="0.21"/>
    <s v="Bank Transfer"/>
    <x v="1"/>
    <s v="West-Eve"/>
    <n v="37013.760000000002"/>
    <x v="0"/>
    <n v="32979.972000000002"/>
    <n v="-4033.7880000000005"/>
    <x v="3"/>
    <n v="-0.122310231191221"/>
  </r>
  <r>
    <s v="sales_2023_H2.csv"/>
    <s v="1099"/>
    <d v="2023-10-13T00:00:00"/>
    <x v="1"/>
    <x v="0"/>
    <n v="7614.15"/>
    <n v="14"/>
    <x v="3"/>
    <n v="1996.64"/>
    <n v="2341.4699999999998"/>
    <x v="0"/>
    <n v="0.22"/>
    <s v="Credit Card"/>
    <x v="0"/>
    <s v="North-Charlie"/>
    <n v="27952.960000000003"/>
    <x v="0"/>
    <n v="25568.852399999996"/>
    <n v="-2384.1076000000066"/>
    <x v="3"/>
    <n v="-9.3242651750768707E-2"/>
  </r>
  <r>
    <s v="sales_2023_H2.csv"/>
    <s v="1002"/>
    <d v="2023-10-14T00:00:00"/>
    <x v="2"/>
    <x v="1"/>
    <n v="8951.5300000000007"/>
    <n v="39"/>
    <x v="0"/>
    <n v="1004.71"/>
    <n v="1389.35"/>
    <x v="1"/>
    <n v="0.24"/>
    <s v="Bank Transfer"/>
    <x v="0"/>
    <s v="South-David"/>
    <n v="39183.69"/>
    <x v="0"/>
    <n v="41180.333999999995"/>
    <n v="1996.643999999993"/>
    <x v="3"/>
    <n v="4.8485376539199397E-2"/>
  </r>
  <r>
    <s v="sales_2023_H2.csv"/>
    <s v="1076"/>
    <d v="2023-10-14T00:00:00"/>
    <x v="1"/>
    <x v="1"/>
    <n v="8674.35"/>
    <n v="23"/>
    <x v="3"/>
    <n v="1727.78"/>
    <n v="1984.34"/>
    <x v="0"/>
    <n v="0.24"/>
    <s v="Bank Transfer"/>
    <x v="0"/>
    <s v="South-Charlie"/>
    <n v="39738.94"/>
    <x v="0"/>
    <n v="34686.263200000001"/>
    <n v="-5052.6768000000011"/>
    <x v="3"/>
    <n v="-0.14566794845747499"/>
  </r>
  <r>
    <s v="sales_2023_H2.csv"/>
    <s v="1048"/>
    <d v="2023-10-15T00:00:00"/>
    <x v="1"/>
    <x v="0"/>
    <n v="4510.8599999999997"/>
    <n v="42"/>
    <x v="2"/>
    <n v="3139.99"/>
    <n v="3349.37"/>
    <x v="0"/>
    <n v="0.13"/>
    <s v="Credit Card"/>
    <x v="1"/>
    <s v="North-Charlie"/>
    <n v="131879.57999999999"/>
    <x v="0"/>
    <n v="122385.9798"/>
    <n v="-9493.6001999999862"/>
    <x v="3"/>
    <n v="-7.7570978436534793E-2"/>
  </r>
  <r>
    <s v="sales_2023_H2.csv"/>
    <s v="1025"/>
    <d v="2023-10-15T00:00:00"/>
    <x v="2"/>
    <x v="0"/>
    <n v="3422.54"/>
    <n v="44"/>
    <x v="3"/>
    <n v="1485.72"/>
    <n v="1717.97"/>
    <x v="1"/>
    <n v="0.02"/>
    <s v="Credit Card"/>
    <x v="1"/>
    <s v="North-David"/>
    <n v="65371.68"/>
    <x v="0"/>
    <n v="74078.866399999999"/>
    <n v="8707.1863999999987"/>
    <x v="3"/>
    <n v="0.11753941202318401"/>
  </r>
  <r>
    <s v="sales_2023_H2.csv"/>
    <s v="1035"/>
    <d v="2023-10-15T00:00:00"/>
    <x v="2"/>
    <x v="0"/>
    <n v="9476.2000000000007"/>
    <n v="1"/>
    <x v="1"/>
    <n v="610.83000000000004"/>
    <n v="808.69"/>
    <x v="1"/>
    <n v="0.22"/>
    <s v="Credit Card"/>
    <x v="0"/>
    <s v="North-David"/>
    <n v="610.83000000000004"/>
    <x v="0"/>
    <n v="630.77820000000008"/>
    <n v="19.948200000000043"/>
    <x v="3"/>
    <n v="3.16247454334979E-2"/>
  </r>
  <r>
    <s v="sales_2023_H2.csv"/>
    <s v="1038"/>
    <d v="2023-10-15T00:00:00"/>
    <x v="2"/>
    <x v="2"/>
    <n v="8020.03"/>
    <n v="31"/>
    <x v="0"/>
    <n v="2709.84"/>
    <n v="2766.51"/>
    <x v="1"/>
    <n v="0.19"/>
    <s v="Cash"/>
    <x v="1"/>
    <s v="West-David"/>
    <n v="84005.040000000008"/>
    <x v="0"/>
    <n v="69467.066100000011"/>
    <n v="-14537.973899999997"/>
    <x v="3"/>
    <n v="-0.209278651254281"/>
  </r>
  <r>
    <s v="sales_2023_H2.csv"/>
    <s v="1069"/>
    <d v="2023-10-15T00:00:00"/>
    <x v="3"/>
    <x v="2"/>
    <n v="1688.58"/>
    <n v="46"/>
    <x v="3"/>
    <n v="3663.51"/>
    <n v="4007.98"/>
    <x v="1"/>
    <n v="0.13"/>
    <s v="Cash"/>
    <x v="0"/>
    <s v="West-Bob"/>
    <n v="168521.46000000002"/>
    <x v="0"/>
    <n v="160399.3596"/>
    <n v="-8122.1004000000248"/>
    <x v="3"/>
    <n v="-5.0636738327726E-2"/>
  </r>
  <r>
    <s v="sales_2023_H2.csv"/>
    <s v="1099"/>
    <d v="2023-10-15T00:00:00"/>
    <x v="2"/>
    <x v="3"/>
    <n v="6807.56"/>
    <n v="39"/>
    <x v="2"/>
    <n v="3592.89"/>
    <n v="4004"/>
    <x v="1"/>
    <n v="0.13"/>
    <s v="Cash"/>
    <x v="0"/>
    <s v="East-David"/>
    <n v="140122.71"/>
    <x v="0"/>
    <n v="135855.72"/>
    <n v="-4266.9899999999907"/>
    <x v="3"/>
    <n v="-3.1408246925488201E-2"/>
  </r>
  <r>
    <s v="sales_2023_H2.csv"/>
    <s v="1090"/>
    <d v="2023-10-15T00:00:00"/>
    <x v="1"/>
    <x v="1"/>
    <n v="9702.27"/>
    <n v="48"/>
    <x v="2"/>
    <n v="4766.53"/>
    <n v="5253.07"/>
    <x v="0"/>
    <n v="0.01"/>
    <s v="Bank Transfer"/>
    <x v="0"/>
    <s v="South-Charlie"/>
    <n v="228793.44"/>
    <x v="0"/>
    <n v="249625.88639999999"/>
    <n v="20832.446399999986"/>
    <x v="3"/>
    <n v="8.3454671710681994E-2"/>
  </r>
  <r>
    <s v="sales_2023_H2.csv"/>
    <s v="1053"/>
    <d v="2023-10-16T00:00:00"/>
    <x v="3"/>
    <x v="0"/>
    <n v="2235.83"/>
    <n v="48"/>
    <x v="1"/>
    <n v="121.19"/>
    <n v="487.65"/>
    <x v="1"/>
    <n v="0.18"/>
    <s v="Cash"/>
    <x v="1"/>
    <s v="North-Bob"/>
    <n v="5817.12"/>
    <x v="0"/>
    <n v="19193.903999999999"/>
    <n v="13376.784"/>
    <x v="3"/>
    <n v="0.696928774886026"/>
  </r>
  <r>
    <s v="sales_2023_H2.csv"/>
    <s v="1015"/>
    <d v="2023-10-16T00:00:00"/>
    <x v="1"/>
    <x v="0"/>
    <n v="7946.69"/>
    <n v="23"/>
    <x v="3"/>
    <n v="2937.94"/>
    <n v="3007.53"/>
    <x v="0"/>
    <n v="0.03"/>
    <s v="Cash"/>
    <x v="1"/>
    <s v="North-Charlie"/>
    <n v="67572.62"/>
    <x v="0"/>
    <n v="67097.994300000006"/>
    <n v="-474.62569999998959"/>
    <x v="3"/>
    <n v="-7.0736197847867596E-3"/>
  </r>
  <r>
    <s v="sales_2023_H2.csv"/>
    <s v="1063"/>
    <d v="2023-10-16T00:00:00"/>
    <x v="1"/>
    <x v="0"/>
    <n v="9775.35"/>
    <n v="4"/>
    <x v="0"/>
    <n v="1134.67"/>
    <n v="1201.3900000000001"/>
    <x v="1"/>
    <n v="0.3"/>
    <s v="Bank Transfer"/>
    <x v="1"/>
    <s v="North-Charlie"/>
    <n v="4538.68"/>
    <x v="0"/>
    <n v="3363.8920000000003"/>
    <n v="-1174.788"/>
    <x v="3"/>
    <n v="-0.34923475545588301"/>
  </r>
  <r>
    <s v="sales_2023_H2.csv"/>
    <s v="1016"/>
    <d v="2023-10-16T00:00:00"/>
    <x v="0"/>
    <x v="2"/>
    <n v="8786.9500000000007"/>
    <n v="11"/>
    <x v="2"/>
    <n v="3094.57"/>
    <n v="3565.6"/>
    <x v="0"/>
    <n v="0.1"/>
    <s v="Credit Card"/>
    <x v="1"/>
    <s v="West-Eve"/>
    <n v="34040.270000000004"/>
    <x v="0"/>
    <n v="35299.440000000002"/>
    <n v="1259.1699999999983"/>
    <x v="3"/>
    <n v="3.5671104130830397E-2"/>
  </r>
  <r>
    <s v="sales_2023_H2.csv"/>
    <s v="1061"/>
    <d v="2023-10-16T00:00:00"/>
    <x v="0"/>
    <x v="3"/>
    <n v="2227.64"/>
    <n v="37"/>
    <x v="1"/>
    <n v="4651.7700000000004"/>
    <n v="4984.3900000000003"/>
    <x v="0"/>
    <n v="0.12"/>
    <s v="Cash"/>
    <x v="1"/>
    <s v="East-Eve"/>
    <n v="172115.49000000002"/>
    <x v="0"/>
    <n v="162291.73840000003"/>
    <n v="-9823.7515999999887"/>
    <x v="3"/>
    <n v="-6.0531433681407801E-2"/>
  </r>
  <r>
    <s v="sales_2023_H2.csv"/>
    <s v="1051"/>
    <d v="2023-10-16T00:00:00"/>
    <x v="4"/>
    <x v="2"/>
    <n v="7617"/>
    <n v="43"/>
    <x v="0"/>
    <n v="287.99"/>
    <n v="666.64"/>
    <x v="0"/>
    <n v="0"/>
    <s v="Bank Transfer"/>
    <x v="0"/>
    <s v="West-Alice"/>
    <n v="12383.57"/>
    <x v="0"/>
    <n v="28665.52"/>
    <n v="16281.95"/>
    <x v="3"/>
    <n v="0.56799771990879599"/>
  </r>
  <r>
    <s v="sales_2023_H2.csv"/>
    <s v="1055"/>
    <d v="2023-10-16T00:00:00"/>
    <x v="2"/>
    <x v="3"/>
    <n v="3093.95"/>
    <n v="46"/>
    <x v="0"/>
    <n v="4173.5200000000004"/>
    <n v="4294.8500000000004"/>
    <x v="0"/>
    <n v="0.03"/>
    <s v="Bank Transfer"/>
    <x v="1"/>
    <s v="East-David"/>
    <n v="191981.92"/>
    <x v="0"/>
    <n v="191636.20699999999"/>
    <n v="-345.71300000001793"/>
    <x v="3"/>
    <n v="-1.8040066927437E-3"/>
  </r>
  <r>
    <s v="sales_2023_H2.csv"/>
    <s v="1088"/>
    <d v="2023-10-18T00:00:00"/>
    <x v="0"/>
    <x v="2"/>
    <n v="177.63"/>
    <n v="16"/>
    <x v="1"/>
    <n v="3016.9"/>
    <n v="3040.73"/>
    <x v="1"/>
    <n v="0.26"/>
    <s v="Bank Transfer"/>
    <x v="1"/>
    <s v="West-Eve"/>
    <n v="48270.400000000001"/>
    <x v="0"/>
    <n v="36002.243199999997"/>
    <n v="-12268.156800000004"/>
    <x v="3"/>
    <n v="-0.34076090014302202"/>
  </r>
  <r>
    <s v="sales_2023_H2.csv"/>
    <s v="1098"/>
    <d v="2023-10-18T00:00:00"/>
    <x v="0"/>
    <x v="2"/>
    <n v="1600.79"/>
    <n v="21"/>
    <x v="1"/>
    <n v="725.03"/>
    <n v="828.95"/>
    <x v="1"/>
    <n v="0.18"/>
    <s v="Bank Transfer"/>
    <x v="0"/>
    <s v="West-Eve"/>
    <n v="15225.63"/>
    <x v="0"/>
    <n v="14274.519000000002"/>
    <n v="-951.11099999999715"/>
    <x v="3"/>
    <n v="-6.6629985921066601E-2"/>
  </r>
  <r>
    <s v="sales_2023_H2.csv"/>
    <s v="1059"/>
    <d v="2023-10-18T00:00:00"/>
    <x v="4"/>
    <x v="0"/>
    <n v="5097.4799999999996"/>
    <n v="28"/>
    <x v="2"/>
    <n v="224.32"/>
    <n v="715.06"/>
    <x v="0"/>
    <n v="0.01"/>
    <s v="Credit Card"/>
    <x v="0"/>
    <s v="North-Alice"/>
    <n v="6280.96"/>
    <x v="0"/>
    <n v="19821.463199999998"/>
    <n v="13540.503199999999"/>
    <x v="3"/>
    <n v="0.68312329233091096"/>
  </r>
  <r>
    <s v="sales_2023_H2.csv"/>
    <s v="1089"/>
    <d v="2023-10-18T00:00:00"/>
    <x v="2"/>
    <x v="0"/>
    <n v="7405.38"/>
    <n v="15"/>
    <x v="3"/>
    <n v="3841.05"/>
    <n v="4323.62"/>
    <x v="0"/>
    <n v="0.28999999999999998"/>
    <s v="Credit Card"/>
    <x v="1"/>
    <s v="North-David"/>
    <n v="57615.75"/>
    <x v="0"/>
    <n v="46046.552999999993"/>
    <n v="-11569.197000000007"/>
    <x v="3"/>
    <n v="-0.25125001213445902"/>
  </r>
  <r>
    <s v="sales_2023_H2.csv"/>
    <s v="1089"/>
    <d v="2023-10-19T00:00:00"/>
    <x v="0"/>
    <x v="2"/>
    <n v="9933.2199999999993"/>
    <n v="23"/>
    <x v="3"/>
    <n v="2120.54"/>
    <n v="2597.67"/>
    <x v="0"/>
    <n v="0.26"/>
    <s v="Credit Card"/>
    <x v="1"/>
    <s v="West-Eve"/>
    <n v="48772.42"/>
    <x v="0"/>
    <n v="44212.343400000005"/>
    <n v="-4560.0765999999931"/>
    <x v="3"/>
    <n v="-0.103140350619822"/>
  </r>
  <r>
    <s v="sales_2023_H2.csv"/>
    <s v="1049"/>
    <d v="2023-10-19T00:00:00"/>
    <x v="0"/>
    <x v="1"/>
    <n v="1966.55"/>
    <n v="30"/>
    <x v="0"/>
    <n v="4697.4399999999996"/>
    <n v="4752.24"/>
    <x v="1"/>
    <n v="0.28000000000000003"/>
    <s v="Credit Card"/>
    <x v="0"/>
    <s v="South-Eve"/>
    <n v="140923.19999999998"/>
    <x v="0"/>
    <n v="102648.38399999998"/>
    <n v="-38274.816000000006"/>
    <x v="3"/>
    <n v="-0.37287304980855801"/>
  </r>
  <r>
    <s v="sales_2023_H2.csv"/>
    <s v="1036"/>
    <d v="2023-10-20T00:00:00"/>
    <x v="2"/>
    <x v="0"/>
    <n v="6499.94"/>
    <n v="49"/>
    <x v="0"/>
    <n v="1247.0999999999999"/>
    <n v="1429.44"/>
    <x v="1"/>
    <n v="0.16"/>
    <s v="Cash"/>
    <x v="0"/>
    <s v="North-David"/>
    <n v="61107.899999999994"/>
    <x v="0"/>
    <n v="58835.750399999997"/>
    <n v="-2272.149599999997"/>
    <x v="3"/>
    <n v="-3.86185199398765E-2"/>
  </r>
  <r>
    <s v="sales_2023_H2.csv"/>
    <s v="1002"/>
    <d v="2023-10-20T00:00:00"/>
    <x v="2"/>
    <x v="0"/>
    <n v="5842.88"/>
    <n v="30"/>
    <x v="0"/>
    <n v="4646.55"/>
    <n v="4784.28"/>
    <x v="0"/>
    <n v="0.1"/>
    <s v="Credit Card"/>
    <x v="1"/>
    <s v="North-David"/>
    <n v="139396.5"/>
    <x v="0"/>
    <n v="129175.56"/>
    <n v="-10220.940000000002"/>
    <x v="3"/>
    <n v="-7.9124410221252398E-2"/>
  </r>
  <r>
    <s v="sales_2023_H2.csv"/>
    <s v="1099"/>
    <d v="2023-10-20T00:00:00"/>
    <x v="2"/>
    <x v="1"/>
    <n v="7859.22"/>
    <n v="23"/>
    <x v="0"/>
    <n v="93.45"/>
    <n v="181.62"/>
    <x v="0"/>
    <n v="0.3"/>
    <s v="Bank Transfer"/>
    <x v="1"/>
    <s v="South-David"/>
    <n v="2149.35"/>
    <x v="0"/>
    <n v="2924.0819999999999"/>
    <n v="774.73199999999997"/>
    <x v="3"/>
    <n v="0.26494879418566197"/>
  </r>
  <r>
    <s v="sales_2023_H2.csv"/>
    <s v="1048"/>
    <d v="2023-10-20T00:00:00"/>
    <x v="4"/>
    <x v="1"/>
    <n v="9688.52"/>
    <n v="6"/>
    <x v="2"/>
    <n v="3717.3"/>
    <n v="4061.37"/>
    <x v="1"/>
    <n v="0.03"/>
    <s v="Bank Transfer"/>
    <x v="1"/>
    <s v="South-Alice"/>
    <n v="22303.800000000003"/>
    <x v="0"/>
    <n v="23637.1734"/>
    <n v="1333.3733999999968"/>
    <x v="3"/>
    <n v="5.6410018974603598E-2"/>
  </r>
  <r>
    <s v="sales_2023_H2.csv"/>
    <s v="1043"/>
    <d v="2023-10-20T00:00:00"/>
    <x v="1"/>
    <x v="1"/>
    <n v="5081.01"/>
    <n v="22"/>
    <x v="3"/>
    <n v="530.04"/>
    <n v="759.32"/>
    <x v="0"/>
    <n v="0.17"/>
    <s v="Bank Transfer"/>
    <x v="1"/>
    <s v="South-Charlie"/>
    <n v="11660.88"/>
    <x v="0"/>
    <n v="13865.183199999999"/>
    <n v="2204.3032000000003"/>
    <x v="3"/>
    <n v="0.15898118100596001"/>
  </r>
  <r>
    <s v="sales_2023_H2.csv"/>
    <s v="1096"/>
    <d v="2023-10-20T00:00:00"/>
    <x v="2"/>
    <x v="1"/>
    <n v="7051.25"/>
    <n v="10"/>
    <x v="0"/>
    <n v="2927.02"/>
    <n v="3387.21"/>
    <x v="0"/>
    <n v="0.12"/>
    <s v="Cash"/>
    <x v="1"/>
    <s v="South-David"/>
    <n v="29270.2"/>
    <x v="0"/>
    <n v="29807.448"/>
    <n v="537.24799999999959"/>
    <x v="3"/>
    <n v="1.8023951597600701E-2"/>
  </r>
  <r>
    <s v="sales_2023_H2.csv"/>
    <s v="1013"/>
    <d v="2023-10-20T00:00:00"/>
    <x v="2"/>
    <x v="3"/>
    <n v="6095.82"/>
    <n v="46"/>
    <x v="2"/>
    <n v="1648.8"/>
    <n v="1670.36"/>
    <x v="0"/>
    <n v="0.09"/>
    <s v="Credit Card"/>
    <x v="1"/>
    <s v="East-David"/>
    <n v="75844.800000000003"/>
    <x v="0"/>
    <n v="69921.2696"/>
    <n v="-5923.5304000000033"/>
    <x v="3"/>
    <n v="-8.4717145925508205E-2"/>
  </r>
  <r>
    <s v="sales_2023_H2.csv"/>
    <s v="1086"/>
    <d v="2023-10-20T00:00:00"/>
    <x v="2"/>
    <x v="1"/>
    <n v="3577.07"/>
    <n v="32"/>
    <x v="1"/>
    <n v="84.86"/>
    <n v="517.17999999999995"/>
    <x v="0"/>
    <n v="0.2"/>
    <s v="Credit Card"/>
    <x v="1"/>
    <s v="South-David"/>
    <n v="2715.52"/>
    <x v="0"/>
    <n v="13239.807999999999"/>
    <n v="10524.287999999999"/>
    <x v="3"/>
    <n v="0.79489732781623401"/>
  </r>
  <r>
    <s v="sales_2023_H2.csv"/>
    <s v="1013"/>
    <d v="2023-10-21T00:00:00"/>
    <x v="2"/>
    <x v="3"/>
    <n v="5039.07"/>
    <n v="20"/>
    <x v="2"/>
    <n v="1533.36"/>
    <n v="1649.74"/>
    <x v="0"/>
    <n v="0.1"/>
    <s v="Bank Transfer"/>
    <x v="0"/>
    <s v="East-David"/>
    <n v="30667.199999999997"/>
    <x v="0"/>
    <n v="29695.320000000003"/>
    <n v="-971.87999999999374"/>
    <x v="3"/>
    <n v="-3.2728389524005599E-2"/>
  </r>
  <r>
    <s v="sales_2023_H2.csv"/>
    <s v="1073"/>
    <d v="2023-10-21T00:00:00"/>
    <x v="4"/>
    <x v="2"/>
    <n v="1365.88"/>
    <n v="45"/>
    <x v="1"/>
    <n v="2558.09"/>
    <n v="2958.55"/>
    <x v="1"/>
    <n v="0.08"/>
    <s v="Cash"/>
    <x v="0"/>
    <s v="West-Alice"/>
    <n v="115114.05"/>
    <x v="0"/>
    <n v="122483.97"/>
    <n v="7369.9199999999983"/>
    <x v="3"/>
    <n v="6.0170485982778001E-2"/>
  </r>
  <r>
    <s v="sales_2023_H2.csv"/>
    <s v="1012"/>
    <d v="2023-10-22T00:00:00"/>
    <x v="2"/>
    <x v="0"/>
    <n v="4384.88"/>
    <n v="34"/>
    <x v="1"/>
    <n v="2462.5500000000002"/>
    <n v="2521.77"/>
    <x v="1"/>
    <n v="0.21"/>
    <s v="Bank Transfer"/>
    <x v="1"/>
    <s v="North-David"/>
    <n v="83726.700000000012"/>
    <x v="0"/>
    <n v="67734.742199999993"/>
    <n v="-15991.957800000018"/>
    <x v="3"/>
    <n v="-0.23609682831272399"/>
  </r>
  <r>
    <s v="sales_2023_H2.csv"/>
    <s v="1060"/>
    <d v="2023-10-22T00:00:00"/>
    <x v="3"/>
    <x v="0"/>
    <n v="2661.25"/>
    <n v="11"/>
    <x v="1"/>
    <n v="3648.04"/>
    <n v="4143.51"/>
    <x v="0"/>
    <n v="0.17"/>
    <s v="Credit Card"/>
    <x v="1"/>
    <s v="North-Bob"/>
    <n v="40128.44"/>
    <x v="0"/>
    <n v="37830.246299999999"/>
    <n v="-2298.1937000000034"/>
    <x v="3"/>
    <n v="-6.0750164875347498E-2"/>
  </r>
  <r>
    <s v="sales_2023_H2.csv"/>
    <s v="1099"/>
    <d v="2023-10-22T00:00:00"/>
    <x v="3"/>
    <x v="2"/>
    <n v="1514.14"/>
    <n v="43"/>
    <x v="0"/>
    <n v="906.47"/>
    <n v="1283.04"/>
    <x v="1"/>
    <n v="0.24"/>
    <s v="Cash"/>
    <x v="0"/>
    <s v="West-Bob"/>
    <n v="38978.21"/>
    <x v="0"/>
    <n v="41929.747199999998"/>
    <n v="2951.5371999999988"/>
    <x v="3"/>
    <n v="7.0392439666318807E-2"/>
  </r>
  <r>
    <s v="sales_2023_H2.csv"/>
    <s v="1057"/>
    <d v="2023-10-22T00:00:00"/>
    <x v="0"/>
    <x v="1"/>
    <n v="3297.97"/>
    <n v="40"/>
    <x v="0"/>
    <n v="3233.37"/>
    <n v="3723.21"/>
    <x v="1"/>
    <n v="0.22"/>
    <s v="Bank Transfer"/>
    <x v="1"/>
    <s v="South-Eve"/>
    <n v="129334.79999999999"/>
    <x v="0"/>
    <n v="116164.152"/>
    <n v="-13170.647999999986"/>
    <x v="3"/>
    <n v="-0.11337962506712"/>
  </r>
  <r>
    <s v="sales_2023_H2.csv"/>
    <s v="1060"/>
    <d v="2023-10-23T00:00:00"/>
    <x v="3"/>
    <x v="2"/>
    <n v="6395.95"/>
    <n v="46"/>
    <x v="0"/>
    <n v="1747.05"/>
    <n v="1830.27"/>
    <x v="1"/>
    <n v="0.15"/>
    <s v="Bank Transfer"/>
    <x v="1"/>
    <s v="West-Bob"/>
    <n v="80364.3"/>
    <x v="0"/>
    <n v="71563.557000000001"/>
    <n v="-8800.7430000000022"/>
    <x v="3"/>
    <n v="-0.122977998424533"/>
  </r>
  <r>
    <s v="sales_2023_H2.csv"/>
    <s v="1073"/>
    <d v="2023-10-23T00:00:00"/>
    <x v="1"/>
    <x v="1"/>
    <n v="4650.68"/>
    <n v="45"/>
    <x v="0"/>
    <n v="4369.5"/>
    <n v="4381.8900000000003"/>
    <x v="0"/>
    <n v="0.02"/>
    <s v="Credit Card"/>
    <x v="1"/>
    <s v="South-Charlie"/>
    <n v="196627.5"/>
    <x v="0"/>
    <n v="193241.34900000002"/>
    <n v="-3386.1509999999835"/>
    <x v="3"/>
    <n v="-1.7522911206752E-2"/>
  </r>
  <r>
    <s v="sales_2023_H2.csv"/>
    <s v="1054"/>
    <d v="2023-10-23T00:00:00"/>
    <x v="2"/>
    <x v="3"/>
    <n v="4252.54"/>
    <n v="8"/>
    <x v="3"/>
    <n v="4117.13"/>
    <n v="4177.0600000000004"/>
    <x v="0"/>
    <n v="0.25"/>
    <s v="Bank Transfer"/>
    <x v="1"/>
    <s v="East-David"/>
    <n v="32937.040000000001"/>
    <x v="0"/>
    <n v="25062.36"/>
    <n v="-7874.68"/>
    <x v="3"/>
    <n v="-0.31420345091204499"/>
  </r>
  <r>
    <s v="sales_2023_H2.csv"/>
    <s v="1054"/>
    <d v="2023-10-23T00:00:00"/>
    <x v="2"/>
    <x v="1"/>
    <n v="4392.47"/>
    <n v="48"/>
    <x v="2"/>
    <n v="4325.0200000000004"/>
    <n v="4391.67"/>
    <x v="0"/>
    <n v="0.16"/>
    <s v="Credit Card"/>
    <x v="1"/>
    <s v="South-David"/>
    <n v="207600.96000000002"/>
    <x v="0"/>
    <n v="177072.13440000001"/>
    <n v="-30528.825600000011"/>
    <x v="3"/>
    <n v="-0.17240897729868901"/>
  </r>
  <r>
    <s v="sales_2023_H2.csv"/>
    <s v="1023"/>
    <d v="2023-10-23T00:00:00"/>
    <x v="2"/>
    <x v="1"/>
    <n v="9519.76"/>
    <n v="42"/>
    <x v="3"/>
    <n v="309.77999999999997"/>
    <n v="350.38"/>
    <x v="0"/>
    <n v="0.19"/>
    <s v="Credit Card"/>
    <x v="1"/>
    <s v="South-David"/>
    <n v="13010.759999999998"/>
    <x v="0"/>
    <n v="11919.927600000001"/>
    <n v="-1090.8323999999975"/>
    <x v="3"/>
    <n v="-9.1513341070963997E-2"/>
  </r>
  <r>
    <s v="sales_2023_H2.csv"/>
    <s v="1087"/>
    <d v="2023-10-24T00:00:00"/>
    <x v="3"/>
    <x v="3"/>
    <n v="7825.62"/>
    <n v="28"/>
    <x v="0"/>
    <n v="551.83000000000004"/>
    <n v="569.63"/>
    <x v="1"/>
    <n v="0.13"/>
    <s v="Credit Card"/>
    <x v="1"/>
    <s v="East-Bob"/>
    <n v="15451.240000000002"/>
    <x v="0"/>
    <n v="13876.186799999999"/>
    <n v="-1575.0532000000021"/>
    <x v="3"/>
    <n v="-0.113507638856519"/>
  </r>
  <r>
    <s v="sales_2023_H2.csv"/>
    <s v="1026"/>
    <d v="2023-10-24T00:00:00"/>
    <x v="2"/>
    <x v="3"/>
    <n v="2044.55"/>
    <n v="45"/>
    <x v="3"/>
    <n v="1741.66"/>
    <n v="2169.86"/>
    <x v="0"/>
    <n v="0.14000000000000001"/>
    <s v="Credit Card"/>
    <x v="0"/>
    <s v="East-David"/>
    <n v="78374.7"/>
    <x v="0"/>
    <n v="83973.582000000009"/>
    <n v="5598.8820000000123"/>
    <x v="3"/>
    <n v="6.6674326218452998E-2"/>
  </r>
  <r>
    <s v="sales_2023_H2.csv"/>
    <s v="1097"/>
    <d v="2023-10-26T00:00:00"/>
    <x v="4"/>
    <x v="3"/>
    <n v="7633.98"/>
    <n v="27"/>
    <x v="2"/>
    <n v="4686.79"/>
    <n v="5046.51"/>
    <x v="0"/>
    <n v="0.05"/>
    <s v="Credit Card"/>
    <x v="1"/>
    <s v="East-Alice"/>
    <n v="126543.33"/>
    <x v="0"/>
    <n v="129442.98150000001"/>
    <n v="2899.6515000000072"/>
    <x v="3"/>
    <n v="2.2400994371409799E-2"/>
  </r>
  <r>
    <s v="sales_2023_H2.csv"/>
    <s v="1089"/>
    <d v="2023-10-27T00:00:00"/>
    <x v="2"/>
    <x v="0"/>
    <n v="7751.92"/>
    <n v="43"/>
    <x v="1"/>
    <n v="3851.45"/>
    <n v="4186.9799999999996"/>
    <x v="0"/>
    <n v="0.3"/>
    <s v="Credit Card"/>
    <x v="0"/>
    <s v="North-David"/>
    <n v="165612.35"/>
    <x v="0"/>
    <n v="126028.09799999998"/>
    <n v="-39584.252000000022"/>
    <x v="3"/>
    <n v="-0.31409068793532102"/>
  </r>
  <r>
    <s v="sales_2023_H2.csv"/>
    <s v="1087"/>
    <d v="2023-10-27T00:00:00"/>
    <x v="0"/>
    <x v="0"/>
    <n v="1515.71"/>
    <n v="27"/>
    <x v="3"/>
    <n v="3139.36"/>
    <n v="3423.66"/>
    <x v="1"/>
    <n v="0.18"/>
    <s v="Credit Card"/>
    <x v="0"/>
    <s v="North-Eve"/>
    <n v="84762.72"/>
    <x v="0"/>
    <n v="75799.832399999999"/>
    <n v="-8962.8876000000018"/>
    <x v="3"/>
    <n v="-0.11824416118366"/>
  </r>
  <r>
    <s v="sales_2023_H2.csv"/>
    <s v="1033"/>
    <d v="2023-10-28T00:00:00"/>
    <x v="2"/>
    <x v="0"/>
    <n v="1115.42"/>
    <n v="43"/>
    <x v="0"/>
    <n v="4781.42"/>
    <n v="4864.34"/>
    <x v="0"/>
    <n v="0.25"/>
    <s v="Bank Transfer"/>
    <x v="0"/>
    <s v="North-David"/>
    <n v="205601.06"/>
    <x v="0"/>
    <n v="156874.965"/>
    <n v="-48726.095000000001"/>
    <x v="3"/>
    <n v="-0.31060465893968497"/>
  </r>
  <r>
    <s v="sales_2023_H2.csv"/>
    <s v="1091"/>
    <d v="2023-10-28T00:00:00"/>
    <x v="3"/>
    <x v="2"/>
    <n v="7611.28"/>
    <n v="39"/>
    <x v="1"/>
    <n v="2184.4899999999998"/>
    <n v="2540.42"/>
    <x v="0"/>
    <n v="0.27"/>
    <s v="Bank Transfer"/>
    <x v="0"/>
    <s v="West-Bob"/>
    <n v="85195.109999999986"/>
    <x v="0"/>
    <n v="72325.757400000002"/>
    <n v="-12869.352599999984"/>
    <x v="3"/>
    <n v="-0.177935953422867"/>
  </r>
  <r>
    <s v="sales_2023_H2.csv"/>
    <s v="1079"/>
    <d v="2023-10-28T00:00:00"/>
    <x v="3"/>
    <x v="2"/>
    <n v="1558.03"/>
    <n v="38"/>
    <x v="1"/>
    <n v="1127.76"/>
    <n v="1265.6600000000001"/>
    <x v="0"/>
    <n v="0.26"/>
    <s v="Bank Transfer"/>
    <x v="1"/>
    <s v="West-Bob"/>
    <n v="42854.879999999997"/>
    <x v="0"/>
    <n v="35590.359199999999"/>
    <n v="-7264.5207999999984"/>
    <x v="3"/>
    <n v="-0.20411484916960301"/>
  </r>
  <r>
    <s v="sales_2023_H2.csv"/>
    <s v="1081"/>
    <d v="2023-10-28T00:00:00"/>
    <x v="1"/>
    <x v="0"/>
    <n v="5571.36"/>
    <n v="23"/>
    <x v="3"/>
    <n v="1411.37"/>
    <n v="1675.35"/>
    <x v="1"/>
    <n v="0.21"/>
    <s v="Cash"/>
    <x v="1"/>
    <s v="North-Charlie"/>
    <n v="32461.51"/>
    <x v="0"/>
    <n v="30441.109499999999"/>
    <n v="-2020.4004999999997"/>
    <x v="3"/>
    <n v="-6.6370790460183404E-2"/>
  </r>
  <r>
    <s v="sales_2023_H2.csv"/>
    <s v="1044"/>
    <d v="2023-10-29T00:00:00"/>
    <x v="1"/>
    <x v="0"/>
    <n v="1996.77"/>
    <n v="11"/>
    <x v="0"/>
    <n v="1812.66"/>
    <n v="2196.3000000000002"/>
    <x v="1"/>
    <n v="0.08"/>
    <s v="Cash"/>
    <x v="0"/>
    <s v="North-Charlie"/>
    <n v="19939.260000000002"/>
    <x v="0"/>
    <n v="22226.556000000004"/>
    <n v="2287.2960000000021"/>
    <x v="3"/>
    <n v="0.102908250832923"/>
  </r>
  <r>
    <s v="sales_2023_H2.csv"/>
    <s v="1019"/>
    <d v="2023-10-29T00:00:00"/>
    <x v="2"/>
    <x v="2"/>
    <n v="5952.19"/>
    <n v="31"/>
    <x v="3"/>
    <n v="333.69"/>
    <n v="685.1"/>
    <x v="1"/>
    <n v="0.04"/>
    <s v="Bank Transfer"/>
    <x v="0"/>
    <s v="West-David"/>
    <n v="10344.39"/>
    <x v="0"/>
    <n v="20388.576000000001"/>
    <n v="10044.186000000002"/>
    <x v="3"/>
    <n v="0.49263793606772699"/>
  </r>
  <r>
    <s v="sales_2023_H2.csv"/>
    <s v="1054"/>
    <d v="2023-10-29T00:00:00"/>
    <x v="2"/>
    <x v="2"/>
    <n v="4025.88"/>
    <n v="8"/>
    <x v="0"/>
    <n v="3610.21"/>
    <n v="3817.99"/>
    <x v="0"/>
    <n v="0.15"/>
    <s v="Cash"/>
    <x v="1"/>
    <s v="West-David"/>
    <n v="28881.68"/>
    <x v="0"/>
    <n v="25962.331999999999"/>
    <n v="-2919.3480000000018"/>
    <x v="3"/>
    <n v="-0.112445522998473"/>
  </r>
  <r>
    <s v="sales_2023_H2.csv"/>
    <s v="1034"/>
    <d v="2023-10-29T00:00:00"/>
    <x v="2"/>
    <x v="0"/>
    <n v="8919.4699999999993"/>
    <n v="34"/>
    <x v="3"/>
    <n v="978.15"/>
    <n v="1040.21"/>
    <x v="1"/>
    <n v="0.12"/>
    <s v="Credit Card"/>
    <x v="1"/>
    <s v="North-David"/>
    <n v="33257.1"/>
    <x v="0"/>
    <n v="31123.083200000001"/>
    <n v="-2134.0167999999976"/>
    <x v="3"/>
    <n v="-6.8567011381442999E-2"/>
  </r>
  <r>
    <s v="sales_2023_H2.csv"/>
    <s v="1017"/>
    <d v="2023-10-29T00:00:00"/>
    <x v="0"/>
    <x v="3"/>
    <n v="2141.9"/>
    <n v="1"/>
    <x v="1"/>
    <n v="641.67999999999995"/>
    <n v="752.24"/>
    <x v="1"/>
    <n v="0.22"/>
    <s v="Bank Transfer"/>
    <x v="0"/>
    <s v="East-Eve"/>
    <n v="641.67999999999995"/>
    <x v="0"/>
    <n v="586.74720000000002"/>
    <n v="-54.932799999999929"/>
    <x v="3"/>
    <n v="-9.3622602715445299E-2"/>
  </r>
  <r>
    <s v="sales_2023_H2.csv"/>
    <s v="1071"/>
    <d v="2023-10-30T00:00:00"/>
    <x v="4"/>
    <x v="2"/>
    <n v="189.48"/>
    <n v="22"/>
    <x v="2"/>
    <n v="2701.39"/>
    <n v="3185.81"/>
    <x v="1"/>
    <n v="0.01"/>
    <s v="Bank Transfer"/>
    <x v="0"/>
    <s v="West-Alice"/>
    <n v="59430.579999999994"/>
    <x v="0"/>
    <n v="69386.941799999986"/>
    <n v="9956.3617999999915"/>
    <x v="3"/>
    <n v="0.14349042545639301"/>
  </r>
  <r>
    <s v="sales_2023_H2.csv"/>
    <s v="1097"/>
    <d v="2023-10-30T00:00:00"/>
    <x v="0"/>
    <x v="2"/>
    <n v="6600.65"/>
    <n v="49"/>
    <x v="2"/>
    <n v="4264.46"/>
    <n v="4315.5200000000004"/>
    <x v="1"/>
    <n v="7.0000000000000007E-2"/>
    <s v="Cash"/>
    <x v="1"/>
    <s v="West-Eve"/>
    <n v="208958.54"/>
    <x v="0"/>
    <n v="196658.2464"/>
    <n v="-12300.293600000005"/>
    <x v="3"/>
    <n v="-6.2546543687679299E-2"/>
  </r>
  <r>
    <s v="sales_2023_H2.csv"/>
    <s v="1049"/>
    <d v="2023-10-30T00:00:00"/>
    <x v="4"/>
    <x v="3"/>
    <n v="2947.56"/>
    <n v="38"/>
    <x v="3"/>
    <n v="4243.9799999999996"/>
    <n v="4474.51"/>
    <x v="1"/>
    <n v="0.01"/>
    <s v="Credit Card"/>
    <x v="0"/>
    <s v="East-Alice"/>
    <n v="161271.24"/>
    <x v="0"/>
    <n v="168331.0662"/>
    <n v="7059.8262000000104"/>
    <x v="3"/>
    <n v="4.1940126438764297E-2"/>
  </r>
  <r>
    <s v="sales_2023_H2.csv"/>
    <s v="1029"/>
    <d v="2023-10-30T00:00:00"/>
    <x v="0"/>
    <x v="3"/>
    <n v="4333.25"/>
    <n v="16"/>
    <x v="2"/>
    <n v="2572.8000000000002"/>
    <n v="2760.6"/>
    <x v="0"/>
    <n v="0.15"/>
    <s v="Credit Card"/>
    <x v="1"/>
    <s v="East-Eve"/>
    <n v="41164.800000000003"/>
    <x v="0"/>
    <n v="37544.159999999996"/>
    <n v="-3620.6400000000067"/>
    <x v="3"/>
    <n v="-9.6436835981947799E-2"/>
  </r>
  <r>
    <s v="sales_2023_H2.csv"/>
    <s v="1053"/>
    <d v="2023-10-30T00:00:00"/>
    <x v="2"/>
    <x v="0"/>
    <n v="6033.09"/>
    <n v="1"/>
    <x v="3"/>
    <n v="2258.44"/>
    <n v="2475.56"/>
    <x v="1"/>
    <n v="0.25"/>
    <s v="Cash"/>
    <x v="0"/>
    <s v="North-David"/>
    <n v="2258.44"/>
    <x v="0"/>
    <n v="1856.67"/>
    <n v="-401.77"/>
    <x v="3"/>
    <n v="-0.21639278924095301"/>
  </r>
  <r>
    <s v="sales_2023_H2.csv"/>
    <s v="1033"/>
    <d v="2023-10-31T00:00:00"/>
    <x v="0"/>
    <x v="3"/>
    <n v="7982.79"/>
    <n v="18"/>
    <x v="1"/>
    <n v="3124.48"/>
    <n v="3553.27"/>
    <x v="0"/>
    <n v="0.12"/>
    <s v="Cash"/>
    <x v="1"/>
    <s v="East-Eve"/>
    <n v="56240.639999999999"/>
    <x v="0"/>
    <n v="56283.796800000004"/>
    <n v="43.156800000004296"/>
    <x v="3"/>
    <n v="7.6677129926679501E-4"/>
  </r>
  <r>
    <s v="sales_2023_H2.csv"/>
    <s v="1062"/>
    <d v="2023-11-01T00:00:00"/>
    <x v="3"/>
    <x v="3"/>
    <n v="3720.24"/>
    <n v="36"/>
    <x v="3"/>
    <n v="1050.6400000000001"/>
    <n v="1167.33"/>
    <x v="1"/>
    <n v="0.22"/>
    <s v="Cash"/>
    <x v="0"/>
    <s v="East-Bob"/>
    <n v="37823.040000000001"/>
    <x v="0"/>
    <n v="32778.626400000001"/>
    <n v="-5044.4135999999999"/>
    <x v="3"/>
    <n v="-0.15389337974211101"/>
  </r>
  <r>
    <s v="sales_2023_H2.csv"/>
    <s v="1009"/>
    <d v="2023-11-01T00:00:00"/>
    <x v="3"/>
    <x v="1"/>
    <n v="7172.8"/>
    <n v="14"/>
    <x v="3"/>
    <n v="547.79"/>
    <n v="958.76"/>
    <x v="0"/>
    <n v="7.0000000000000007E-2"/>
    <s v="Credit Card"/>
    <x v="1"/>
    <s v="South-Bob"/>
    <n v="7669.0599999999995"/>
    <x v="0"/>
    <n v="12483.055199999999"/>
    <n v="4813.9951999999994"/>
    <x v="3"/>
    <n v="0.38564238664906297"/>
  </r>
  <r>
    <s v="sales_2023_H2.csv"/>
    <s v="1026"/>
    <d v="2023-11-01T00:00:00"/>
    <x v="4"/>
    <x v="1"/>
    <n v="7895.13"/>
    <n v="36"/>
    <x v="0"/>
    <n v="3067.05"/>
    <n v="3386.33"/>
    <x v="1"/>
    <n v="0.2"/>
    <s v="Bank Transfer"/>
    <x v="0"/>
    <s v="South-Alice"/>
    <n v="110413.8"/>
    <x v="0"/>
    <n v="97526.304000000004"/>
    <n v="-12887.495999999999"/>
    <x v="3"/>
    <n v="-0.132143795790723"/>
  </r>
  <r>
    <s v="sales_2023_H2.csv"/>
    <s v="1096"/>
    <d v="2023-11-01T00:00:00"/>
    <x v="3"/>
    <x v="1"/>
    <n v="8718.2199999999993"/>
    <n v="17"/>
    <x v="3"/>
    <n v="2774.24"/>
    <n v="3069.94"/>
    <x v="0"/>
    <n v="0.23"/>
    <s v="Bank Transfer"/>
    <x v="1"/>
    <s v="South-Bob"/>
    <n v="47162.079999999994"/>
    <x v="0"/>
    <n v="40185.514600000002"/>
    <n v="-6976.5653999999922"/>
    <x v="3"/>
    <n v="-0.17360896008035701"/>
  </r>
  <r>
    <s v="sales_2023_H2.csv"/>
    <s v="1093"/>
    <d v="2023-11-01T00:00:00"/>
    <x v="1"/>
    <x v="0"/>
    <n v="664.09"/>
    <n v="46"/>
    <x v="0"/>
    <n v="401.64"/>
    <n v="757.26"/>
    <x v="1"/>
    <n v="0.21"/>
    <s v="Credit Card"/>
    <x v="1"/>
    <s v="North-Charlie"/>
    <n v="18475.439999999999"/>
    <x v="0"/>
    <n v="27518.828400000002"/>
    <n v="9043.3884000000035"/>
    <x v="3"/>
    <n v="0.32862548755891102"/>
  </r>
  <r>
    <s v="sales_2023_H2.csv"/>
    <s v="1028"/>
    <d v="2023-11-01T00:00:00"/>
    <x v="3"/>
    <x v="3"/>
    <n v="7946.69"/>
    <n v="24"/>
    <x v="3"/>
    <n v="911.11"/>
    <n v="1214.56"/>
    <x v="1"/>
    <n v="0.22"/>
    <s v="Bank Transfer"/>
    <x v="0"/>
    <s v="East-Bob"/>
    <n v="21866.639999999999"/>
    <x v="0"/>
    <n v="22736.563200000001"/>
    <n v="869.92320000000109"/>
    <x v="3"/>
    <n v="3.8260980445804602E-2"/>
  </r>
  <r>
    <s v="sales_2023_H2.csv"/>
    <s v="1069"/>
    <d v="2023-11-02T00:00:00"/>
    <x v="1"/>
    <x v="0"/>
    <n v="6283.68"/>
    <n v="23"/>
    <x v="1"/>
    <n v="530.24"/>
    <n v="987.41"/>
    <x v="0"/>
    <n v="0.23"/>
    <s v="Credit Card"/>
    <x v="0"/>
    <s v="North-Charlie"/>
    <n v="12195.52"/>
    <x v="0"/>
    <n v="17487.0311"/>
    <n v="5291.5110999999997"/>
    <x v="3"/>
    <n v="0.302596310931248"/>
  </r>
  <r>
    <s v="sales_2023_H2.csv"/>
    <s v="1058"/>
    <d v="2023-11-03T00:00:00"/>
    <x v="2"/>
    <x v="2"/>
    <n v="4050.45"/>
    <n v="42"/>
    <x v="0"/>
    <n v="3600.95"/>
    <n v="3702.84"/>
    <x v="0"/>
    <n v="0.01"/>
    <s v="Cash"/>
    <x v="1"/>
    <s v="West-David"/>
    <n v="151239.9"/>
    <x v="0"/>
    <n v="153964.08720000001"/>
    <n v="2724.1872000000149"/>
    <x v="3"/>
    <n v="1.7693653432707901E-2"/>
  </r>
  <r>
    <s v="sales_2023_H2.csv"/>
    <s v="1028"/>
    <d v="2023-11-03T00:00:00"/>
    <x v="4"/>
    <x v="0"/>
    <n v="5755.48"/>
    <n v="38"/>
    <x v="0"/>
    <n v="1234.69"/>
    <n v="1511.26"/>
    <x v="1"/>
    <n v="0.1"/>
    <s v="Bank Transfer"/>
    <x v="0"/>
    <s v="North-Alice"/>
    <n v="46918.22"/>
    <x v="0"/>
    <n v="51685.091999999997"/>
    <n v="4766.8719999999958"/>
    <x v="3"/>
    <n v="9.2229148010416595E-2"/>
  </r>
  <r>
    <s v="sales_2023_H2.csv"/>
    <s v="1065"/>
    <d v="2023-11-05T00:00:00"/>
    <x v="4"/>
    <x v="3"/>
    <n v="9519.16"/>
    <n v="3"/>
    <x v="1"/>
    <n v="4173.04"/>
    <n v="4362.4399999999996"/>
    <x v="1"/>
    <n v="0.23"/>
    <s v="Bank Transfer"/>
    <x v="1"/>
    <s v="East-Alice"/>
    <n v="12519.119999999999"/>
    <x v="0"/>
    <n v="10077.2364"/>
    <n v="-2441.8835999999992"/>
    <x v="3"/>
    <n v="-0.24231679233008799"/>
  </r>
  <r>
    <s v="sales_2023_H2.csv"/>
    <s v="1075"/>
    <d v="2023-11-05T00:00:00"/>
    <x v="3"/>
    <x v="3"/>
    <n v="8127.7"/>
    <n v="37"/>
    <x v="3"/>
    <n v="1675.51"/>
    <n v="1906.64"/>
    <x v="1"/>
    <n v="0.13"/>
    <s v="Bank Transfer"/>
    <x v="0"/>
    <s v="East-Bob"/>
    <n v="61993.87"/>
    <x v="0"/>
    <n v="61374.741600000008"/>
    <n v="-619.12839999999414"/>
    <x v="3"/>
    <n v="-1.00876742428516E-2"/>
  </r>
  <r>
    <s v="sales_2023_H2.csv"/>
    <s v="1087"/>
    <d v="2023-11-05T00:00:00"/>
    <x v="0"/>
    <x v="3"/>
    <n v="2106.06"/>
    <n v="30"/>
    <x v="2"/>
    <n v="698.74"/>
    <n v="882.28"/>
    <x v="0"/>
    <n v="0.15"/>
    <s v="Credit Card"/>
    <x v="0"/>
    <s v="East-Eve"/>
    <n v="20962.2"/>
    <x v="0"/>
    <n v="22498.139999999996"/>
    <n v="1535.9399999999951"/>
    <x v="3"/>
    <n v="6.8269643623872694E-2"/>
  </r>
  <r>
    <s v="sales_2023_H2.csv"/>
    <s v="1072"/>
    <d v="2023-11-05T00:00:00"/>
    <x v="2"/>
    <x v="2"/>
    <n v="5969.12"/>
    <n v="39"/>
    <x v="0"/>
    <n v="591.98"/>
    <n v="934.04"/>
    <x v="1"/>
    <n v="0.26"/>
    <s v="Bank Transfer"/>
    <x v="1"/>
    <s v="West-David"/>
    <n v="23087.22"/>
    <x v="0"/>
    <n v="26956.394399999997"/>
    <n v="3869.1743999999962"/>
    <x v="3"/>
    <n v="0.14353456707103199"/>
  </r>
  <r>
    <s v="sales_2023_H2.csv"/>
    <s v="1086"/>
    <d v="2023-11-05T00:00:00"/>
    <x v="4"/>
    <x v="1"/>
    <n v="2928.5"/>
    <n v="10"/>
    <x v="1"/>
    <n v="2273.91"/>
    <n v="2578.8000000000002"/>
    <x v="1"/>
    <n v="0.14000000000000001"/>
    <s v="Cash"/>
    <x v="0"/>
    <s v="South-Alice"/>
    <n v="22739.1"/>
    <x v="0"/>
    <n v="22177.68"/>
    <n v="-561.41999999999825"/>
    <x v="3"/>
    <n v="-2.5314640665750399E-2"/>
  </r>
  <r>
    <s v="sales_2023_H2.csv"/>
    <s v="1062"/>
    <d v="2023-11-06T00:00:00"/>
    <x v="2"/>
    <x v="3"/>
    <n v="2605.71"/>
    <n v="25"/>
    <x v="3"/>
    <n v="2361.0500000000002"/>
    <n v="2616.19"/>
    <x v="1"/>
    <n v="0.3"/>
    <s v="Bank Transfer"/>
    <x v="1"/>
    <s v="East-David"/>
    <n v="59026.250000000007"/>
    <x v="0"/>
    <n v="45783.324999999997"/>
    <n v="-13242.92500000001"/>
    <x v="3"/>
    <n v="-0.28925214584130798"/>
  </r>
  <r>
    <s v="sales_2023_H2.csv"/>
    <s v="1006"/>
    <d v="2023-11-06T00:00:00"/>
    <x v="3"/>
    <x v="1"/>
    <n v="189.64"/>
    <n v="22"/>
    <x v="3"/>
    <n v="834.32"/>
    <n v="1098.97"/>
    <x v="0"/>
    <n v="0.17"/>
    <s v="Cash"/>
    <x v="0"/>
    <s v="South-Bob"/>
    <n v="18355.04"/>
    <x v="0"/>
    <n v="20067.192199999998"/>
    <n v="1712.1521999999968"/>
    <x v="3"/>
    <n v="8.5320964833336094E-2"/>
  </r>
  <r>
    <s v="sales_2023_H2.csv"/>
    <s v="1071"/>
    <d v="2023-11-06T00:00:00"/>
    <x v="2"/>
    <x v="0"/>
    <n v="7262.09"/>
    <n v="47"/>
    <x v="3"/>
    <n v="3942.34"/>
    <n v="4142.09"/>
    <x v="0"/>
    <n v="0.03"/>
    <s v="Credit Card"/>
    <x v="1"/>
    <s v="North-David"/>
    <n v="185289.98"/>
    <x v="0"/>
    <n v="188837.88310000001"/>
    <n v="3547.9030999999959"/>
    <x v="3"/>
    <n v="1.87880897718028E-2"/>
  </r>
  <r>
    <s v="sales_2023_H2.csv"/>
    <s v="1088"/>
    <d v="2023-11-06T00:00:00"/>
    <x v="2"/>
    <x v="1"/>
    <n v="6772.54"/>
    <n v="8"/>
    <x v="3"/>
    <n v="1786.35"/>
    <n v="1935.29"/>
    <x v="1"/>
    <n v="0.04"/>
    <s v="Cash"/>
    <x v="0"/>
    <s v="South-David"/>
    <n v="14290.8"/>
    <x v="0"/>
    <n v="14863.027199999999"/>
    <n v="572.22719999999936"/>
    <x v="3"/>
    <n v="3.8500043921066103E-2"/>
  </r>
  <r>
    <s v="sales_2023_H2.csv"/>
    <s v="1089"/>
    <d v="2023-11-07T00:00:00"/>
    <x v="3"/>
    <x v="2"/>
    <n v="2945.36"/>
    <n v="47"/>
    <x v="1"/>
    <n v="4157.62"/>
    <n v="4314.5600000000004"/>
    <x v="1"/>
    <n v="0.17"/>
    <s v="Bank Transfer"/>
    <x v="1"/>
    <s v="West-Bob"/>
    <n v="195408.13999999998"/>
    <x v="0"/>
    <n v="168310.98559999999"/>
    <n v="-27097.154399999999"/>
    <x v="3"/>
    <n v="-0.16099456790300001"/>
  </r>
  <r>
    <s v="sales_2023_H2.csv"/>
    <s v="1098"/>
    <d v="2023-11-07T00:00:00"/>
    <x v="4"/>
    <x v="2"/>
    <n v="3166.9"/>
    <n v="31"/>
    <x v="3"/>
    <n v="2407.8000000000002"/>
    <n v="2502.7600000000002"/>
    <x v="0"/>
    <n v="0.27"/>
    <s v="Cash"/>
    <x v="1"/>
    <s v="West-Alice"/>
    <n v="74641.8"/>
    <x v="0"/>
    <n v="56637.458800000008"/>
    <n v="-18004.341199999995"/>
    <x v="3"/>
    <n v="-0.31788751793362602"/>
  </r>
  <r>
    <s v="sales_2023_H2.csv"/>
    <s v="1057"/>
    <d v="2023-11-07T00:00:00"/>
    <x v="3"/>
    <x v="3"/>
    <n v="7084.06"/>
    <n v="26"/>
    <x v="0"/>
    <n v="1291.82"/>
    <n v="1308.44"/>
    <x v="0"/>
    <n v="7.0000000000000007E-2"/>
    <s v="Credit Card"/>
    <x v="0"/>
    <s v="East-Bob"/>
    <n v="33587.32"/>
    <x v="0"/>
    <n v="31638.0792"/>
    <n v="-1949.2407999999996"/>
    <x v="3"/>
    <n v="-6.1610592339626E-2"/>
  </r>
  <r>
    <s v="sales_2023_H2.csv"/>
    <s v="1095"/>
    <d v="2023-11-07T00:00:00"/>
    <x v="1"/>
    <x v="2"/>
    <n v="6970.1"/>
    <n v="32"/>
    <x v="0"/>
    <n v="4266.6400000000003"/>
    <n v="4523.3599999999997"/>
    <x v="1"/>
    <n v="0.3"/>
    <s v="Bank Transfer"/>
    <x v="1"/>
    <s v="West-Charlie"/>
    <n v="136532.48000000001"/>
    <x v="0"/>
    <n v="101323.26399999998"/>
    <n v="-35209.216000000029"/>
    <x v="3"/>
    <n v="-0.34749389834105698"/>
  </r>
  <r>
    <s v="sales_2023_H2.csv"/>
    <s v="1052"/>
    <d v="2023-11-08T00:00:00"/>
    <x v="1"/>
    <x v="3"/>
    <n v="2072.7800000000002"/>
    <n v="18"/>
    <x v="1"/>
    <n v="3271.62"/>
    <n v="3722.38"/>
    <x v="0"/>
    <n v="0.19"/>
    <s v="Bank Transfer"/>
    <x v="1"/>
    <s v="East-Charlie"/>
    <n v="58889.159999999996"/>
    <x v="0"/>
    <n v="54272.3004"/>
    <n v="-4616.8595999999961"/>
    <x v="3"/>
    <n v="-8.5068433915139394E-2"/>
  </r>
  <r>
    <s v="sales_2023_H2.csv"/>
    <s v="1059"/>
    <d v="2023-11-08T00:00:00"/>
    <x v="2"/>
    <x v="1"/>
    <n v="8466.7000000000007"/>
    <n v="17"/>
    <x v="0"/>
    <n v="1780.14"/>
    <n v="2185.42"/>
    <x v="0"/>
    <n v="0.15"/>
    <s v="Credit Card"/>
    <x v="1"/>
    <s v="South-David"/>
    <n v="30262.38"/>
    <x v="0"/>
    <n v="31579.319"/>
    <n v="1316.9389999999985"/>
    <x v="3"/>
    <n v="4.1702577563499703E-2"/>
  </r>
  <r>
    <s v="sales_2023_H2.csv"/>
    <s v="1032"/>
    <d v="2023-11-09T00:00:00"/>
    <x v="3"/>
    <x v="3"/>
    <n v="804.47"/>
    <n v="25"/>
    <x v="2"/>
    <n v="2934.3"/>
    <n v="3337.4"/>
    <x v="0"/>
    <n v="0.25"/>
    <s v="Credit Card"/>
    <x v="1"/>
    <s v="East-Bob"/>
    <n v="73357.5"/>
    <x v="0"/>
    <n v="62576.25"/>
    <n v="-10781.25"/>
    <x v="3"/>
    <n v="-0.172289806436148"/>
  </r>
  <r>
    <s v="sales_2023_H2.csv"/>
    <s v="1038"/>
    <d v="2023-11-09T00:00:00"/>
    <x v="2"/>
    <x v="3"/>
    <n v="6966.82"/>
    <n v="1"/>
    <x v="3"/>
    <n v="1281.6500000000001"/>
    <n v="1709.71"/>
    <x v="0"/>
    <n v="0.14000000000000001"/>
    <s v="Credit Card"/>
    <x v="0"/>
    <s v="East-David"/>
    <n v="1281.6500000000001"/>
    <x v="0"/>
    <n v="1470.3506"/>
    <n v="188.70059999999989"/>
    <x v="3"/>
    <n v="0.12833714625613801"/>
  </r>
  <r>
    <s v="sales_2023_H2.csv"/>
    <s v="1033"/>
    <d v="2023-11-09T00:00:00"/>
    <x v="2"/>
    <x v="3"/>
    <n v="7370.99"/>
    <n v="6"/>
    <x v="0"/>
    <n v="1621.07"/>
    <n v="1687.5"/>
    <x v="0"/>
    <n v="0.12"/>
    <s v="Credit Card"/>
    <x v="0"/>
    <s v="East-David"/>
    <n v="9726.42"/>
    <x v="0"/>
    <n v="8910"/>
    <n v="-816.42000000000007"/>
    <x v="3"/>
    <n v="-9.1629629629629603E-2"/>
  </r>
  <r>
    <s v="sales_2023_H2.csv"/>
    <s v="1014"/>
    <d v="2023-11-09T00:00:00"/>
    <x v="2"/>
    <x v="0"/>
    <n v="6016.92"/>
    <n v="9"/>
    <x v="2"/>
    <n v="132.47"/>
    <n v="316.39"/>
    <x v="1"/>
    <n v="0.14000000000000001"/>
    <s v="Credit Card"/>
    <x v="0"/>
    <s v="North-David"/>
    <n v="1192.23"/>
    <x v="0"/>
    <n v="2448.8585999999996"/>
    <n v="1256.6285999999996"/>
    <x v="3"/>
    <n v="0.513148697111381"/>
  </r>
  <r>
    <s v="sales_2023_H2.csv"/>
    <s v="1016"/>
    <d v="2023-11-09T00:00:00"/>
    <x v="1"/>
    <x v="1"/>
    <n v="3402.92"/>
    <n v="24"/>
    <x v="1"/>
    <n v="88.44"/>
    <n v="338.94"/>
    <x v="1"/>
    <n v="0.28999999999999998"/>
    <s v="Cash"/>
    <x v="0"/>
    <s v="South-Charlie"/>
    <n v="2122.56"/>
    <x v="0"/>
    <n v="5775.5375999999997"/>
    <n v="3652.9775999999997"/>
    <x v="3"/>
    <n v="0.632491354571044"/>
  </r>
  <r>
    <s v="sales_2023_H2.csv"/>
    <s v="1019"/>
    <d v="2023-11-10T00:00:00"/>
    <x v="3"/>
    <x v="3"/>
    <n v="7632.43"/>
    <n v="33"/>
    <x v="1"/>
    <n v="1362.31"/>
    <n v="1486.29"/>
    <x v="0"/>
    <n v="0.18"/>
    <s v="Credit Card"/>
    <x v="1"/>
    <s v="East-Bob"/>
    <n v="44956.229999999996"/>
    <x v="0"/>
    <n v="40219.007400000002"/>
    <n v="-4737.2225999999937"/>
    <x v="3"/>
    <n v="-0.11778566668455399"/>
  </r>
  <r>
    <s v="sales_2023_H2.csv"/>
    <s v="1090"/>
    <d v="2023-11-10T00:00:00"/>
    <x v="4"/>
    <x v="0"/>
    <n v="3349.51"/>
    <n v="16"/>
    <x v="0"/>
    <n v="2183.37"/>
    <n v="2263.36"/>
    <x v="0"/>
    <n v="0"/>
    <s v="Bank Transfer"/>
    <x v="1"/>
    <s v="North-Alice"/>
    <n v="34933.919999999998"/>
    <x v="0"/>
    <n v="36213.760000000002"/>
    <n v="1279.8400000000038"/>
    <x v="3"/>
    <n v="3.5341262547716801E-2"/>
  </r>
  <r>
    <s v="sales_2023_H2.csv"/>
    <s v="1024"/>
    <d v="2023-11-11T00:00:00"/>
    <x v="0"/>
    <x v="2"/>
    <n v="6607.8"/>
    <n v="21"/>
    <x v="3"/>
    <n v="622.01"/>
    <n v="641.09"/>
    <x v="0"/>
    <n v="0"/>
    <s v="Bank Transfer"/>
    <x v="1"/>
    <s v="West-Eve"/>
    <n v="13062.21"/>
    <x v="0"/>
    <n v="13462.890000000001"/>
    <n v="400.68000000000211"/>
    <x v="3"/>
    <n v="2.9761811914083999E-2"/>
  </r>
  <r>
    <s v="sales_2023_H2.csv"/>
    <s v="1080"/>
    <d v="2023-11-11T00:00:00"/>
    <x v="4"/>
    <x v="3"/>
    <n v="3602.51"/>
    <n v="32"/>
    <x v="2"/>
    <n v="3414.54"/>
    <n v="3753.83"/>
    <x v="1"/>
    <n v="0.22"/>
    <s v="Cash"/>
    <x v="1"/>
    <s v="East-Alice"/>
    <n v="109265.28"/>
    <x v="0"/>
    <n v="93695.596799999999"/>
    <n v="-15569.683199999999"/>
    <x v="3"/>
    <n v="-0.16617305115452299"/>
  </r>
  <r>
    <s v="sales_2023_H2.csv"/>
    <s v="1001"/>
    <d v="2023-11-12T00:00:00"/>
    <x v="4"/>
    <x v="0"/>
    <n v="715.81"/>
    <n v="8"/>
    <x v="2"/>
    <n v="3657.91"/>
    <n v="3729.27"/>
    <x v="1"/>
    <n v="0.09"/>
    <s v="Bank Transfer"/>
    <x v="1"/>
    <s v="North-Alice"/>
    <n v="29263.279999999999"/>
    <x v="0"/>
    <n v="27149.085600000002"/>
    <n v="-2114.1943999999967"/>
    <x v="3"/>
    <n v="-7.7873503039822295E-2"/>
  </r>
  <r>
    <s v="sales_2023_H2.csv"/>
    <s v="1062"/>
    <d v="2023-11-12T00:00:00"/>
    <x v="0"/>
    <x v="1"/>
    <n v="8681.0300000000007"/>
    <n v="9"/>
    <x v="2"/>
    <n v="1468.05"/>
    <n v="1838.21"/>
    <x v="1"/>
    <n v="0.15"/>
    <s v="Bank Transfer"/>
    <x v="1"/>
    <s v="South-Eve"/>
    <n v="13212.449999999999"/>
    <x v="0"/>
    <n v="14062.306499999999"/>
    <n v="849.85649999999987"/>
    <x v="3"/>
    <n v="6.0435071586585003E-2"/>
  </r>
  <r>
    <s v="sales_2023_H2.csv"/>
    <s v="1070"/>
    <d v="2023-11-12T00:00:00"/>
    <x v="3"/>
    <x v="1"/>
    <n v="7448.31"/>
    <n v="9"/>
    <x v="2"/>
    <n v="310.24"/>
    <n v="451.81"/>
    <x v="0"/>
    <n v="0.1"/>
    <s v="Cash"/>
    <x v="1"/>
    <s v="South-Bob"/>
    <n v="2792.16"/>
    <x v="0"/>
    <n v="3659.6610000000001"/>
    <n v="867.5010000000002"/>
    <x v="3"/>
    <n v="0.23704408687034101"/>
  </r>
  <r>
    <s v="sales_2023_H2.csv"/>
    <s v="1005"/>
    <d v="2023-11-12T00:00:00"/>
    <x v="0"/>
    <x v="3"/>
    <n v="2191.1999999999998"/>
    <n v="28"/>
    <x v="0"/>
    <n v="3592.32"/>
    <n v="3813.48"/>
    <x v="1"/>
    <n v="7.0000000000000007E-2"/>
    <s v="Credit Card"/>
    <x v="1"/>
    <s v="East-Eve"/>
    <n v="100584.96000000001"/>
    <x v="0"/>
    <n v="99303.019199999995"/>
    <n v="-1281.9408000000112"/>
    <x v="3"/>
    <n v="-1.29093839273722E-2"/>
  </r>
  <r>
    <s v="sales_2023_H2.csv"/>
    <s v="1050"/>
    <d v="2023-11-13T00:00:00"/>
    <x v="4"/>
    <x v="0"/>
    <n v="4638.47"/>
    <n v="28"/>
    <x v="3"/>
    <n v="1711.63"/>
    <n v="1951.24"/>
    <x v="1"/>
    <n v="0.22"/>
    <s v="Cash"/>
    <x v="0"/>
    <s v="North-Alice"/>
    <n v="47925.64"/>
    <x v="0"/>
    <n v="42615.081600000005"/>
    <n v="-5310.5583999999944"/>
    <x v="3"/>
    <n v="-0.124616877420223"/>
  </r>
  <r>
    <s v="sales_2023_H2.csv"/>
    <s v="1033"/>
    <d v="2023-11-14T00:00:00"/>
    <x v="2"/>
    <x v="1"/>
    <n v="4011.8"/>
    <n v="23"/>
    <x v="1"/>
    <n v="2981.5"/>
    <n v="3360.4"/>
    <x v="0"/>
    <n v="0.22"/>
    <s v="Bank Transfer"/>
    <x v="1"/>
    <s v="South-David"/>
    <n v="68574.5"/>
    <x v="0"/>
    <n v="60285.576000000001"/>
    <n v="-8288.9239999999991"/>
    <x v="3"/>
    <n v="-0.137494315389804"/>
  </r>
  <r>
    <s v="sales_2023_H2.csv"/>
    <s v="1085"/>
    <d v="2023-11-14T00:00:00"/>
    <x v="1"/>
    <x v="1"/>
    <n v="2038.75"/>
    <n v="32"/>
    <x v="1"/>
    <n v="1074.93"/>
    <n v="1492.48"/>
    <x v="0"/>
    <n v="0.04"/>
    <s v="Credit Card"/>
    <x v="1"/>
    <s v="South-Charlie"/>
    <n v="34397.760000000002"/>
    <x v="0"/>
    <n v="45848.9856"/>
    <n v="11451.225599999998"/>
    <x v="3"/>
    <n v="0.249759628269726"/>
  </r>
  <r>
    <s v="sales_2023_H2.csv"/>
    <s v="1012"/>
    <d v="2023-11-14T00:00:00"/>
    <x v="0"/>
    <x v="0"/>
    <n v="519.98"/>
    <n v="6"/>
    <x v="0"/>
    <n v="3609.42"/>
    <n v="4082.62"/>
    <x v="0"/>
    <n v="0.3"/>
    <s v="Bank Transfer"/>
    <x v="1"/>
    <s v="North-Eve"/>
    <n v="21656.52"/>
    <x v="0"/>
    <n v="17147.004000000001"/>
    <n v="-4509.5159999999996"/>
    <x v="3"/>
    <n v="-0.26299148236041697"/>
  </r>
  <r>
    <s v="sales_2023_H2.csv"/>
    <s v="1092"/>
    <d v="2023-11-14T00:00:00"/>
    <x v="0"/>
    <x v="3"/>
    <n v="6528.29"/>
    <n v="28"/>
    <x v="0"/>
    <n v="3936.69"/>
    <n v="4362.51"/>
    <x v="0"/>
    <n v="7.0000000000000007E-2"/>
    <s v="Credit Card"/>
    <x v="1"/>
    <s v="East-Eve"/>
    <n v="110227.32"/>
    <x v="0"/>
    <n v="113599.76039999998"/>
    <n v="3372.4403999999777"/>
    <x v="3"/>
    <n v="2.9687037966675E-2"/>
  </r>
  <r>
    <s v="sales_2023_H2.csv"/>
    <s v="1068"/>
    <d v="2023-11-14T00:00:00"/>
    <x v="1"/>
    <x v="2"/>
    <n v="3607.29"/>
    <n v="42"/>
    <x v="0"/>
    <n v="1218.18"/>
    <n v="1566.36"/>
    <x v="0"/>
    <n v="0.03"/>
    <s v="Credit Card"/>
    <x v="1"/>
    <s v="West-Charlie"/>
    <n v="51163.560000000005"/>
    <x v="0"/>
    <n v="63813.506399999991"/>
    <n v="12649.946399999986"/>
    <x v="3"/>
    <n v="0.19823305619200399"/>
  </r>
  <r>
    <s v="sales_2023_H2.csv"/>
    <s v="1090"/>
    <d v="2023-11-14T00:00:00"/>
    <x v="3"/>
    <x v="3"/>
    <n v="6575.91"/>
    <n v="1"/>
    <x v="0"/>
    <n v="60.28"/>
    <n v="260.73"/>
    <x v="0"/>
    <n v="0.17"/>
    <s v="Cash"/>
    <x v="0"/>
    <s v="East-Bob"/>
    <n v="60.28"/>
    <x v="0"/>
    <n v="216.4059"/>
    <n v="156.1259"/>
    <x v="3"/>
    <n v="0.72144936898670498"/>
  </r>
  <r>
    <s v="sales_2023_H2.csv"/>
    <s v="1001"/>
    <d v="2023-11-14T00:00:00"/>
    <x v="2"/>
    <x v="0"/>
    <n v="4944.99"/>
    <n v="36"/>
    <x v="1"/>
    <n v="666.84"/>
    <n v="682.24"/>
    <x v="1"/>
    <n v="0.16"/>
    <s v="Bank Transfer"/>
    <x v="1"/>
    <s v="North-David"/>
    <n v="24006.240000000002"/>
    <x v="0"/>
    <n v="20630.937599999997"/>
    <n v="-3375.3024000000041"/>
    <x v="3"/>
    <n v="-0.16360392656124401"/>
  </r>
  <r>
    <s v="sales_2023_H2.csv"/>
    <s v="1012"/>
    <d v="2023-11-14T00:00:00"/>
    <x v="2"/>
    <x v="0"/>
    <n v="4976.43"/>
    <n v="14"/>
    <x v="2"/>
    <n v="1185.5"/>
    <n v="1271.45"/>
    <x v="0"/>
    <n v="0.03"/>
    <s v="Bank Transfer"/>
    <x v="1"/>
    <s v="North-David"/>
    <n v="16597"/>
    <x v="0"/>
    <n v="17266.290999999997"/>
    <n v="669.29099999999744"/>
    <x v="3"/>
    <n v="3.8762870381368997E-2"/>
  </r>
  <r>
    <s v="sales_2023_H2.csv"/>
    <s v="1100"/>
    <d v="2023-11-15T00:00:00"/>
    <x v="0"/>
    <x v="3"/>
    <n v="672.66"/>
    <n v="2"/>
    <x v="1"/>
    <n v="1036.76"/>
    <n v="1189.3499999999999"/>
    <x v="1"/>
    <n v="0.27"/>
    <s v="Bank Transfer"/>
    <x v="0"/>
    <s v="East-Eve"/>
    <n v="2073.52"/>
    <x v="0"/>
    <n v="1736.4509999999998"/>
    <n v="-337.06900000000019"/>
    <x v="3"/>
    <n v="-0.19411374118820501"/>
  </r>
  <r>
    <s v="sales_2023_H2.csv"/>
    <s v="1032"/>
    <d v="2023-11-15T00:00:00"/>
    <x v="4"/>
    <x v="2"/>
    <n v="9413.77"/>
    <n v="1"/>
    <x v="3"/>
    <n v="651"/>
    <n v="865.76"/>
    <x v="0"/>
    <n v="0.09"/>
    <s v="Bank Transfer"/>
    <x v="1"/>
    <s v="West-Alice"/>
    <n v="651"/>
    <x v="0"/>
    <n v="787.84159999999997"/>
    <n v="136.84159999999997"/>
    <x v="3"/>
    <n v="0.173691767482194"/>
  </r>
  <r>
    <s v="sales_2023_H2.csv"/>
    <s v="1036"/>
    <d v="2023-11-15T00:00:00"/>
    <x v="3"/>
    <x v="2"/>
    <n v="7316.91"/>
    <n v="19"/>
    <x v="1"/>
    <n v="2844.97"/>
    <n v="3215"/>
    <x v="0"/>
    <n v="0.09"/>
    <s v="Credit Card"/>
    <x v="1"/>
    <s v="West-Bob"/>
    <n v="54054.429999999993"/>
    <x v="0"/>
    <n v="55587.35"/>
    <n v="1532.9200000000055"/>
    <x v="3"/>
    <n v="2.7576777810059398E-2"/>
  </r>
  <r>
    <s v="sales_2023_H2.csv"/>
    <s v="1030"/>
    <d v="2023-11-15T00:00:00"/>
    <x v="0"/>
    <x v="3"/>
    <n v="6951.53"/>
    <n v="24"/>
    <x v="0"/>
    <n v="1370.52"/>
    <n v="1482.58"/>
    <x v="0"/>
    <n v="0.2"/>
    <s v="Credit Card"/>
    <x v="1"/>
    <s v="East-Eve"/>
    <n v="32892.479999999996"/>
    <x v="0"/>
    <n v="28465.536"/>
    <n v="-4426.9439999999959"/>
    <x v="3"/>
    <n v="-0.155519432340919"/>
  </r>
  <r>
    <s v="sales_2023_H2.csv"/>
    <s v="1092"/>
    <d v="2023-11-15T00:00:00"/>
    <x v="2"/>
    <x v="3"/>
    <n v="499.47"/>
    <n v="47"/>
    <x v="2"/>
    <n v="3034.32"/>
    <n v="3375.79"/>
    <x v="1"/>
    <n v="0.28000000000000003"/>
    <s v="Credit Card"/>
    <x v="0"/>
    <s v="East-David"/>
    <n v="142613.04"/>
    <x v="0"/>
    <n v="114236.73359999999"/>
    <n v="-28376.306400000016"/>
    <x v="3"/>
    <n v="-0.24839914015188599"/>
  </r>
  <r>
    <s v="sales_2023_H2.csv"/>
    <s v="1051"/>
    <d v="2023-11-15T00:00:00"/>
    <x v="4"/>
    <x v="0"/>
    <n v="4703.59"/>
    <n v="23"/>
    <x v="2"/>
    <n v="1676.42"/>
    <n v="2082.52"/>
    <x v="1"/>
    <n v="0.15"/>
    <s v="Bank Transfer"/>
    <x v="1"/>
    <s v="North-Alice"/>
    <n v="38557.660000000003"/>
    <x v="0"/>
    <n v="40713.265999999996"/>
    <n v="2155.6059999999925"/>
    <x v="3"/>
    <n v="5.2946034837882898E-2"/>
  </r>
  <r>
    <s v="sales_2023_H2.csv"/>
    <s v="1088"/>
    <d v="2023-11-16T00:00:00"/>
    <x v="0"/>
    <x v="0"/>
    <n v="8518.4500000000007"/>
    <n v="13"/>
    <x v="1"/>
    <n v="2440.11"/>
    <n v="2517.6"/>
    <x v="1"/>
    <n v="0.23"/>
    <s v="Bank Transfer"/>
    <x v="1"/>
    <s v="North-Eve"/>
    <n v="31721.43"/>
    <x v="0"/>
    <n v="25201.175999999999"/>
    <n v="-6520.2540000000008"/>
    <x v="3"/>
    <n v="-0.25872816411424598"/>
  </r>
  <r>
    <s v="sales_2023_H2.csv"/>
    <s v="1078"/>
    <d v="2023-11-16T00:00:00"/>
    <x v="2"/>
    <x v="3"/>
    <n v="113.4"/>
    <n v="8"/>
    <x v="1"/>
    <n v="3459.61"/>
    <n v="3657.23"/>
    <x v="0"/>
    <n v="0.03"/>
    <s v="Bank Transfer"/>
    <x v="0"/>
    <s v="East-David"/>
    <n v="27676.880000000001"/>
    <x v="0"/>
    <n v="28380.104800000001"/>
    <n v="703.22479999999996"/>
    <x v="3"/>
    <n v="2.47787950381353E-2"/>
  </r>
  <r>
    <s v="sales_2023_H2.csv"/>
    <s v="1041"/>
    <d v="2023-11-16T00:00:00"/>
    <x v="2"/>
    <x v="1"/>
    <n v="3942.84"/>
    <n v="40"/>
    <x v="3"/>
    <n v="601.86"/>
    <n v="1067.53"/>
    <x v="1"/>
    <n v="0.18"/>
    <s v="Cash"/>
    <x v="0"/>
    <s v="South-David"/>
    <n v="24074.400000000001"/>
    <x v="0"/>
    <n v="35014.983999999997"/>
    <n v="10940.583999999995"/>
    <x v="3"/>
    <n v="0.31245434811565198"/>
  </r>
  <r>
    <s v="sales_2023_H2.csv"/>
    <s v="1015"/>
    <d v="2023-11-16T00:00:00"/>
    <x v="0"/>
    <x v="3"/>
    <n v="2673.06"/>
    <n v="1"/>
    <x v="1"/>
    <n v="2928.74"/>
    <n v="3027.74"/>
    <x v="1"/>
    <n v="0.15"/>
    <s v="Bank Transfer"/>
    <x v="1"/>
    <s v="East-Eve"/>
    <n v="2928.74"/>
    <x v="0"/>
    <n v="2573.5789999999997"/>
    <n v="-355.16100000000006"/>
    <x v="3"/>
    <n v="-0.13800275802685699"/>
  </r>
  <r>
    <s v="sales_2023_H2.csv"/>
    <s v="1073"/>
    <d v="2023-11-16T00:00:00"/>
    <x v="2"/>
    <x v="1"/>
    <n v="7026.43"/>
    <n v="48"/>
    <x v="0"/>
    <n v="2658.9"/>
    <n v="2838.27"/>
    <x v="1"/>
    <n v="0.25"/>
    <s v="Credit Card"/>
    <x v="0"/>
    <s v="South-David"/>
    <n v="127627.20000000001"/>
    <x v="0"/>
    <n v="102177.72"/>
    <n v="-25449.48000000001"/>
    <x v="3"/>
    <n v="-0.24907073675161301"/>
  </r>
  <r>
    <s v="sales_2023_H2.csv"/>
    <s v="1051"/>
    <d v="2023-11-16T00:00:00"/>
    <x v="3"/>
    <x v="2"/>
    <n v="803.25"/>
    <n v="31"/>
    <x v="1"/>
    <n v="144.88"/>
    <n v="175.29"/>
    <x v="1"/>
    <n v="7.0000000000000007E-2"/>
    <s v="Bank Transfer"/>
    <x v="0"/>
    <s v="West-Bob"/>
    <n v="4491.28"/>
    <x v="0"/>
    <n v="5053.6106999999993"/>
    <n v="562.33069999999952"/>
    <x v="3"/>
    <n v="0.11127305472896799"/>
  </r>
  <r>
    <s v="sales_2023_H2.csv"/>
    <s v="1062"/>
    <d v="2023-11-17T00:00:00"/>
    <x v="1"/>
    <x v="0"/>
    <n v="4790.72"/>
    <n v="28"/>
    <x v="0"/>
    <n v="2094.88"/>
    <n v="2168.91"/>
    <x v="0"/>
    <n v="0.08"/>
    <s v="Cash"/>
    <x v="1"/>
    <s v="North-Charlie"/>
    <n v="58656.639999999999"/>
    <x v="0"/>
    <n v="55871.121599999999"/>
    <n v="-2785.5184000000008"/>
    <x v="3"/>
    <n v="-4.9856138918106203E-2"/>
  </r>
  <r>
    <s v="sales_2023_H2.csv"/>
    <s v="1100"/>
    <d v="2023-11-17T00:00:00"/>
    <x v="3"/>
    <x v="3"/>
    <n v="7883.44"/>
    <n v="13"/>
    <x v="3"/>
    <n v="366.2"/>
    <n v="732.69"/>
    <x v="1"/>
    <n v="0.04"/>
    <s v="Cash"/>
    <x v="1"/>
    <s v="East-Bob"/>
    <n v="4760.5999999999995"/>
    <x v="0"/>
    <n v="9143.9712"/>
    <n v="4383.3712000000005"/>
    <x v="3"/>
    <n v="0.47937281342268401"/>
  </r>
  <r>
    <s v="sales_2023_H2.csv"/>
    <s v="1062"/>
    <d v="2023-11-18T00:00:00"/>
    <x v="4"/>
    <x v="3"/>
    <n v="291.33999999999997"/>
    <n v="12"/>
    <x v="1"/>
    <n v="1088.99"/>
    <n v="1545"/>
    <x v="0"/>
    <n v="0.04"/>
    <s v="Bank Transfer"/>
    <x v="1"/>
    <s v="East-Alice"/>
    <n v="13067.880000000001"/>
    <x v="0"/>
    <n v="17798.399999999998"/>
    <n v="4730.5199999999968"/>
    <x v="3"/>
    <n v="0.26578344120819802"/>
  </r>
  <r>
    <s v="sales_2023_H2.csv"/>
    <s v="1004"/>
    <d v="2023-11-18T00:00:00"/>
    <x v="4"/>
    <x v="3"/>
    <n v="7211.48"/>
    <n v="1"/>
    <x v="3"/>
    <n v="182.99"/>
    <n v="211.18"/>
    <x v="0"/>
    <n v="0.27"/>
    <s v="Bank Transfer"/>
    <x v="1"/>
    <s v="East-Alice"/>
    <n v="182.99"/>
    <x v="0"/>
    <n v="154.16140000000001"/>
    <n v="-28.828599999999994"/>
    <x v="3"/>
    <n v="-0.18700271274132199"/>
  </r>
  <r>
    <s v="sales_2023_H2.csv"/>
    <s v="1033"/>
    <d v="2023-11-19T00:00:00"/>
    <x v="2"/>
    <x v="0"/>
    <n v="349.41"/>
    <n v="37"/>
    <x v="2"/>
    <n v="2600.7600000000002"/>
    <n v="2937.57"/>
    <x v="1"/>
    <n v="0.17"/>
    <s v="Credit Card"/>
    <x v="1"/>
    <s v="North-David"/>
    <n v="96228.12000000001"/>
    <x v="0"/>
    <n v="90212.774700000009"/>
    <n v="-6015.3453000000009"/>
    <x v="3"/>
    <n v="-6.6679528703155994E-2"/>
  </r>
  <r>
    <s v="sales_2023_H2.csv"/>
    <s v="1040"/>
    <d v="2023-11-19T00:00:00"/>
    <x v="2"/>
    <x v="0"/>
    <n v="6601.62"/>
    <n v="47"/>
    <x v="2"/>
    <n v="2189.54"/>
    <n v="2617"/>
    <x v="1"/>
    <n v="0.01"/>
    <s v="Bank Transfer"/>
    <x v="0"/>
    <s v="North-David"/>
    <n v="102908.38"/>
    <x v="0"/>
    <n v="121769.01"/>
    <n v="18860.62999999999"/>
    <x v="3"/>
    <n v="0.15488858782706699"/>
  </r>
  <r>
    <s v="sales_2023_H2.csv"/>
    <s v="1045"/>
    <d v="2023-11-19T00:00:00"/>
    <x v="3"/>
    <x v="0"/>
    <n v="1649.12"/>
    <n v="2"/>
    <x v="2"/>
    <n v="912.08"/>
    <n v="993.24"/>
    <x v="0"/>
    <n v="0.09"/>
    <s v="Credit Card"/>
    <x v="0"/>
    <s v="North-Bob"/>
    <n v="1824.16"/>
    <x v="0"/>
    <n v="1807.6968000000002"/>
    <n v="-16.463199999999915"/>
    <x v="3"/>
    <n v="-9.1072794951011192E-3"/>
  </r>
  <r>
    <s v="sales_2023_H2.csv"/>
    <s v="1090"/>
    <d v="2023-11-20T00:00:00"/>
    <x v="4"/>
    <x v="2"/>
    <n v="267.77999999999997"/>
    <n v="32"/>
    <x v="2"/>
    <n v="2678.99"/>
    <n v="3152.28"/>
    <x v="0"/>
    <n v="0.22"/>
    <s v="Cash"/>
    <x v="1"/>
    <s v="West-Alice"/>
    <n v="85727.679999999993"/>
    <x v="0"/>
    <n v="78680.908800000005"/>
    <n v="-7046.7711999999883"/>
    <x v="3"/>
    <n v="-8.9561385442461797E-2"/>
  </r>
  <r>
    <s v="sales_2023_H2.csv"/>
    <s v="1028"/>
    <d v="2023-11-20T00:00:00"/>
    <x v="4"/>
    <x v="3"/>
    <n v="388.78"/>
    <n v="5"/>
    <x v="3"/>
    <n v="734.92"/>
    <n v="991.21"/>
    <x v="0"/>
    <n v="0.21"/>
    <s v="Credit Card"/>
    <x v="0"/>
    <s v="East-Alice"/>
    <n v="3674.6"/>
    <x v="0"/>
    <n v="3915.2795000000001"/>
    <n v="240.67950000000019"/>
    <x v="3"/>
    <n v="6.1471856606916599E-2"/>
  </r>
  <r>
    <s v="sales_2023_H2.csv"/>
    <s v="1012"/>
    <d v="2023-11-20T00:00:00"/>
    <x v="3"/>
    <x v="0"/>
    <n v="5858.06"/>
    <n v="1"/>
    <x v="3"/>
    <n v="4190.83"/>
    <n v="4528.7700000000004"/>
    <x v="0"/>
    <n v="0.22"/>
    <s v="Bank Transfer"/>
    <x v="0"/>
    <s v="North-Bob"/>
    <n v="4190.83"/>
    <x v="0"/>
    <n v="3532.4406000000004"/>
    <n v="-658.38939999999957"/>
    <x v="3"/>
    <n v="-0.186383714421128"/>
  </r>
  <r>
    <s v="sales_2023_H2.csv"/>
    <s v="1036"/>
    <d v="2023-11-20T00:00:00"/>
    <x v="4"/>
    <x v="3"/>
    <n v="5454.96"/>
    <n v="32"/>
    <x v="0"/>
    <n v="700.49"/>
    <n v="1126.52"/>
    <x v="1"/>
    <n v="0.28999999999999998"/>
    <s v="Credit Card"/>
    <x v="1"/>
    <s v="East-Alice"/>
    <n v="22415.68"/>
    <x v="0"/>
    <n v="25594.534399999997"/>
    <n v="3178.8543999999965"/>
    <x v="3"/>
    <n v="0.124200516810339"/>
  </r>
  <r>
    <s v="sales_2023_H2.csv"/>
    <s v="1084"/>
    <d v="2023-11-20T00:00:00"/>
    <x v="3"/>
    <x v="1"/>
    <n v="2396.98"/>
    <n v="15"/>
    <x v="1"/>
    <n v="3420.72"/>
    <n v="3513.74"/>
    <x v="1"/>
    <n v="0.02"/>
    <s v="Cash"/>
    <x v="0"/>
    <s v="South-Bob"/>
    <n v="51310.799999999996"/>
    <x v="0"/>
    <n v="51651.977999999996"/>
    <n v="341.17799999999988"/>
    <x v="3"/>
    <n v="6.6053230333211997E-3"/>
  </r>
  <r>
    <s v="sales_2023_H2.csv"/>
    <s v="1014"/>
    <d v="2023-11-22T00:00:00"/>
    <x v="2"/>
    <x v="2"/>
    <n v="9762.5400000000009"/>
    <n v="17"/>
    <x v="3"/>
    <n v="3184.65"/>
    <n v="3204.01"/>
    <x v="1"/>
    <n v="0.2"/>
    <s v="Bank Transfer"/>
    <x v="0"/>
    <s v="West-David"/>
    <n v="54139.05"/>
    <x v="0"/>
    <n v="43574.536000000007"/>
    <n v="-10564.513999999996"/>
    <x v="3"/>
    <n v="-0.24244696489711301"/>
  </r>
  <r>
    <s v="sales_2023_H2.csv"/>
    <s v="1093"/>
    <d v="2023-11-22T00:00:00"/>
    <x v="1"/>
    <x v="0"/>
    <n v="862.1"/>
    <n v="22"/>
    <x v="1"/>
    <n v="3285.25"/>
    <n v="3634.58"/>
    <x v="1"/>
    <n v="0.13"/>
    <s v="Bank Transfer"/>
    <x v="0"/>
    <s v="North-Charlie"/>
    <n v="72275.5"/>
    <x v="0"/>
    <n v="69565.861199999999"/>
    <n v="-2709.6388000000006"/>
    <x v="3"/>
    <n v="-3.8950697271034403E-2"/>
  </r>
  <r>
    <s v="sales_2023_H2.csv"/>
    <s v="1058"/>
    <d v="2023-11-22T00:00:00"/>
    <x v="4"/>
    <x v="2"/>
    <n v="8085.98"/>
    <n v="15"/>
    <x v="0"/>
    <n v="894.48"/>
    <n v="1336.37"/>
    <x v="0"/>
    <n v="0.26"/>
    <s v="Cash"/>
    <x v="1"/>
    <s v="West-Alice"/>
    <n v="13417.2"/>
    <x v="0"/>
    <n v="14833.706999999999"/>
    <n v="1416.5069999999978"/>
    <x v="3"/>
    <n v="9.5492448381244002E-2"/>
  </r>
  <r>
    <s v="sales_2023_H2.csv"/>
    <s v="1016"/>
    <d v="2023-11-23T00:00:00"/>
    <x v="0"/>
    <x v="3"/>
    <n v="5490.52"/>
    <n v="26"/>
    <x v="0"/>
    <n v="4906.8500000000004"/>
    <n v="4954.3900000000003"/>
    <x v="1"/>
    <n v="0.25"/>
    <s v="Bank Transfer"/>
    <x v="0"/>
    <s v="East-Eve"/>
    <n v="127578.1"/>
    <x v="0"/>
    <n v="96610.60500000001"/>
    <n v="-30967.494999999995"/>
    <x v="3"/>
    <n v="-0.32053929276190701"/>
  </r>
  <r>
    <s v="sales_2023_H2.csv"/>
    <s v="1065"/>
    <d v="2023-11-24T00:00:00"/>
    <x v="3"/>
    <x v="3"/>
    <n v="9183.11"/>
    <n v="18"/>
    <x v="3"/>
    <n v="1239.0899999999999"/>
    <n v="1273.98"/>
    <x v="1"/>
    <n v="0.02"/>
    <s v="Bank Transfer"/>
    <x v="1"/>
    <s v="East-Bob"/>
    <n v="22303.62"/>
    <x v="0"/>
    <n v="22473.0072"/>
    <n v="169.38720000000103"/>
    <x v="3"/>
    <n v="7.5373624229516101E-3"/>
  </r>
  <r>
    <s v="sales_2023_H2.csv"/>
    <s v="1072"/>
    <d v="2023-11-24T00:00:00"/>
    <x v="4"/>
    <x v="3"/>
    <n v="5511.11"/>
    <n v="25"/>
    <x v="0"/>
    <n v="481.19"/>
    <n v="693.4"/>
    <x v="1"/>
    <n v="0.27"/>
    <s v="Credit Card"/>
    <x v="1"/>
    <s v="East-Alice"/>
    <n v="12029.75"/>
    <x v="0"/>
    <n v="12654.55"/>
    <n v="624.79999999999927"/>
    <x v="3"/>
    <n v="4.9373545483640202E-2"/>
  </r>
  <r>
    <s v="sales_2023_H2.csv"/>
    <s v="1003"/>
    <d v="2023-11-24T00:00:00"/>
    <x v="0"/>
    <x v="3"/>
    <n v="5215.3100000000004"/>
    <n v="11"/>
    <x v="3"/>
    <n v="3706.78"/>
    <n v="3862.26"/>
    <x v="1"/>
    <n v="0.22"/>
    <s v="Credit Card"/>
    <x v="1"/>
    <s v="East-Eve"/>
    <n v="40774.58"/>
    <x v="0"/>
    <n v="33138.190800000004"/>
    <n v="-7636.3891999999978"/>
    <x v="3"/>
    <n v="-0.23044073969180001"/>
  </r>
  <r>
    <s v="sales_2023_H2.csv"/>
    <s v="1021"/>
    <d v="2023-11-24T00:00:00"/>
    <x v="0"/>
    <x v="0"/>
    <n v="213.04"/>
    <n v="15"/>
    <x v="3"/>
    <n v="3771.27"/>
    <n v="4212.55"/>
    <x v="0"/>
    <n v="0.16"/>
    <s v="Credit Card"/>
    <x v="1"/>
    <s v="North-Eve"/>
    <n v="56569.05"/>
    <x v="0"/>
    <n v="53078.13"/>
    <n v="-3490.9200000000055"/>
    <x v="3"/>
    <n v="-6.5769460981387404E-2"/>
  </r>
  <r>
    <s v="sales_2023_H2.csv"/>
    <s v="1024"/>
    <d v="2023-11-24T00:00:00"/>
    <x v="4"/>
    <x v="1"/>
    <n v="3633.17"/>
    <n v="22"/>
    <x v="3"/>
    <n v="4691.32"/>
    <n v="4752.88"/>
    <x v="0"/>
    <n v="7.0000000000000007E-2"/>
    <s v="Bank Transfer"/>
    <x v="1"/>
    <s v="South-Alice"/>
    <n v="103209.04"/>
    <x v="0"/>
    <n v="97243.924799999993"/>
    <n v="-5965.1152000000002"/>
    <x v="3"/>
    <n v="-6.1341777517396098E-2"/>
  </r>
  <r>
    <s v="sales_2023_H2.csv"/>
    <s v="1071"/>
    <d v="2023-11-24T00:00:00"/>
    <x v="4"/>
    <x v="2"/>
    <n v="8049.72"/>
    <n v="12"/>
    <x v="3"/>
    <n v="4317.95"/>
    <n v="4636.59"/>
    <x v="1"/>
    <n v="0.18"/>
    <s v="Credit Card"/>
    <x v="1"/>
    <s v="West-Alice"/>
    <n v="51815.399999999994"/>
    <x v="0"/>
    <n v="45624.045600000005"/>
    <n v="-6191.3543999999893"/>
    <x v="3"/>
    <n v="-0.13570375705568699"/>
  </r>
  <r>
    <s v="sales_2023_H2.csv"/>
    <s v="1022"/>
    <d v="2023-11-24T00:00:00"/>
    <x v="0"/>
    <x v="2"/>
    <n v="8906.24"/>
    <n v="29"/>
    <x v="1"/>
    <n v="479.58"/>
    <n v="909.88"/>
    <x v="0"/>
    <n v="0.13"/>
    <s v="Credit Card"/>
    <x v="1"/>
    <s v="West-Eve"/>
    <n v="13907.82"/>
    <x v="0"/>
    <n v="22956.272400000002"/>
    <n v="9048.4524000000019"/>
    <x v="3"/>
    <n v="0.39416035157345503"/>
  </r>
  <r>
    <s v="sales_2023_H2.csv"/>
    <s v="1095"/>
    <d v="2023-11-25T00:00:00"/>
    <x v="4"/>
    <x v="3"/>
    <n v="9432.9699999999993"/>
    <n v="37"/>
    <x v="2"/>
    <n v="407.77"/>
    <n v="860.95"/>
    <x v="1"/>
    <n v="0.1"/>
    <s v="Credit Card"/>
    <x v="1"/>
    <s v="East-Alice"/>
    <n v="15087.49"/>
    <x v="0"/>
    <n v="28669.635000000002"/>
    <n v="13582.145000000002"/>
    <x v="3"/>
    <n v="0.47374670099567001"/>
  </r>
  <r>
    <s v="sales_2023_H2.csv"/>
    <s v="1074"/>
    <d v="2023-11-25T00:00:00"/>
    <x v="0"/>
    <x v="0"/>
    <n v="3570.15"/>
    <n v="42"/>
    <x v="1"/>
    <n v="2120.81"/>
    <n v="2611.94"/>
    <x v="0"/>
    <n v="0.23"/>
    <s v="Cash"/>
    <x v="0"/>
    <s v="North-Eve"/>
    <n v="89074.02"/>
    <x v="0"/>
    <n v="84470.139599999995"/>
    <n v="-4603.8804000000091"/>
    <x v="3"/>
    <n v="-5.4503051868994498E-2"/>
  </r>
  <r>
    <s v="sales_2023_H2.csv"/>
    <s v="1043"/>
    <d v="2023-11-26T00:00:00"/>
    <x v="3"/>
    <x v="1"/>
    <n v="1710.73"/>
    <n v="3"/>
    <x v="2"/>
    <n v="2009.1"/>
    <n v="2186.42"/>
    <x v="1"/>
    <n v="0.25"/>
    <s v="Bank Transfer"/>
    <x v="0"/>
    <s v="South-Bob"/>
    <n v="6027.2999999999993"/>
    <x v="0"/>
    <n v="4919.4449999999997"/>
    <n v="-1107.8549999999996"/>
    <x v="3"/>
    <n v="-0.22519918405429901"/>
  </r>
  <r>
    <s v="sales_2023_H2.csv"/>
    <s v="1070"/>
    <d v="2023-11-26T00:00:00"/>
    <x v="2"/>
    <x v="0"/>
    <n v="5813.51"/>
    <n v="40"/>
    <x v="1"/>
    <n v="3089.96"/>
    <n v="3258.45"/>
    <x v="1"/>
    <n v="0.28999999999999998"/>
    <s v="Cash"/>
    <x v="0"/>
    <s v="North-David"/>
    <n v="123598.39999999999"/>
    <x v="0"/>
    <n v="92539.98"/>
    <n v="-31058.42"/>
    <x v="3"/>
    <n v="-0.335621641586696"/>
  </r>
  <r>
    <s v="sales_2023_H2.csv"/>
    <s v="1030"/>
    <d v="2023-11-26T00:00:00"/>
    <x v="4"/>
    <x v="2"/>
    <n v="8727"/>
    <n v="39"/>
    <x v="2"/>
    <n v="2041.75"/>
    <n v="2299.37"/>
    <x v="0"/>
    <n v="0.24"/>
    <s v="Bank Transfer"/>
    <x v="1"/>
    <s v="West-Alice"/>
    <n v="79628.25"/>
    <x v="0"/>
    <n v="68153.326799999995"/>
    <n v="-11474.923200000005"/>
    <x v="3"/>
    <n v="-0.16836923065654399"/>
  </r>
  <r>
    <s v="sales_2023_H2.csv"/>
    <s v="1051"/>
    <d v="2023-11-26T00:00:00"/>
    <x v="0"/>
    <x v="1"/>
    <n v="6339.45"/>
    <n v="8"/>
    <x v="3"/>
    <n v="3970.37"/>
    <n v="4257.5200000000004"/>
    <x v="1"/>
    <n v="0.11"/>
    <s v="Cash"/>
    <x v="1"/>
    <s v="South-Eve"/>
    <n v="31762.959999999999"/>
    <x v="0"/>
    <n v="30313.542400000002"/>
    <n v="-1449.417599999997"/>
    <x v="3"/>
    <n v="-4.7814194094319903E-2"/>
  </r>
  <r>
    <s v="sales_2023_H2.csv"/>
    <s v="1095"/>
    <d v="2023-11-26T00:00:00"/>
    <x v="1"/>
    <x v="2"/>
    <n v="8231.74"/>
    <n v="7"/>
    <x v="3"/>
    <n v="4257.24"/>
    <n v="4355.87"/>
    <x v="0"/>
    <n v="0.03"/>
    <s v="Bank Transfer"/>
    <x v="0"/>
    <s v="West-Charlie"/>
    <n v="29800.68"/>
    <x v="0"/>
    <n v="29576.3573"/>
    <n v="-224.32270000000062"/>
    <x v="3"/>
    <n v="-7.5845276591921798E-3"/>
  </r>
  <r>
    <s v="sales_2023_H2.csv"/>
    <s v="1021"/>
    <d v="2023-11-27T00:00:00"/>
    <x v="4"/>
    <x v="1"/>
    <n v="6483.84"/>
    <n v="31"/>
    <x v="1"/>
    <n v="2254.9899999999998"/>
    <n v="2441.79"/>
    <x v="0"/>
    <n v="0.24"/>
    <s v="Bank Transfer"/>
    <x v="0"/>
    <s v="South-Alice"/>
    <n v="69904.689999999988"/>
    <x v="0"/>
    <n v="57528.572400000005"/>
    <n v="-12376.117599999983"/>
    <x v="3"/>
    <n v="-0.215129927333291"/>
  </r>
  <r>
    <s v="sales_2023_H2.csv"/>
    <s v="1044"/>
    <d v="2023-11-28T00:00:00"/>
    <x v="1"/>
    <x v="2"/>
    <n v="4860.8100000000004"/>
    <n v="6"/>
    <x v="2"/>
    <n v="3703.93"/>
    <n v="3840.24"/>
    <x v="1"/>
    <n v="7.0000000000000007E-2"/>
    <s v="Credit Card"/>
    <x v="0"/>
    <s v="West-Charlie"/>
    <n v="22223.579999999998"/>
    <x v="0"/>
    <n v="21428.539199999996"/>
    <n v="-795.04080000000249"/>
    <x v="3"/>
    <n v="-3.71019598013477E-2"/>
  </r>
  <r>
    <s v="sales_2023_H2.csv"/>
    <s v="1005"/>
    <d v="2023-11-28T00:00:00"/>
    <x v="2"/>
    <x v="2"/>
    <n v="152.6"/>
    <n v="43"/>
    <x v="1"/>
    <n v="1200.4000000000001"/>
    <n v="1430.45"/>
    <x v="1"/>
    <n v="0.08"/>
    <s v="Bank Transfer"/>
    <x v="1"/>
    <s v="West-David"/>
    <n v="51617.200000000004"/>
    <x v="0"/>
    <n v="56588.601999999999"/>
    <n v="4971.4019999999946"/>
    <x v="3"/>
    <n v="8.7851648994615505E-2"/>
  </r>
  <r>
    <s v="sales_2023_H2.csv"/>
    <s v="1089"/>
    <d v="2023-11-28T00:00:00"/>
    <x v="2"/>
    <x v="2"/>
    <n v="8719.6200000000008"/>
    <n v="8"/>
    <x v="1"/>
    <n v="4349.34"/>
    <n v="4629.9799999999996"/>
    <x v="0"/>
    <n v="0.01"/>
    <s v="Credit Card"/>
    <x v="0"/>
    <s v="West-David"/>
    <n v="34794.720000000001"/>
    <x v="0"/>
    <n v="36669.441599999998"/>
    <n v="1874.7215999999971"/>
    <x v="3"/>
    <n v="5.1124901776524401E-2"/>
  </r>
  <r>
    <s v="sales_2023_H2.csv"/>
    <s v="1002"/>
    <d v="2023-11-29T00:00:00"/>
    <x v="2"/>
    <x v="0"/>
    <n v="333.59"/>
    <n v="24"/>
    <x v="1"/>
    <n v="3305.94"/>
    <n v="3599.27"/>
    <x v="1"/>
    <n v="0.09"/>
    <s v="Credit Card"/>
    <x v="1"/>
    <s v="North-David"/>
    <n v="79342.559999999998"/>
    <x v="0"/>
    <n v="78608.056800000006"/>
    <n v="-734.50319999999192"/>
    <x v="3"/>
    <n v="-9.3438666454860406E-3"/>
  </r>
  <r>
    <s v="sales_2023_H2.csv"/>
    <s v="1086"/>
    <d v="2023-11-29T00:00:00"/>
    <x v="3"/>
    <x v="2"/>
    <n v="5127.2700000000004"/>
    <n v="7"/>
    <x v="3"/>
    <n v="737.9"/>
    <n v="1182"/>
    <x v="1"/>
    <n v="0.23"/>
    <s v="Credit Card"/>
    <x v="1"/>
    <s v="West-Bob"/>
    <n v="5165.3"/>
    <x v="0"/>
    <n v="6370.9800000000005"/>
    <n v="1205.6800000000003"/>
    <x v="3"/>
    <n v="0.18924561056540801"/>
  </r>
  <r>
    <s v="sales_2023_H2.csv"/>
    <s v="1082"/>
    <d v="2023-11-30T00:00:00"/>
    <x v="4"/>
    <x v="1"/>
    <n v="6261.9"/>
    <n v="41"/>
    <x v="2"/>
    <n v="1196.42"/>
    <n v="1444.97"/>
    <x v="0"/>
    <n v="0.21"/>
    <s v="Bank Transfer"/>
    <x v="0"/>
    <s v="South-Alice"/>
    <n v="49053.22"/>
    <x v="0"/>
    <n v="46802.578300000008"/>
    <n v="-2250.6416999999929"/>
    <x v="3"/>
    <n v="-4.8087985357849201E-2"/>
  </r>
  <r>
    <s v="sales_2023_H2.csv"/>
    <s v="1055"/>
    <d v="2023-12-01T00:00:00"/>
    <x v="1"/>
    <x v="2"/>
    <n v="4102.47"/>
    <n v="8"/>
    <x v="1"/>
    <n v="3513"/>
    <n v="3838.42"/>
    <x v="0"/>
    <n v="0.13"/>
    <s v="Bank Transfer"/>
    <x v="0"/>
    <s v="West-Charlie"/>
    <n v="28104"/>
    <x v="0"/>
    <n v="26715.403200000001"/>
    <n v="-1388.5967999999993"/>
    <x v="3"/>
    <n v="-5.1977385091459098E-2"/>
  </r>
  <r>
    <s v="sales_2023_H2.csv"/>
    <s v="1073"/>
    <d v="2023-12-01T00:00:00"/>
    <x v="2"/>
    <x v="2"/>
    <n v="5238.42"/>
    <n v="40"/>
    <x v="1"/>
    <n v="2565.3000000000002"/>
    <n v="3007.47"/>
    <x v="0"/>
    <n v="0.17"/>
    <s v="Credit Card"/>
    <x v="1"/>
    <s v="West-David"/>
    <n v="102612"/>
    <x v="0"/>
    <n v="99848.003999999986"/>
    <n v="-2763.9960000000137"/>
    <x v="3"/>
    <n v="-2.7682035586810701E-2"/>
  </r>
  <r>
    <s v="sales_2023_H2.csv"/>
    <s v="1096"/>
    <d v="2023-12-01T00:00:00"/>
    <x v="3"/>
    <x v="3"/>
    <n v="2962.96"/>
    <n v="20"/>
    <x v="1"/>
    <n v="1994.9"/>
    <n v="2066.5"/>
    <x v="0"/>
    <n v="0.06"/>
    <s v="Bank Transfer"/>
    <x v="0"/>
    <s v="East-Bob"/>
    <n v="39898"/>
    <x v="0"/>
    <n v="38850.199999999997"/>
    <n v="-1047.8000000000029"/>
    <x v="3"/>
    <n v="-2.69702601273611E-2"/>
  </r>
  <r>
    <s v="sales_2023_H2.csv"/>
    <s v="1100"/>
    <d v="2023-12-01T00:00:00"/>
    <x v="4"/>
    <x v="3"/>
    <n v="1387.8"/>
    <n v="34"/>
    <x v="1"/>
    <n v="4991.09"/>
    <n v="5402.28"/>
    <x v="0"/>
    <n v="0"/>
    <s v="Cash"/>
    <x v="1"/>
    <s v="East-Alice"/>
    <n v="169697.06"/>
    <x v="0"/>
    <n v="183677.52"/>
    <n v="13980.459999999992"/>
    <x v="3"/>
    <n v="7.6114159206853396E-2"/>
  </r>
  <r>
    <s v="sales_2023_H2.csv"/>
    <s v="1077"/>
    <d v="2023-12-02T00:00:00"/>
    <x v="2"/>
    <x v="3"/>
    <n v="1960.41"/>
    <n v="24"/>
    <x v="2"/>
    <n v="2258.54"/>
    <n v="2439.4899999999998"/>
    <x v="0"/>
    <n v="0.2"/>
    <s v="Credit Card"/>
    <x v="1"/>
    <s v="East-David"/>
    <n v="54204.959999999999"/>
    <x v="0"/>
    <n v="46838.207999999999"/>
    <n v="-7366.7520000000004"/>
    <x v="3"/>
    <n v="-0.15728082509048999"/>
  </r>
  <r>
    <s v="sales_2023_H2.csv"/>
    <s v="1011"/>
    <d v="2023-12-03T00:00:00"/>
    <x v="3"/>
    <x v="3"/>
    <n v="8186.12"/>
    <n v="13"/>
    <x v="2"/>
    <n v="1442.69"/>
    <n v="1882.57"/>
    <x v="0"/>
    <n v="0.28000000000000003"/>
    <s v="Cash"/>
    <x v="0"/>
    <s v="East-Bob"/>
    <n v="18754.97"/>
    <x v="0"/>
    <n v="17620.855199999998"/>
    <n v="-1134.114800000003"/>
    <x v="3"/>
    <n v="-6.4362074776030398E-2"/>
  </r>
  <r>
    <s v="sales_2023_H2.csv"/>
    <s v="1092"/>
    <d v="2023-12-03T00:00:00"/>
    <x v="2"/>
    <x v="3"/>
    <n v="719.01"/>
    <n v="6"/>
    <x v="0"/>
    <n v="422.74"/>
    <n v="737.49"/>
    <x v="0"/>
    <n v="0.19"/>
    <s v="Credit Card"/>
    <x v="1"/>
    <s v="East-David"/>
    <n v="2536.44"/>
    <x v="0"/>
    <n v="3584.2014000000008"/>
    <n v="1047.7614000000008"/>
    <x v="3"/>
    <n v="0.29232771350404602"/>
  </r>
  <r>
    <s v="sales_2023_H2.csv"/>
    <s v="1069"/>
    <d v="2023-12-03T00:00:00"/>
    <x v="2"/>
    <x v="0"/>
    <n v="6521.53"/>
    <n v="35"/>
    <x v="2"/>
    <n v="2885.16"/>
    <n v="3224.84"/>
    <x v="1"/>
    <n v="0.14000000000000001"/>
    <s v="Cash"/>
    <x v="0"/>
    <s v="North-David"/>
    <n v="100980.59999999999"/>
    <x v="0"/>
    <n v="97067.684000000008"/>
    <n v="-3912.9159999999829"/>
    <x v="3"/>
    <n v="-4.0311212122872801E-2"/>
  </r>
  <r>
    <s v="sales_2023_H2.csv"/>
    <s v="1014"/>
    <d v="2023-12-04T00:00:00"/>
    <x v="3"/>
    <x v="2"/>
    <n v="758.99"/>
    <n v="49"/>
    <x v="1"/>
    <n v="493.35"/>
    <n v="799.27"/>
    <x v="1"/>
    <n v="0.1"/>
    <s v="Bank Transfer"/>
    <x v="0"/>
    <s v="West-Bob"/>
    <n v="24174.15"/>
    <x v="0"/>
    <n v="35247.807000000001"/>
    <n v="11073.656999999999"/>
    <x v="3"/>
    <n v="0.314165842998403"/>
  </r>
  <r>
    <s v="sales_2023_H2.csv"/>
    <s v="1063"/>
    <d v="2023-12-04T00:00:00"/>
    <x v="2"/>
    <x v="1"/>
    <n v="2186.85"/>
    <n v="14"/>
    <x v="0"/>
    <n v="2188.35"/>
    <n v="2605.36"/>
    <x v="0"/>
    <n v="0.2"/>
    <s v="Credit Card"/>
    <x v="1"/>
    <s v="South-David"/>
    <n v="30636.899999999998"/>
    <x v="0"/>
    <n v="29180.032000000003"/>
    <n v="-1456.8679999999949"/>
    <x v="3"/>
    <n v="-4.9926881505818602E-2"/>
  </r>
  <r>
    <s v="sales_2023_H2.csv"/>
    <s v="1008"/>
    <d v="2023-12-05T00:00:00"/>
    <x v="1"/>
    <x v="3"/>
    <n v="9583.5499999999993"/>
    <n v="27"/>
    <x v="2"/>
    <n v="68.989999999999995"/>
    <n v="429.29"/>
    <x v="0"/>
    <n v="0.18"/>
    <s v="Credit Card"/>
    <x v="1"/>
    <s v="East-Charlie"/>
    <n v="1862.7299999999998"/>
    <x v="0"/>
    <n v="9504.4806000000008"/>
    <n v="7641.7506000000012"/>
    <x v="3"/>
    <n v="0.80401559239333897"/>
  </r>
  <r>
    <s v="sales_2023_H2.csv"/>
    <s v="1094"/>
    <d v="2023-12-05T00:00:00"/>
    <x v="0"/>
    <x v="3"/>
    <n v="8264.9599999999991"/>
    <n v="12"/>
    <x v="1"/>
    <n v="333.32"/>
    <n v="700.25"/>
    <x v="0"/>
    <n v="0.14000000000000001"/>
    <s v="Cash"/>
    <x v="0"/>
    <s v="East-Eve"/>
    <n v="3999.84"/>
    <x v="0"/>
    <n v="7226.58"/>
    <n v="3226.74"/>
    <x v="3"/>
    <n v="0.44650996737045701"/>
  </r>
  <r>
    <s v="sales_2023_H2.csv"/>
    <s v="1073"/>
    <d v="2023-12-06T00:00:00"/>
    <x v="4"/>
    <x v="0"/>
    <n v="2273.58"/>
    <n v="31"/>
    <x v="3"/>
    <n v="4368.97"/>
    <n v="4696.8500000000004"/>
    <x v="0"/>
    <n v="0.25"/>
    <s v="Bank Transfer"/>
    <x v="1"/>
    <s v="North-Alice"/>
    <n v="135438.07"/>
    <x v="0"/>
    <n v="109201.76250000001"/>
    <n v="-26236.307499999995"/>
    <x v="3"/>
    <n v="-0.24025534844275101"/>
  </r>
  <r>
    <s v="sales_2023_H2.csv"/>
    <s v="1085"/>
    <d v="2023-12-06T00:00:00"/>
    <x v="0"/>
    <x v="0"/>
    <n v="397.26"/>
    <n v="42"/>
    <x v="2"/>
    <n v="3117.75"/>
    <n v="3159.88"/>
    <x v="1"/>
    <n v="0.04"/>
    <s v="Cash"/>
    <x v="1"/>
    <s v="North-Eve"/>
    <n v="130945.5"/>
    <x v="0"/>
    <n v="127406.36159999999"/>
    <n v="-3539.1384000000107"/>
    <x v="3"/>
    <n v="-2.7778349177817001E-2"/>
  </r>
  <r>
    <s v="sales_2023_H2.csv"/>
    <s v="1099"/>
    <d v="2023-12-07T00:00:00"/>
    <x v="3"/>
    <x v="3"/>
    <n v="3043.18"/>
    <n v="22"/>
    <x v="1"/>
    <n v="2471.67"/>
    <n v="2533.04"/>
    <x v="0"/>
    <n v="0.02"/>
    <s v="Bank Transfer"/>
    <x v="1"/>
    <s v="East-Bob"/>
    <n v="54376.740000000005"/>
    <x v="0"/>
    <n v="54612.342399999994"/>
    <n v="235.60239999998885"/>
    <x v="3"/>
    <n v="4.3140870661498801E-3"/>
  </r>
  <r>
    <s v="sales_2023_H2.csv"/>
    <s v="1031"/>
    <d v="2023-12-08T00:00:00"/>
    <x v="2"/>
    <x v="0"/>
    <n v="7567.06"/>
    <n v="22"/>
    <x v="3"/>
    <n v="4236.05"/>
    <n v="4382.32"/>
    <x v="1"/>
    <n v="0.2"/>
    <s v="Bank Transfer"/>
    <x v="0"/>
    <s v="North-David"/>
    <n v="93193.1"/>
    <x v="0"/>
    <n v="77128.831999999995"/>
    <n v="-16064.268000000011"/>
    <x v="3"/>
    <n v="-0.208278377662973"/>
  </r>
  <r>
    <s v="sales_2023_H2.csv"/>
    <s v="1095"/>
    <d v="2023-12-08T00:00:00"/>
    <x v="0"/>
    <x v="3"/>
    <n v="3801.82"/>
    <n v="4"/>
    <x v="0"/>
    <n v="3191.05"/>
    <n v="3555.35"/>
    <x v="1"/>
    <n v="0.28000000000000003"/>
    <s v="Credit Card"/>
    <x v="0"/>
    <s v="East-Eve"/>
    <n v="12764.2"/>
    <x v="0"/>
    <n v="10239.407999999999"/>
    <n v="-2524.7920000000013"/>
    <x v="3"/>
    <n v="-0.24657597392349301"/>
  </r>
  <r>
    <s v="sales_2023_H2.csv"/>
    <s v="1008"/>
    <d v="2023-12-08T00:00:00"/>
    <x v="4"/>
    <x v="1"/>
    <n v="3197.78"/>
    <n v="49"/>
    <x v="2"/>
    <n v="2907.22"/>
    <n v="3385.61"/>
    <x v="1"/>
    <n v="0.13"/>
    <s v="Cash"/>
    <x v="0"/>
    <s v="South-Alice"/>
    <n v="142453.78"/>
    <x v="0"/>
    <n v="144328.55430000002"/>
    <n v="1874.7743000000191"/>
    <x v="3"/>
    <n v="1.29896284840707E-2"/>
  </r>
  <r>
    <s v="sales_2023_H2.csv"/>
    <s v="1020"/>
    <d v="2023-12-10T00:00:00"/>
    <x v="3"/>
    <x v="0"/>
    <n v="9671.77"/>
    <n v="45"/>
    <x v="2"/>
    <n v="4268.45"/>
    <n v="4551.6000000000004"/>
    <x v="1"/>
    <n v="0.08"/>
    <s v="Bank Transfer"/>
    <x v="0"/>
    <s v="North-Bob"/>
    <n v="192080.25"/>
    <x v="0"/>
    <n v="188436.24000000005"/>
    <n v="-3644.0099999999511"/>
    <x v="3"/>
    <n v="-1.9338159156645999E-2"/>
  </r>
  <r>
    <s v="sales_2023_H2.csv"/>
    <s v="1037"/>
    <d v="2023-12-10T00:00:00"/>
    <x v="3"/>
    <x v="0"/>
    <n v="6351.05"/>
    <n v="32"/>
    <x v="2"/>
    <n v="2594.08"/>
    <n v="3074.59"/>
    <x v="1"/>
    <n v="0.14000000000000001"/>
    <s v="Cash"/>
    <x v="1"/>
    <s v="North-Bob"/>
    <n v="83010.559999999998"/>
    <x v="0"/>
    <n v="84612.716800000009"/>
    <n v="1602.1568000000116"/>
    <x v="3"/>
    <n v="1.8935177365679502E-2"/>
  </r>
  <r>
    <s v="sales_2023_H2.csv"/>
    <s v="1062"/>
    <d v="2023-12-10T00:00:00"/>
    <x v="2"/>
    <x v="2"/>
    <n v="3979.41"/>
    <n v="11"/>
    <x v="2"/>
    <n v="1190.08"/>
    <n v="1292.94"/>
    <x v="0"/>
    <n v="0.13"/>
    <s v="Cash"/>
    <x v="1"/>
    <s v="West-David"/>
    <n v="13090.88"/>
    <x v="0"/>
    <n v="12373.435799999999"/>
    <n v="-717.44419999999991"/>
    <x v="3"/>
    <n v="-5.7982617891790399E-2"/>
  </r>
  <r>
    <s v="sales_2023_H2.csv"/>
    <s v="1036"/>
    <d v="2023-12-10T00:00:00"/>
    <x v="2"/>
    <x v="0"/>
    <n v="9989.0400000000009"/>
    <n v="7"/>
    <x v="3"/>
    <n v="2882.25"/>
    <n v="3163.7"/>
    <x v="0"/>
    <n v="0.05"/>
    <s v="Cash"/>
    <x v="1"/>
    <s v="North-David"/>
    <n v="20175.75"/>
    <x v="0"/>
    <n v="21038.604999999996"/>
    <n v="862.85499999999593"/>
    <x v="3"/>
    <n v="4.1012937882525802E-2"/>
  </r>
  <r>
    <s v="sales_2023_H2.csv"/>
    <s v="1098"/>
    <d v="2023-12-10T00:00:00"/>
    <x v="0"/>
    <x v="3"/>
    <n v="3419.26"/>
    <n v="28"/>
    <x v="2"/>
    <n v="3895.62"/>
    <n v="4055.44"/>
    <x v="1"/>
    <n v="0.03"/>
    <s v="Bank Transfer"/>
    <x v="1"/>
    <s v="East-Eve"/>
    <n v="109077.36"/>
    <x v="0"/>
    <n v="110145.7504"/>
    <n v="1068.3904000000039"/>
    <x v="3"/>
    <n v="9.6997877459646803E-3"/>
  </r>
  <r>
    <s v="sales_2023_H2.csv"/>
    <s v="1045"/>
    <d v="2023-12-11T00:00:00"/>
    <x v="4"/>
    <x v="2"/>
    <n v="6400.11"/>
    <n v="22"/>
    <x v="0"/>
    <n v="241.85"/>
    <n v="613.09"/>
    <x v="0"/>
    <n v="0.06"/>
    <s v="Cash"/>
    <x v="0"/>
    <s v="West-Alice"/>
    <n v="5320.7"/>
    <x v="0"/>
    <n v="12678.701200000001"/>
    <n v="7358.0012000000015"/>
    <x v="3"/>
    <n v="0.58034345032123602"/>
  </r>
  <r>
    <s v="sales_2023_H2.csv"/>
    <s v="1051"/>
    <d v="2023-12-12T00:00:00"/>
    <x v="0"/>
    <x v="0"/>
    <n v="2479.9499999999998"/>
    <n v="8"/>
    <x v="0"/>
    <n v="467.11"/>
    <n v="792.21"/>
    <x v="1"/>
    <n v="0.2"/>
    <s v="Credit Card"/>
    <x v="0"/>
    <s v="North-Eve"/>
    <n v="3736.88"/>
    <x v="0"/>
    <n v="5070.1440000000002"/>
    <n v="1333.2640000000001"/>
    <x v="3"/>
    <n v="0.26296373436336301"/>
  </r>
  <r>
    <s v="sales_2023_H2.csv"/>
    <s v="1053"/>
    <d v="2023-12-12T00:00:00"/>
    <x v="4"/>
    <x v="1"/>
    <n v="3382.49"/>
    <n v="47"/>
    <x v="2"/>
    <n v="3551.76"/>
    <n v="3696.1"/>
    <x v="0"/>
    <n v="0.15"/>
    <s v="Bank Transfer"/>
    <x v="1"/>
    <s v="South-Alice"/>
    <n v="166932.72"/>
    <x v="0"/>
    <n v="147659.19499999998"/>
    <n v="-19273.525000000023"/>
    <x v="3"/>
    <n v="-0.13052708976234101"/>
  </r>
  <r>
    <s v="sales_2023_H2.csv"/>
    <s v="1070"/>
    <d v="2023-12-13T00:00:00"/>
    <x v="4"/>
    <x v="2"/>
    <n v="100.12"/>
    <n v="8"/>
    <x v="0"/>
    <n v="3762.27"/>
    <n v="4166.95"/>
    <x v="0"/>
    <n v="0.16"/>
    <s v="Bank Transfer"/>
    <x v="0"/>
    <s v="West-Alice"/>
    <n v="30098.16"/>
    <x v="0"/>
    <n v="28001.903999999999"/>
    <n v="-2096.2560000000012"/>
    <x v="3"/>
    <n v="-7.4861195153015397E-2"/>
  </r>
  <r>
    <s v="sales_2023_H2.csv"/>
    <s v="1092"/>
    <d v="2023-12-13T00:00:00"/>
    <x v="1"/>
    <x v="0"/>
    <n v="3206.89"/>
    <n v="15"/>
    <x v="0"/>
    <n v="2273.88"/>
    <n v="2696.02"/>
    <x v="1"/>
    <n v="0.3"/>
    <s v="Cash"/>
    <x v="0"/>
    <s v="North-Charlie"/>
    <n v="34108.200000000004"/>
    <x v="0"/>
    <n v="28308.21"/>
    <n v="-5799.9900000000052"/>
    <x v="3"/>
    <n v="-0.20488720410086"/>
  </r>
  <r>
    <s v="sales_2023_H2.csv"/>
    <s v="1070"/>
    <d v="2023-12-14T00:00:00"/>
    <x v="1"/>
    <x v="1"/>
    <n v="2032.15"/>
    <n v="33"/>
    <x v="3"/>
    <n v="866.42"/>
    <n v="878.43"/>
    <x v="1"/>
    <n v="0.09"/>
    <s v="Cash"/>
    <x v="1"/>
    <s v="South-Charlie"/>
    <n v="28591.859999999997"/>
    <x v="0"/>
    <n v="26379.252899999999"/>
    <n v="-2212.6070999999974"/>
    <x v="3"/>
    <n v="-8.3876791673656401E-2"/>
  </r>
  <r>
    <s v="sales_2023_H2.csv"/>
    <s v="1045"/>
    <d v="2023-12-15T00:00:00"/>
    <x v="2"/>
    <x v="1"/>
    <n v="3517.4"/>
    <n v="42"/>
    <x v="0"/>
    <n v="3587.74"/>
    <n v="3745.91"/>
    <x v="0"/>
    <n v="0.1"/>
    <s v="Cash"/>
    <x v="0"/>
    <s v="South-David"/>
    <n v="150685.07999999999"/>
    <x v="0"/>
    <n v="141595.39800000002"/>
    <n v="-9089.6819999999716"/>
    <x v="3"/>
    <n v="-6.4194755821089397E-2"/>
  </r>
  <r>
    <s v="sales_2023_H2.csv"/>
    <s v="1061"/>
    <d v="2023-12-15T00:00:00"/>
    <x v="4"/>
    <x v="0"/>
    <n v="3867.13"/>
    <n v="32"/>
    <x v="3"/>
    <n v="2759.26"/>
    <n v="3193.25"/>
    <x v="1"/>
    <n v="0.2"/>
    <s v="Bank Transfer"/>
    <x v="0"/>
    <s v="North-Alice"/>
    <n v="88296.320000000007"/>
    <x v="0"/>
    <n v="81747.200000000012"/>
    <n v="-6549.1199999999953"/>
    <x v="3"/>
    <n v="-8.0114303609175597E-2"/>
  </r>
  <r>
    <s v="sales_2023_H2.csv"/>
    <s v="1043"/>
    <d v="2023-12-15T00:00:00"/>
    <x v="2"/>
    <x v="2"/>
    <n v="4448.18"/>
    <n v="6"/>
    <x v="0"/>
    <n v="563.59"/>
    <n v="838.97"/>
    <x v="1"/>
    <n v="0.17"/>
    <s v="Credit Card"/>
    <x v="0"/>
    <s v="West-David"/>
    <n v="3381.54"/>
    <x v="0"/>
    <n v="4178.0705999999991"/>
    <n v="796.53059999999914"/>
    <x v="3"/>
    <n v="0.19064555778449499"/>
  </r>
  <r>
    <s v="sales_2023_H2.csv"/>
    <s v="1076"/>
    <d v="2023-12-15T00:00:00"/>
    <x v="3"/>
    <x v="2"/>
    <n v="2607.4"/>
    <n v="32"/>
    <x v="3"/>
    <n v="2636.36"/>
    <n v="2696.78"/>
    <x v="1"/>
    <n v="0.09"/>
    <s v="Cash"/>
    <x v="1"/>
    <s v="West-Bob"/>
    <n v="84363.520000000004"/>
    <x v="0"/>
    <n v="78530.233600000007"/>
    <n v="-5833.2863999999972"/>
    <x v="3"/>
    <n v="-7.4280772290991795E-2"/>
  </r>
  <r>
    <s v="sales_2023_H2.csv"/>
    <s v="1019"/>
    <d v="2023-12-15T00:00:00"/>
    <x v="2"/>
    <x v="3"/>
    <n v="8902.3700000000008"/>
    <n v="36"/>
    <x v="0"/>
    <n v="1340.51"/>
    <n v="1567.92"/>
    <x v="1"/>
    <n v="0.28999999999999998"/>
    <s v="Cash"/>
    <x v="0"/>
    <s v="East-David"/>
    <n v="48258.36"/>
    <x v="0"/>
    <n v="40076.035199999998"/>
    <n v="-8182.3248000000021"/>
    <x v="3"/>
    <n v="-0.20417001729751999"/>
  </r>
  <r>
    <s v="sales_2023_H2.csv"/>
    <s v="1012"/>
    <d v="2023-12-15T00:00:00"/>
    <x v="3"/>
    <x v="2"/>
    <n v="8821.6299999999992"/>
    <n v="13"/>
    <x v="2"/>
    <n v="2231.66"/>
    <n v="2596.61"/>
    <x v="0"/>
    <n v="0.09"/>
    <s v="Bank Transfer"/>
    <x v="1"/>
    <s v="West-Bob"/>
    <n v="29011.579999999998"/>
    <x v="0"/>
    <n v="30717.8963"/>
    <n v="1706.3163000000022"/>
    <x v="3"/>
    <n v="5.5547954304409897E-2"/>
  </r>
  <r>
    <s v="sales_2023_H2.csv"/>
    <s v="1060"/>
    <d v="2023-12-16T00:00:00"/>
    <x v="0"/>
    <x v="3"/>
    <n v="3224.71"/>
    <n v="44"/>
    <x v="0"/>
    <n v="3784.96"/>
    <n v="4276.99"/>
    <x v="1"/>
    <n v="0.06"/>
    <s v="Bank Transfer"/>
    <x v="1"/>
    <s v="East-Eve"/>
    <n v="166538.23999999999"/>
    <x v="0"/>
    <n v="176896.3064"/>
    <n v="10358.066400000011"/>
    <x v="3"/>
    <n v="5.8554452666627399E-2"/>
  </r>
  <r>
    <s v="sales_2023_H2.csv"/>
    <s v="1076"/>
    <d v="2023-12-16T00:00:00"/>
    <x v="0"/>
    <x v="3"/>
    <n v="7160.75"/>
    <n v="30"/>
    <x v="0"/>
    <n v="3519.63"/>
    <n v="3774.65"/>
    <x v="1"/>
    <n v="0.2"/>
    <s v="Credit Card"/>
    <x v="1"/>
    <s v="East-Eve"/>
    <n v="105588.90000000001"/>
    <x v="0"/>
    <n v="90591.6"/>
    <n v="-14997.300000000003"/>
    <x v="3"/>
    <n v="-0.165548461446757"/>
  </r>
  <r>
    <s v="sales_2023_H2.csv"/>
    <s v="1074"/>
    <d v="2023-12-16T00:00:00"/>
    <x v="3"/>
    <x v="0"/>
    <n v="6310.56"/>
    <n v="19"/>
    <x v="1"/>
    <n v="278.67"/>
    <n v="423.13"/>
    <x v="1"/>
    <n v="0.24"/>
    <s v="Credit Card"/>
    <x v="0"/>
    <s v="North-Bob"/>
    <n v="5294.7300000000005"/>
    <x v="0"/>
    <n v="6109.9972000000007"/>
    <n v="815.26720000000023"/>
    <x v="3"/>
    <n v="0.13343168144168699"/>
  </r>
  <r>
    <s v="sales_2023_H2.csv"/>
    <s v="1073"/>
    <d v="2023-12-18T00:00:00"/>
    <x v="0"/>
    <x v="2"/>
    <n v="3196.5"/>
    <n v="40"/>
    <x v="3"/>
    <n v="157.15"/>
    <n v="436.53"/>
    <x v="1"/>
    <n v="0.04"/>
    <s v="Cash"/>
    <x v="1"/>
    <s v="West-Eve"/>
    <n v="6286"/>
    <x v="0"/>
    <n v="16762.751999999997"/>
    <n v="10476.751999999997"/>
    <x v="3"/>
    <n v="0.62500190899441799"/>
  </r>
  <r>
    <s v="sales_2023_H2.csv"/>
    <s v="1014"/>
    <d v="2023-12-18T00:00:00"/>
    <x v="2"/>
    <x v="3"/>
    <n v="5612.17"/>
    <n v="4"/>
    <x v="1"/>
    <n v="854.68"/>
    <n v="1115.24"/>
    <x v="1"/>
    <n v="0.24"/>
    <s v="Credit Card"/>
    <x v="1"/>
    <s v="East-David"/>
    <n v="3418.72"/>
    <x v="0"/>
    <n v="3390.3296"/>
    <n v="-28.390399999999772"/>
    <x v="3"/>
    <n v="-8.3739350887889405E-3"/>
  </r>
  <r>
    <s v="sales_2023_H2.csv"/>
    <s v="1088"/>
    <d v="2023-12-19T00:00:00"/>
    <x v="4"/>
    <x v="3"/>
    <n v="8452.1299999999992"/>
    <n v="20"/>
    <x v="0"/>
    <n v="4590.24"/>
    <n v="5088.28"/>
    <x v="1"/>
    <n v="0.16"/>
    <s v="Bank Transfer"/>
    <x v="1"/>
    <s v="East-Alice"/>
    <n v="91804.799999999988"/>
    <x v="0"/>
    <n v="85483.103999999992"/>
    <n v="-6321.6959999999963"/>
    <x v="3"/>
    <n v="-7.3952578979817996E-2"/>
  </r>
  <r>
    <s v="sales_2023_H2.csv"/>
    <s v="1029"/>
    <d v="2023-12-19T00:00:00"/>
    <x v="0"/>
    <x v="0"/>
    <n v="5694.34"/>
    <n v="21"/>
    <x v="3"/>
    <n v="3085.1"/>
    <n v="3200.75"/>
    <x v="1"/>
    <n v="0.21"/>
    <s v="Cash"/>
    <x v="1"/>
    <s v="North-Eve"/>
    <n v="64787.1"/>
    <x v="0"/>
    <n v="53100.442500000005"/>
    <n v="-11686.657499999994"/>
    <x v="3"/>
    <n v="-0.22008587781542499"/>
  </r>
  <r>
    <s v="sales_2023_H2.csv"/>
    <s v="1063"/>
    <d v="2023-12-19T00:00:00"/>
    <x v="1"/>
    <x v="2"/>
    <n v="3889.71"/>
    <n v="46"/>
    <x v="1"/>
    <n v="2302.62"/>
    <n v="2740.93"/>
    <x v="0"/>
    <n v="0.25"/>
    <s v="Bank Transfer"/>
    <x v="0"/>
    <s v="West-Charlie"/>
    <n v="105920.51999999999"/>
    <x v="0"/>
    <n v="94562.084999999992"/>
    <n v="-11358.434999999998"/>
    <x v="3"/>
    <n v="-0.120116164951312"/>
  </r>
  <r>
    <s v="sales_2023_H2.csv"/>
    <s v="1043"/>
    <d v="2023-12-19T00:00:00"/>
    <x v="0"/>
    <x v="1"/>
    <n v="1633.76"/>
    <n v="12"/>
    <x v="2"/>
    <n v="4920.46"/>
    <n v="5079.68"/>
    <x v="1"/>
    <n v="0.21"/>
    <s v="Credit Card"/>
    <x v="1"/>
    <s v="South-Eve"/>
    <n v="59045.520000000004"/>
    <x v="0"/>
    <n v="48155.366400000006"/>
    <n v="-10890.153599999998"/>
    <x v="3"/>
    <n v="-0.22614620994764101"/>
  </r>
  <r>
    <s v="sales_2023_H2.csv"/>
    <s v="1064"/>
    <d v="2023-12-19T00:00:00"/>
    <x v="4"/>
    <x v="2"/>
    <n v="106.47"/>
    <n v="35"/>
    <x v="0"/>
    <n v="4900.03"/>
    <n v="5118.83"/>
    <x v="0"/>
    <n v="7.0000000000000007E-2"/>
    <s v="Credit Card"/>
    <x v="1"/>
    <s v="West-Alice"/>
    <n v="171501.05"/>
    <x v="0"/>
    <n v="166617.91649999999"/>
    <n v="-4883.1334999999963"/>
    <x v="3"/>
    <n v="-2.9307373436037398E-2"/>
  </r>
  <r>
    <s v="sales_2023_H2.csv"/>
    <s v="1069"/>
    <d v="2023-12-20T00:00:00"/>
    <x v="0"/>
    <x v="0"/>
    <n v="5429.49"/>
    <n v="12"/>
    <x v="1"/>
    <n v="4682.34"/>
    <n v="5036.3999999999996"/>
    <x v="1"/>
    <n v="0.2"/>
    <s v="Bank Transfer"/>
    <x v="1"/>
    <s v="North-Eve"/>
    <n v="56188.08"/>
    <x v="0"/>
    <n v="48349.440000000002"/>
    <n v="-7838.6399999999994"/>
    <x v="3"/>
    <n v="-0.16212473195139401"/>
  </r>
  <r>
    <s v="sales_2023_H2.csv"/>
    <s v="1058"/>
    <d v="2023-12-20T00:00:00"/>
    <x v="2"/>
    <x v="0"/>
    <n v="2782.33"/>
    <n v="2"/>
    <x v="0"/>
    <n v="2250.91"/>
    <n v="2558.6799999999998"/>
    <x v="1"/>
    <n v="0.09"/>
    <s v="Credit Card"/>
    <x v="1"/>
    <s v="North-David"/>
    <n v="4501.82"/>
    <x v="0"/>
    <n v="4656.7975999999999"/>
    <n v="154.97760000000017"/>
    <x v="3"/>
    <n v="3.3279865974849401E-2"/>
  </r>
  <r>
    <s v="sales_2023_H2.csv"/>
    <s v="1008"/>
    <d v="2023-12-20T00:00:00"/>
    <x v="1"/>
    <x v="2"/>
    <n v="765.83"/>
    <n v="23"/>
    <x v="0"/>
    <n v="2296.9299999999998"/>
    <n v="2319.62"/>
    <x v="0"/>
    <n v="0.23"/>
    <s v="Bank Transfer"/>
    <x v="1"/>
    <s v="West-Charlie"/>
    <n v="52829.39"/>
    <x v="0"/>
    <n v="41080.470199999996"/>
    <n v="-11748.919800000003"/>
    <x v="3"/>
    <n v="-0.285997695323361"/>
  </r>
  <r>
    <s v="sales_2023_H2.csv"/>
    <s v="1100"/>
    <d v="2023-12-20T00:00:00"/>
    <x v="2"/>
    <x v="2"/>
    <n v="1629.47"/>
    <n v="39"/>
    <x v="2"/>
    <n v="3685.03"/>
    <n v="3743.39"/>
    <x v="1"/>
    <n v="0.01"/>
    <s v="Bank Transfer"/>
    <x v="0"/>
    <s v="West-David"/>
    <n v="143716.17000000001"/>
    <x v="0"/>
    <n v="144532.2879"/>
    <n v="816.11789999998291"/>
    <x v="3"/>
    <n v="5.6466130292260001E-3"/>
  </r>
  <r>
    <s v="sales_2023_H2.csv"/>
    <s v="1053"/>
    <d v="2023-12-21T00:00:00"/>
    <x v="3"/>
    <x v="0"/>
    <n v="660.2"/>
    <n v="44"/>
    <x v="1"/>
    <n v="2045"/>
    <n v="2217.5100000000002"/>
    <x v="0"/>
    <n v="0.08"/>
    <s v="Credit Card"/>
    <x v="0"/>
    <s v="North-Bob"/>
    <n v="89980"/>
    <x v="0"/>
    <n v="89764.804800000013"/>
    <n v="-215.19519999998738"/>
    <x v="3"/>
    <n v="-2.3973226531205801E-3"/>
  </r>
  <r>
    <s v="sales_2023_H2.csv"/>
    <s v="1004"/>
    <d v="2023-12-22T00:00:00"/>
    <x v="0"/>
    <x v="0"/>
    <n v="8485.9"/>
    <n v="11"/>
    <x v="0"/>
    <n v="4840.33"/>
    <n v="4884.29"/>
    <x v="1"/>
    <n v="0.13"/>
    <s v="Cash"/>
    <x v="0"/>
    <s v="North-Eve"/>
    <n v="53243.63"/>
    <x v="0"/>
    <n v="46742.655299999999"/>
    <n v="-6500.9746999999988"/>
    <x v="3"/>
    <n v="-0.13908013265989999"/>
  </r>
  <r>
    <s v="sales_2023_H2.csv"/>
    <s v="1052"/>
    <d v="2023-12-22T00:00:00"/>
    <x v="1"/>
    <x v="2"/>
    <n v="9509.5499999999993"/>
    <n v="2"/>
    <x v="1"/>
    <n v="3752.68"/>
    <n v="4017.91"/>
    <x v="0"/>
    <n v="0.16"/>
    <s v="Bank Transfer"/>
    <x v="0"/>
    <s v="West-Charlie"/>
    <n v="7505.36"/>
    <x v="0"/>
    <n v="6750.0887999999995"/>
    <n v="-755.27120000000014"/>
    <x v="3"/>
    <n v="-0.111890557647182"/>
  </r>
  <r>
    <s v="sales_2023_H2.csv"/>
    <s v="1025"/>
    <d v="2023-12-22T00:00:00"/>
    <x v="3"/>
    <x v="1"/>
    <n v="6030.54"/>
    <n v="11"/>
    <x v="3"/>
    <n v="1250.5899999999999"/>
    <n v="1515.49"/>
    <x v="0"/>
    <n v="0.21"/>
    <s v="Bank Transfer"/>
    <x v="1"/>
    <s v="South-Bob"/>
    <n v="13756.49"/>
    <x v="0"/>
    <n v="13169.608099999999"/>
    <n v="-586.88190000000031"/>
    <x v="3"/>
    <n v="-4.4563353407608301E-2"/>
  </r>
  <r>
    <s v="sales_2023_H2.csv"/>
    <s v="1061"/>
    <d v="2023-12-22T00:00:00"/>
    <x v="4"/>
    <x v="0"/>
    <n v="1990.17"/>
    <n v="45"/>
    <x v="0"/>
    <n v="1364.51"/>
    <n v="1844.8"/>
    <x v="0"/>
    <n v="0.18"/>
    <s v="Cash"/>
    <x v="0"/>
    <s v="North-Alice"/>
    <n v="61402.95"/>
    <x v="0"/>
    <n v="68073.12000000001"/>
    <n v="6670.1700000000128"/>
    <x v="3"/>
    <n v="9.7985372199776002E-2"/>
  </r>
  <r>
    <s v="sales_2023_H2.csv"/>
    <s v="1001"/>
    <d v="2023-12-22T00:00:00"/>
    <x v="2"/>
    <x v="2"/>
    <n v="8803.94"/>
    <n v="45"/>
    <x v="0"/>
    <n v="1372.36"/>
    <n v="1687.83"/>
    <x v="1"/>
    <n v="0.02"/>
    <s v="Credit Card"/>
    <x v="0"/>
    <s v="West-David"/>
    <n v="61756.2"/>
    <x v="0"/>
    <n v="74433.302999999985"/>
    <n v="12677.102999999988"/>
    <x v="3"/>
    <n v="0.17031493281978899"/>
  </r>
  <r>
    <s v="sales_2023_H2.csv"/>
    <s v="1052"/>
    <d v="2023-12-22T00:00:00"/>
    <x v="1"/>
    <x v="2"/>
    <n v="2858.57"/>
    <n v="18"/>
    <x v="3"/>
    <n v="1127.8599999999999"/>
    <n v="1586.29"/>
    <x v="1"/>
    <n v="0.04"/>
    <s v="Credit Card"/>
    <x v="0"/>
    <s v="West-Charlie"/>
    <n v="20301.48"/>
    <x v="0"/>
    <n v="27411.091199999999"/>
    <n v="7109.6111999999994"/>
    <x v="3"/>
    <n v="0.25936987141905499"/>
  </r>
  <r>
    <s v="sales_2023_H2.csv"/>
    <s v="1017"/>
    <d v="2023-12-23T00:00:00"/>
    <x v="4"/>
    <x v="3"/>
    <n v="780.27"/>
    <n v="33"/>
    <x v="3"/>
    <n v="1551.25"/>
    <n v="1994.01"/>
    <x v="0"/>
    <n v="0.08"/>
    <s v="Cash"/>
    <x v="0"/>
    <s v="East-Alice"/>
    <n v="51191.25"/>
    <x v="0"/>
    <n v="60538.143600000003"/>
    <n v="9346.8936000000031"/>
    <x v="3"/>
    <n v="0.15439676614067799"/>
  </r>
  <r>
    <s v="sales_2023_H2.csv"/>
    <s v="1023"/>
    <d v="2023-12-23T00:00:00"/>
    <x v="3"/>
    <x v="3"/>
    <n v="1875.62"/>
    <n v="47"/>
    <x v="2"/>
    <n v="3374.72"/>
    <n v="3483.15"/>
    <x v="0"/>
    <n v="0.18"/>
    <s v="Cash"/>
    <x v="0"/>
    <s v="East-Bob"/>
    <n v="158611.84"/>
    <x v="0"/>
    <n v="134240.60100000002"/>
    <n v="-24371.238999999972"/>
    <x v="3"/>
    <n v="-0.18154894136685201"/>
  </r>
  <r>
    <s v="sales_2023_H2.csv"/>
    <s v="1089"/>
    <d v="2023-12-25T00:00:00"/>
    <x v="0"/>
    <x v="1"/>
    <n v="2032.88"/>
    <n v="32"/>
    <x v="0"/>
    <n v="4248.5"/>
    <n v="4706.7"/>
    <x v="1"/>
    <n v="0.01"/>
    <s v="Bank Transfer"/>
    <x v="1"/>
    <s v="South-Eve"/>
    <n v="135952"/>
    <x v="0"/>
    <n v="149108.25599999999"/>
    <n v="13156.255999999994"/>
    <x v="3"/>
    <n v="8.82329144806039E-2"/>
  </r>
  <r>
    <s v="sales_2023_H2.csv"/>
    <s v="1047"/>
    <d v="2023-12-25T00:00:00"/>
    <x v="2"/>
    <x v="0"/>
    <n v="7405.06"/>
    <n v="43"/>
    <x v="2"/>
    <n v="1249.17"/>
    <n v="1727.15"/>
    <x v="1"/>
    <n v="0.08"/>
    <s v="Cash"/>
    <x v="1"/>
    <s v="North-David"/>
    <n v="53714.310000000005"/>
    <x v="0"/>
    <n v="68326.054000000004"/>
    <n v="14611.743999999999"/>
    <x v="3"/>
    <n v="0.21385318110131199"/>
  </r>
  <r>
    <s v="sales_2023_H2.csv"/>
    <s v="1010"/>
    <d v="2023-12-25T00:00:00"/>
    <x v="2"/>
    <x v="1"/>
    <n v="2418.61"/>
    <n v="30"/>
    <x v="3"/>
    <n v="3289.01"/>
    <n v="3508.14"/>
    <x v="1"/>
    <n v="0.17"/>
    <s v="Bank Transfer"/>
    <x v="1"/>
    <s v="South-David"/>
    <n v="98670.3"/>
    <x v="0"/>
    <n v="87352.685999999987"/>
    <n v="-11317.614000000016"/>
    <x v="3"/>
    <n v="-0.12956228959004201"/>
  </r>
  <r>
    <s v="sales_2023_H2.csv"/>
    <s v="1056"/>
    <d v="2023-12-25T00:00:00"/>
    <x v="3"/>
    <x v="0"/>
    <n v="2809.04"/>
    <n v="25"/>
    <x v="0"/>
    <n v="1154.28"/>
    <n v="1408.4"/>
    <x v="0"/>
    <n v="0.28999999999999998"/>
    <s v="Bank Transfer"/>
    <x v="1"/>
    <s v="North-Bob"/>
    <n v="28857"/>
    <x v="0"/>
    <n v="24999.1"/>
    <n v="-3857.9000000000015"/>
    <x v="3"/>
    <n v="-0.154321555576001"/>
  </r>
  <r>
    <s v="sales_2023_H2.csv"/>
    <s v="1005"/>
    <d v="2023-12-25T00:00:00"/>
    <x v="4"/>
    <x v="1"/>
    <n v="8635.81"/>
    <n v="28"/>
    <x v="1"/>
    <n v="2146.2399999999998"/>
    <n v="2173.4699999999998"/>
    <x v="0"/>
    <n v="0.1"/>
    <s v="Cash"/>
    <x v="1"/>
    <s v="South-Alice"/>
    <n v="60094.719999999994"/>
    <x v="0"/>
    <n v="54771.443999999996"/>
    <n v="-5323.275999999998"/>
    <x v="3"/>
    <n v="-9.7190718579557606E-2"/>
  </r>
  <r>
    <s v="sales_2023_H2.csv"/>
    <s v="1072"/>
    <d v="2023-12-26T00:00:00"/>
    <x v="1"/>
    <x v="0"/>
    <n v="3635.5"/>
    <n v="23"/>
    <x v="1"/>
    <n v="1662.83"/>
    <n v="2074.25"/>
    <x v="1"/>
    <n v="0.12"/>
    <s v="Bank Transfer"/>
    <x v="0"/>
    <s v="North-Charlie"/>
    <n v="38245.089999999997"/>
    <x v="0"/>
    <n v="41982.82"/>
    <n v="3737.7300000000032"/>
    <x v="3"/>
    <n v="8.9029988933568602E-2"/>
  </r>
  <r>
    <s v="sales_2023_H2.csv"/>
    <s v="1099"/>
    <d v="2023-12-26T00:00:00"/>
    <x v="0"/>
    <x v="2"/>
    <n v="6644.04"/>
    <n v="25"/>
    <x v="2"/>
    <n v="4148.4799999999996"/>
    <n v="4293.6899999999996"/>
    <x v="1"/>
    <n v="0.11"/>
    <s v="Bank Transfer"/>
    <x v="0"/>
    <s v="West-Eve"/>
    <n v="103711.99999999999"/>
    <x v="0"/>
    <n v="95534.602499999994"/>
    <n v="-8177.3974999999919"/>
    <x v="3"/>
    <n v="-8.5596184900648895E-2"/>
  </r>
  <r>
    <s v="sales_2023_H2.csv"/>
    <s v="1024"/>
    <d v="2023-12-26T00:00:00"/>
    <x v="2"/>
    <x v="0"/>
    <n v="2565.19"/>
    <n v="17"/>
    <x v="1"/>
    <n v="4114.66"/>
    <n v="4269.0200000000004"/>
    <x v="0"/>
    <n v="0.27"/>
    <s v="Bank Transfer"/>
    <x v="1"/>
    <s v="North-David"/>
    <n v="69949.22"/>
    <x v="0"/>
    <n v="52978.53820000001"/>
    <n v="-16970.681799999991"/>
    <x v="3"/>
    <n v="-0.32033125821504799"/>
  </r>
  <r>
    <s v="sales_2023_H2.csv"/>
    <s v="1032"/>
    <d v="2023-12-26T00:00:00"/>
    <x v="2"/>
    <x v="1"/>
    <n v="4244.21"/>
    <n v="11"/>
    <x v="0"/>
    <n v="4100.62"/>
    <n v="4230"/>
    <x v="1"/>
    <n v="0.28999999999999998"/>
    <s v="Bank Transfer"/>
    <x v="0"/>
    <s v="South-David"/>
    <n v="45106.82"/>
    <x v="0"/>
    <n v="33036.299999999996"/>
    <n v="-12070.520000000004"/>
    <x v="3"/>
    <n v="-0.36537142476609102"/>
  </r>
  <r>
    <s v="sales_2023_H2.csv"/>
    <s v="1071"/>
    <d v="2023-12-27T00:00:00"/>
    <x v="2"/>
    <x v="3"/>
    <n v="4752.88"/>
    <n v="40"/>
    <x v="3"/>
    <n v="1447.72"/>
    <n v="1875.75"/>
    <x v="1"/>
    <n v="0.13"/>
    <s v="Cash"/>
    <x v="1"/>
    <s v="East-David"/>
    <n v="57908.800000000003"/>
    <x v="0"/>
    <n v="65276.1"/>
    <n v="7367.2999999999956"/>
    <x v="3"/>
    <n v="0.112863666793819"/>
  </r>
  <r>
    <s v="sales_2023_H2.csv"/>
    <s v="1057"/>
    <d v="2023-12-27T00:00:00"/>
    <x v="3"/>
    <x v="1"/>
    <n v="3772.32"/>
    <n v="31"/>
    <x v="1"/>
    <n v="2403.16"/>
    <n v="2453.35"/>
    <x v="0"/>
    <n v="0.19"/>
    <s v="Credit Card"/>
    <x v="0"/>
    <s v="South-Bob"/>
    <n v="74497.959999999992"/>
    <x v="0"/>
    <n v="61603.618499999997"/>
    <n v="-12894.341499999995"/>
    <x v="3"/>
    <n v="-0.20931143030177701"/>
  </r>
  <r>
    <s v="sales_2023_H2.csv"/>
    <s v="1056"/>
    <d v="2023-12-27T00:00:00"/>
    <x v="3"/>
    <x v="3"/>
    <n v="7979.67"/>
    <n v="4"/>
    <x v="3"/>
    <n v="1612.82"/>
    <n v="1647.25"/>
    <x v="0"/>
    <n v="0.04"/>
    <s v="Credit Card"/>
    <x v="1"/>
    <s v="East-Bob"/>
    <n v="6451.28"/>
    <x v="0"/>
    <n v="6325.44"/>
    <n v="-125.84000000000015"/>
    <x v="3"/>
    <n v="-1.9894268224819201E-2"/>
  </r>
  <r>
    <s v="sales_2023_H2.csv"/>
    <s v="1065"/>
    <d v="2023-12-28T00:00:00"/>
    <x v="2"/>
    <x v="2"/>
    <n v="6139.07"/>
    <n v="18"/>
    <x v="3"/>
    <n v="4334.58"/>
    <n v="4431.04"/>
    <x v="1"/>
    <n v="0.02"/>
    <s v="Bank Transfer"/>
    <x v="1"/>
    <s v="West-David"/>
    <n v="78022.44"/>
    <x v="0"/>
    <n v="78163.545599999998"/>
    <n v="141.10559999999532"/>
    <x v="3"/>
    <n v="1.80526099368751E-3"/>
  </r>
  <r>
    <s v="sales_2023_H2.csv"/>
    <s v="1086"/>
    <d v="2023-12-28T00:00:00"/>
    <x v="3"/>
    <x v="2"/>
    <n v="1837.37"/>
    <n v="46"/>
    <x v="1"/>
    <n v="83.86"/>
    <n v="526.14"/>
    <x v="0"/>
    <n v="0.11"/>
    <s v="Credit Card"/>
    <x v="0"/>
    <s v="West-Bob"/>
    <n v="3857.56"/>
    <x v="0"/>
    <n v="21540.171599999998"/>
    <n v="17682.611599999997"/>
    <x v="3"/>
    <n v="0.820913218722919"/>
  </r>
  <r>
    <s v="sales_2023_H2.csv"/>
    <s v="1024"/>
    <d v="2023-12-29T00:00:00"/>
    <x v="0"/>
    <x v="0"/>
    <n v="9190.57"/>
    <n v="5"/>
    <x v="1"/>
    <n v="3417.9"/>
    <n v="3714.52"/>
    <x v="0"/>
    <n v="0.27"/>
    <s v="Credit Card"/>
    <x v="1"/>
    <s v="North-Eve"/>
    <n v="17089.5"/>
    <x v="0"/>
    <n v="13557.997999999998"/>
    <n v="-3531.5020000000022"/>
    <x v="3"/>
    <n v="-0.26047370710631501"/>
  </r>
  <r>
    <s v="sales_2023_H2.csv"/>
    <s v="1022"/>
    <d v="2023-12-29T00:00:00"/>
    <x v="2"/>
    <x v="0"/>
    <n v="4557.5200000000004"/>
    <n v="10"/>
    <x v="1"/>
    <n v="1830.61"/>
    <n v="2044.04"/>
    <x v="1"/>
    <n v="0.11"/>
    <s v="Cash"/>
    <x v="0"/>
    <s v="North-David"/>
    <n v="18306.099999999999"/>
    <x v="0"/>
    <n v="18191.956000000002"/>
    <n v="-114.14399999999659"/>
    <x v="3"/>
    <n v="-6.27442150805535E-3"/>
  </r>
  <r>
    <s v="sales_2023_H2.csv"/>
    <s v="1058"/>
    <d v="2023-12-29T00:00:00"/>
    <x v="2"/>
    <x v="0"/>
    <n v="2714.21"/>
    <n v="34"/>
    <x v="2"/>
    <n v="3160.61"/>
    <n v="3273.22"/>
    <x v="0"/>
    <n v="0.08"/>
    <s v="Credit Card"/>
    <x v="1"/>
    <s v="North-David"/>
    <n v="107460.74"/>
    <x v="0"/>
    <n v="102386.3216"/>
    <n v="-5074.4184000000096"/>
    <x v="3"/>
    <n v="-4.9561487518075001E-2"/>
  </r>
  <r>
    <s v="sales_2023_H2.csv"/>
    <s v="1049"/>
    <d v="2023-12-29T00:00:00"/>
    <x v="1"/>
    <x v="1"/>
    <n v="4380.2299999999996"/>
    <n v="38"/>
    <x v="3"/>
    <n v="2945.92"/>
    <n v="3381.22"/>
    <x v="0"/>
    <n v="0.23"/>
    <s v="Cash"/>
    <x v="1"/>
    <s v="South-Charlie"/>
    <n v="111944.96000000001"/>
    <x v="0"/>
    <n v="98934.497199999998"/>
    <n v="-13010.462800000008"/>
    <x v="3"/>
    <n v="-0.13150582626097401"/>
  </r>
  <r>
    <s v="sales_2023_H2.csv"/>
    <s v="1003"/>
    <d v="2023-12-30T00:00:00"/>
    <x v="4"/>
    <x v="3"/>
    <n v="640.88"/>
    <n v="17"/>
    <x v="1"/>
    <n v="395.11"/>
    <n v="676.66"/>
    <x v="0"/>
    <n v="0.25"/>
    <s v="Cash"/>
    <x v="1"/>
    <s v="East-Alice"/>
    <n v="6716.87"/>
    <x v="0"/>
    <n v="8627.4149999999991"/>
    <n v="1910.5449999999992"/>
    <x v="3"/>
    <n v="0.22145045763997701"/>
  </r>
  <r>
    <s v="sales_2023_H2.csv"/>
    <s v="1099"/>
    <d v="2023-12-30T00:00:00"/>
    <x v="3"/>
    <x v="2"/>
    <n v="9450.0400000000009"/>
    <n v="29"/>
    <x v="2"/>
    <n v="3124.87"/>
    <n v="3383.67"/>
    <x v="1"/>
    <n v="0.05"/>
    <s v="Credit Card"/>
    <x v="1"/>
    <s v="West-Bob"/>
    <n v="90621.23"/>
    <x v="0"/>
    <n v="93220.108500000002"/>
    <n v="2598.8785000000062"/>
    <x v="3"/>
    <n v="2.78789473839757E-2"/>
  </r>
  <r>
    <s v="sales_2023_H2.csv"/>
    <s v="1065"/>
    <d v="2023-12-30T00:00:00"/>
    <x v="2"/>
    <x v="1"/>
    <n v="6801.71"/>
    <n v="9"/>
    <x v="0"/>
    <n v="335.82"/>
    <n v="498.31"/>
    <x v="1"/>
    <n v="0.26"/>
    <s v="Cash"/>
    <x v="1"/>
    <s v="South-David"/>
    <n v="3022.38"/>
    <x v="0"/>
    <n v="3318.7446"/>
    <n v="296.36459999999988"/>
    <x v="3"/>
    <n v="8.9300213098651798E-2"/>
  </r>
  <r>
    <s v="sales_2023_H2.csv"/>
    <s v="1025"/>
    <d v="2023-12-30T00:00:00"/>
    <x v="2"/>
    <x v="2"/>
    <n v="9215.32"/>
    <n v="28"/>
    <x v="2"/>
    <n v="2097.84"/>
    <n v="2270.9899999999998"/>
    <x v="1"/>
    <n v="0.13"/>
    <s v="Credit Card"/>
    <x v="1"/>
    <s v="West-David"/>
    <n v="58739.520000000004"/>
    <x v="0"/>
    <n v="55321.316399999996"/>
    <n v="-3418.203600000008"/>
    <x v="3"/>
    <n v="-6.1788182610925897E-2"/>
  </r>
  <r>
    <s v="sales_2023_H2.csv"/>
    <s v="1003"/>
    <d v="2023-12-31T00:00:00"/>
    <x v="4"/>
    <x v="1"/>
    <n v="4775.59"/>
    <n v="30"/>
    <x v="1"/>
    <n v="4190.28"/>
    <n v="4270.6499999999996"/>
    <x v="1"/>
    <n v="0.2"/>
    <s v="Cash"/>
    <x v="0"/>
    <s v="South-Alice"/>
    <n v="125708.4"/>
    <x v="0"/>
    <n v="102495.59999999999"/>
    <n v="-23212.800000000003"/>
    <x v="3"/>
    <n v="-0.22647606336272"/>
  </r>
  <r>
    <s v="sales_2023_H2.csv"/>
    <s v="1086"/>
    <d v="2023-12-31T00:00:00"/>
    <x v="4"/>
    <x v="1"/>
    <n v="9269.32"/>
    <n v="33"/>
    <x v="0"/>
    <n v="3419.33"/>
    <n v="3890.36"/>
    <x v="0"/>
    <n v="0.21"/>
    <s v="Cash"/>
    <x v="1"/>
    <s v="South-Alice"/>
    <n v="112837.89"/>
    <x v="0"/>
    <n v="101421.68520000001"/>
    <n v="-11416.204799999992"/>
    <x v="3"/>
    <n v="-0.112561773919331"/>
  </r>
  <r>
    <s v="sales_2023_H2.csv"/>
    <s v="1058"/>
    <d v="2023-12-31T00:00:00"/>
    <x v="4"/>
    <x v="2"/>
    <n v="4643.51"/>
    <n v="44"/>
    <x v="0"/>
    <n v="1910.47"/>
    <n v="2217.8000000000002"/>
    <x v="1"/>
    <n v="0.22"/>
    <s v="Bank Transfer"/>
    <x v="0"/>
    <s v="West-Alice"/>
    <n v="84060.680000000008"/>
    <x v="0"/>
    <n v="76114.896000000008"/>
    <n v="-7945.7839999999997"/>
    <x v="3"/>
    <n v="-0.104391970791105"/>
  </r>
  <r>
    <s v="sales_2023_H2.csv"/>
    <s v="1094"/>
    <d v="2023-12-31T00:00:00"/>
    <x v="3"/>
    <x v="1"/>
    <n v="6586.22"/>
    <n v="15"/>
    <x v="3"/>
    <n v="4111.93"/>
    <n v="4338.67"/>
    <x v="0"/>
    <n v="0.26"/>
    <s v="Credit Card"/>
    <x v="0"/>
    <s v="South-Bob"/>
    <n v="61678.950000000004"/>
    <x v="0"/>
    <n v="48159.237000000001"/>
    <n v="-13519.713000000003"/>
    <x v="3"/>
    <n v="-0.280729385309821"/>
  </r>
  <r>
    <s v="sales_2023_H2.csv"/>
    <s v="1090"/>
    <d v="2023-12-31T00:00:00"/>
    <x v="0"/>
    <x v="2"/>
    <n v="3333.73"/>
    <n v="46"/>
    <x v="0"/>
    <n v="4665.12"/>
    <n v="4675.8999999999996"/>
    <x v="1"/>
    <n v="0.19"/>
    <s v="Cash"/>
    <x v="1"/>
    <s v="West-Eve"/>
    <n v="214595.52"/>
    <x v="0"/>
    <n v="174224.03400000001"/>
    <n v="-40371.485999999975"/>
    <x v="3"/>
    <n v="-0.23172168083308201"/>
  </r>
  <r>
    <s v="sales_2024.csv"/>
    <s v="1018"/>
    <d v="2024-01-01T00:00:00"/>
    <x v="4"/>
    <x v="2"/>
    <n v="8579.7199999999993"/>
    <n v="24"/>
    <x v="2"/>
    <n v="1362.78"/>
    <n v="1729.81"/>
    <x v="1"/>
    <n v="0.28999999999999998"/>
    <s v="Bank Transfer"/>
    <x v="0"/>
    <s v="West-Alice"/>
    <n v="32706.720000000001"/>
    <x v="1"/>
    <n v="29475.9624"/>
    <n v="-3230.7576000000008"/>
    <x v="0"/>
    <n v="-0.10960651788591"/>
  </r>
  <r>
    <s v="sales_2024.csv"/>
    <s v="1078"/>
    <d v="2024-01-01T00:00:00"/>
    <x v="2"/>
    <x v="3"/>
    <n v="8377.57"/>
    <n v="42"/>
    <x v="3"/>
    <n v="63.41"/>
    <n v="314.93"/>
    <x v="0"/>
    <n v="0.03"/>
    <s v="Cash"/>
    <x v="1"/>
    <s v="East-David"/>
    <n v="2663.22"/>
    <x v="1"/>
    <n v="12830.2482"/>
    <n v="10167.028200000001"/>
    <x v="0"/>
    <n v="0.79242646295805896"/>
  </r>
  <r>
    <s v="sales_2024.csv"/>
    <s v="1098"/>
    <d v="2024-01-01T00:00:00"/>
    <x v="3"/>
    <x v="1"/>
    <n v="2370.7199999999998"/>
    <n v="11"/>
    <x v="0"/>
    <n v="213.41"/>
    <n v="503.36"/>
    <x v="0"/>
    <n v="0.27"/>
    <s v="Bank Transfer"/>
    <x v="0"/>
    <s v="South-Bob"/>
    <n v="2347.5099999999998"/>
    <x v="1"/>
    <n v="4041.9807999999998"/>
    <n v="1694.4708000000001"/>
    <x v="0"/>
    <n v="0.419217924043577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021C90-9DCF-4E92-A0DD-4F9C67BFF267}"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0" firstDataRow="1" firstDataCol="1"/>
  <pivotFields count="21">
    <pivotField showAll="0"/>
    <pivotField showAll="0"/>
    <pivotField numFmtId="14" showAll="0"/>
    <pivotField showAll="0">
      <items count="6">
        <item x="4"/>
        <item x="3"/>
        <item x="1"/>
        <item x="2"/>
        <item x="0"/>
        <item t="default"/>
      </items>
    </pivotField>
    <pivotField axis="axisRow" showAll="0">
      <items count="5">
        <item x="3"/>
        <item x="0"/>
        <item x="1"/>
        <item x="2"/>
        <item t="default"/>
      </items>
    </pivotField>
    <pivotField showAll="0"/>
    <pivotField dataField="1" showAll="0"/>
    <pivotField showAll="0">
      <items count="5">
        <item x="0"/>
        <item x="2"/>
        <item x="3"/>
        <item x="1"/>
        <item t="default"/>
      </items>
    </pivotField>
    <pivotField showAll="0"/>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pivotField dataField="1" showAll="0"/>
    <pivotField dataField="1" showAll="0"/>
    <pivotField showAll="0"/>
    <pivotField showAll="0"/>
  </pivotFields>
  <rowFields count="1">
    <field x="4"/>
  </rowFields>
  <rowItems count="5">
    <i>
      <x/>
    </i>
    <i>
      <x v="1"/>
    </i>
    <i>
      <x v="2"/>
    </i>
    <i>
      <x v="3"/>
    </i>
    <i t="grand">
      <x/>
    </i>
  </rowItems>
  <colFields count="1">
    <field x="-2"/>
  </colFields>
  <colItems count="3">
    <i>
      <x/>
    </i>
    <i i="1">
      <x v="1"/>
    </i>
    <i i="2">
      <x v="2"/>
    </i>
  </colItems>
  <dataFields count="3">
    <dataField name="Sum of Expected_Revenue" fld="17" baseField="0" baseItem="0" numFmtId="4"/>
    <dataField name="Sum of Profit" fld="18" baseField="0" baseItem="0" numFmtId="4"/>
    <dataField name="Sum of Quantity_Sold" fld="6" baseField="0" baseItem="0"/>
  </dataFields>
  <formats count="2">
    <format dxfId="114">
      <pivotArea outline="0" collapsedLevelsAreSubtotals="1" fieldPosition="0">
        <references count="1">
          <reference field="4294967294" count="1" selected="0">
            <x v="0"/>
          </reference>
        </references>
      </pivotArea>
    </format>
    <format dxfId="115">
      <pivotArea outline="0" collapsedLevelsAreSubtotals="1" fieldPosition="0">
        <references count="1">
          <reference field="4294967294" count="1" selected="0">
            <x v="1"/>
          </reference>
        </references>
      </pivotArea>
    </format>
  </formats>
  <chartFormats count="3">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2"/>
          </reference>
        </references>
      </pivotArea>
    </chartFormat>
  </chartFormats>
  <pivotTableStyleInfo name="PivotStyleLight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589C56-C19A-486F-AE09-EE2D9F7A3D32}"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0" firstDataRow="1" firstDataCol="1"/>
  <pivotFields count="21">
    <pivotField showAll="0"/>
    <pivotField showAll="0"/>
    <pivotField numFmtId="14" showAll="0"/>
    <pivotField showAll="0">
      <items count="6">
        <item x="4"/>
        <item x="3"/>
        <item x="1"/>
        <item x="2"/>
        <item x="0"/>
        <item t="default"/>
      </items>
    </pivotField>
    <pivotField showAll="0">
      <items count="5">
        <item x="3"/>
        <item x="0"/>
        <item x="1"/>
        <item x="2"/>
        <item t="default"/>
      </items>
    </pivotField>
    <pivotField showAll="0"/>
    <pivotField dataField="1" showAll="0"/>
    <pivotField axis="axisRow" showAll="0">
      <items count="5">
        <item x="0"/>
        <item x="2"/>
        <item x="3"/>
        <item x="1"/>
        <item t="default"/>
      </items>
    </pivotField>
    <pivotField showAll="0"/>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pivotField dataField="1" showAll="0"/>
    <pivotField dataField="1" showAll="0"/>
    <pivotField showAll="0"/>
    <pivotField showAll="0"/>
  </pivotFields>
  <rowFields count="1">
    <field x="7"/>
  </rowFields>
  <rowItems count="5">
    <i>
      <x/>
    </i>
    <i>
      <x v="1"/>
    </i>
    <i>
      <x v="2"/>
    </i>
    <i>
      <x v="3"/>
    </i>
    <i t="grand">
      <x/>
    </i>
  </rowItems>
  <colFields count="1">
    <field x="-2"/>
  </colFields>
  <colItems count="3">
    <i>
      <x/>
    </i>
    <i i="1">
      <x v="1"/>
    </i>
    <i i="2">
      <x v="2"/>
    </i>
  </colItems>
  <dataFields count="3">
    <dataField name="Sum of Expected_Revenue" fld="17" baseField="0" baseItem="0" numFmtId="4"/>
    <dataField name="Sum of Profit" fld="18" baseField="0" baseItem="0" numFmtId="4"/>
    <dataField name="Sum of Quantity_Sold" fld="6" baseField="0" baseItem="0"/>
  </dataFields>
  <formats count="2">
    <format dxfId="112">
      <pivotArea outline="0" collapsedLevelsAreSubtotals="1" fieldPosition="0">
        <references count="1">
          <reference field="4294967294" count="1" selected="0">
            <x v="1"/>
          </reference>
        </references>
      </pivotArea>
    </format>
    <format dxfId="113">
      <pivotArea outline="0" collapsedLevelsAreSubtotals="1" fieldPosition="0">
        <references count="1">
          <reference field="4294967294" count="1" selected="0">
            <x v="0"/>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FCA706-8970-4F2B-9316-29FC7F7C5978}"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1" firstHeaderRow="0" firstDataRow="1" firstDataCol="1"/>
  <pivotFields count="21">
    <pivotField showAll="0"/>
    <pivotField showAll="0"/>
    <pivotField numFmtId="14" showAll="0"/>
    <pivotField showAll="0">
      <items count="6">
        <item x="4"/>
        <item x="3"/>
        <item x="1"/>
        <item x="2"/>
        <item x="0"/>
        <item t="default"/>
      </items>
    </pivotField>
    <pivotField showAll="0">
      <items count="5">
        <item x="3"/>
        <item x="0"/>
        <item x="1"/>
        <item x="2"/>
        <item t="default"/>
      </items>
    </pivotField>
    <pivotField showAll="0"/>
    <pivotField showAll="0"/>
    <pivotField showAll="0">
      <items count="5">
        <item x="0"/>
        <item x="2"/>
        <item x="3"/>
        <item x="1"/>
        <item t="default"/>
      </items>
    </pivotField>
    <pivotField showAll="0"/>
    <pivotField showAll="0"/>
    <pivotField showAll="0">
      <items count="3">
        <item x="1"/>
        <item x="0"/>
        <item t="default"/>
      </items>
    </pivotField>
    <pivotField showAll="0"/>
    <pivotField showAll="0"/>
    <pivotField showAll="0">
      <items count="3">
        <item x="0"/>
        <item x="1"/>
        <item t="default"/>
      </items>
    </pivotField>
    <pivotField showAll="0"/>
    <pivotField showAll="0"/>
    <pivotField axis="axisRow" showAll="0">
      <items count="3">
        <item x="0"/>
        <item x="1"/>
        <item t="default"/>
      </items>
    </pivotField>
    <pivotField dataField="1" showAll="0"/>
    <pivotField dataField="1" showAll="0"/>
    <pivotField axis="axisRow" showAll="0">
      <items count="5">
        <item x="0"/>
        <item x="1"/>
        <item x="2"/>
        <item x="3"/>
        <item t="default"/>
      </items>
    </pivotField>
    <pivotField showAll="0"/>
  </pivotFields>
  <rowFields count="2">
    <field x="16"/>
    <field x="19"/>
  </rowFields>
  <rowItems count="8">
    <i>
      <x/>
    </i>
    <i r="1">
      <x/>
    </i>
    <i r="1">
      <x v="1"/>
    </i>
    <i r="1">
      <x v="2"/>
    </i>
    <i r="1">
      <x v="3"/>
    </i>
    <i>
      <x v="1"/>
    </i>
    <i r="1">
      <x/>
    </i>
    <i t="grand">
      <x/>
    </i>
  </rowItems>
  <colFields count="1">
    <field x="-2"/>
  </colFields>
  <colItems count="2">
    <i>
      <x/>
    </i>
    <i i="1">
      <x v="1"/>
    </i>
  </colItems>
  <dataFields count="2">
    <dataField name="Sum of Expected_Revenue" fld="17" baseField="0" baseItem="0"/>
    <dataField name="Sum of Profit" fld="18"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40B9425-8728-42BC-9781-F64973028E5A}" autoFormatId="16" applyNumberFormats="0" applyBorderFormats="0" applyFontFormats="0" applyPatternFormats="0" applyAlignmentFormats="0" applyWidthHeightFormats="0">
  <queryTableRefresh nextId="25">
    <queryTableFields count="21">
      <queryTableField id="1" name="Source.Name" tableColumnId="1"/>
      <queryTableField id="2" name="Product_ID" tableColumnId="2"/>
      <queryTableField id="3" name="Sale_Date" tableColumnId="3"/>
      <queryTableField id="4" name="Sales_Rep" tableColumnId="4"/>
      <queryTableField id="5" name="Region" tableColumnId="5"/>
      <queryTableField id="6" name="Sales_Amount" tableColumnId="6"/>
      <queryTableField id="7" name="Quantity_Sold" tableColumnId="7"/>
      <queryTableField id="8" name="Product_Category" tableColumnId="8"/>
      <queryTableField id="9" name="Unit_Cost" tableColumnId="9"/>
      <queryTableField id="10" name="Unit_Price" tableColumnId="10"/>
      <queryTableField id="11" name="Customer_Type" tableColumnId="11"/>
      <queryTableField id="12" name="Discount" tableColumnId="12"/>
      <queryTableField id="13" name="Payment_Method" tableColumnId="13"/>
      <queryTableField id="14" name="Sales_Channel" tableColumnId="14"/>
      <queryTableField id="15" name="Region_and_Sales_Rep" tableColumnId="15"/>
      <queryTableField id="16" name="Total_Cost" tableColumnId="16"/>
      <queryTableField id="19" name="Year" tableColumnId="19"/>
      <queryTableField id="21" name="Expected_Revenue" tableColumnId="21"/>
      <queryTableField id="17" name="Profit" tableColumnId="17"/>
      <queryTableField id="20" name="Quarter" tableColumnId="20"/>
      <queryTableField id="18" name="Profit_Margin"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943466B-C1C7-4270-8217-35CBF1BD23AB}" sourceName="Product_Category">
  <pivotTables>
    <pivotTable tabId="3" name="PivotTable1"/>
    <pivotTable tabId="4" name="PivotTable2"/>
    <pivotTable tabId="5" name="PivotTable3"/>
  </pivotTables>
  <data>
    <tabular pivotCacheId="1146386119">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74FA91B-2AC4-4DBF-AF8A-7F9C08C027D0}" sourceName="Customer_Type">
  <pivotTables>
    <pivotTable tabId="3" name="PivotTable1"/>
    <pivotTable tabId="4" name="PivotTable2"/>
    <pivotTable tabId="5" name="PivotTable3"/>
  </pivotTables>
  <data>
    <tabular pivotCacheId="114638611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3783E421-7DF5-47B8-ABC7-AB2C2815C582}" sourceName="Sales_Channel">
  <pivotTables>
    <pivotTable tabId="3" name="PivotTable1"/>
    <pivotTable tabId="4" name="PivotTable2"/>
    <pivotTable tabId="5" name="PivotTable3"/>
  </pivotTables>
  <data>
    <tabular pivotCacheId="114638611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2573C559-BC77-4B13-A8A5-144FBE4B059B}" sourceName="Sales_Rep">
  <pivotTables>
    <pivotTable tabId="3" name="PivotTable1"/>
    <pivotTable tabId="4" name="PivotTable2"/>
    <pivotTable tabId="5" name="PivotTable3"/>
  </pivotTables>
  <data>
    <tabular pivotCacheId="1146386119">
      <items count="5">
        <i x="4" s="1"/>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80CBAC5-0967-4C9F-9EB8-5FE109456894}" sourceName="Region">
  <pivotTables>
    <pivotTable tabId="3" name="PivotTable1"/>
    <pivotTable tabId="4" name="PivotTable2"/>
    <pivotTable tabId="5" name="PivotTable3"/>
  </pivotTables>
  <data>
    <tabular pivotCacheId="1146386119">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2E1934F0-BD3D-4CA8-8821-CD9D506FEBC3}" cache="Slicer_Product_Category" caption="Product_Category" startItem="2" rowHeight="234950"/>
  <slicer name="Customer_Type" xr10:uid="{58F2C3B1-494B-466E-9CA8-7D3F5D539800}" cache="Slicer_Customer_Type" caption="Customer_Type" rowHeight="234950"/>
  <slicer name="Sales_Channel" xr10:uid="{4419E605-71C7-4690-869F-24C91D3EAE09}" cache="Slicer_Sales_Channel" caption="Sales_Channel" rowHeight="234950"/>
  <slicer name="Sales_Rep" xr10:uid="{0A06CD86-8C86-4041-8D00-006F0982E6E1}" cache="Slicer_Sales_Rep" caption="Sales_Rep" rowHeight="234950"/>
  <slicer name="Region" xr10:uid="{F503DF9A-E207-4378-B33F-F4F2A55106A3}" cache="Slicer_Region" caption="Reg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20FB29-28B4-43ED-8C68-85A0A65A9648}" name="excel" displayName="excel" ref="A1:U2407" tableType="queryTable" totalsRowShown="0">
  <autoFilter ref="A1:U2407" xr:uid="{5E20FB29-28B4-43ED-8C68-85A0A65A9648}"/>
  <tableColumns count="21">
    <tableColumn id="1" xr3:uid="{69AA0FE2-EE91-4053-B3D6-2FB333B74998}" uniqueName="1" name="Source.Name" queryTableFieldId="1" dataDxfId="34"/>
    <tableColumn id="2" xr3:uid="{5909F4A8-B140-4784-ADD9-05474B924637}" uniqueName="2" name="Product_ID" queryTableFieldId="2" dataDxfId="33"/>
    <tableColumn id="3" xr3:uid="{0C092257-5049-4A76-9EA8-7F3C23CE7C81}" uniqueName="3" name="Sale_Date" queryTableFieldId="3" dataDxfId="32"/>
    <tableColumn id="4" xr3:uid="{1323A904-B372-4F84-8106-964DBE02DEE0}" uniqueName="4" name="Sales_Rep" queryTableFieldId="4" dataDxfId="31"/>
    <tableColumn id="5" xr3:uid="{F4F7A899-6910-44BA-BEDB-83D840BF2CFE}" uniqueName="5" name="Region" queryTableFieldId="5" dataDxfId="30"/>
    <tableColumn id="6" xr3:uid="{D477BFDD-A9CC-4BA9-8798-4F9395E50D35}" uniqueName="6" name="Sales_Amount" queryTableFieldId="6"/>
    <tableColumn id="7" xr3:uid="{AB2107CE-F9AF-4019-938D-47A96BFF4894}" uniqueName="7" name="Quantity_Sold" queryTableFieldId="7"/>
    <tableColumn id="8" xr3:uid="{9EA92406-CA7D-4D99-8CFD-857D53593C5F}" uniqueName="8" name="Product_Category" queryTableFieldId="8" dataDxfId="29"/>
    <tableColumn id="9" xr3:uid="{833F542B-0A16-487C-953F-CFF9009698C5}" uniqueName="9" name="Unit_Cost" queryTableFieldId="9"/>
    <tableColumn id="10" xr3:uid="{26E92603-BB92-478C-9792-6655A182F15E}" uniqueName="10" name="Unit_Price" queryTableFieldId="10"/>
    <tableColumn id="11" xr3:uid="{AE7AA927-EAB5-4C97-A745-0A8A376D493B}" uniqueName="11" name="Customer_Type" queryTableFieldId="11" dataDxfId="28"/>
    <tableColumn id="12" xr3:uid="{9AFDBFE1-FD85-435C-99D6-36C92A944A30}" uniqueName="12" name="Discount" queryTableFieldId="12"/>
    <tableColumn id="13" xr3:uid="{53CECF08-75BE-4603-8640-FD802CE07844}" uniqueName="13" name="Payment_Method" queryTableFieldId="13" dataDxfId="27"/>
    <tableColumn id="14" xr3:uid="{4B89266D-3C0C-4284-8D68-8B4608B4E1E6}" uniqueName="14" name="Sales_Channel" queryTableFieldId="14" dataDxfId="26"/>
    <tableColumn id="15" xr3:uid="{49F15486-358C-420C-BEDF-7DF85DCBC692}" uniqueName="15" name="Region_and_Sales_Rep" queryTableFieldId="15" dataDxfId="25"/>
    <tableColumn id="16" xr3:uid="{52AD1D1A-D8C2-4454-9A11-92FBEC21F038}" uniqueName="16" name="Total_Cost" queryTableFieldId="16"/>
    <tableColumn id="19" xr3:uid="{434A321C-768A-4538-A017-E87C70F6A3C9}" uniqueName="19" name="Year" queryTableFieldId="19"/>
    <tableColumn id="21" xr3:uid="{B64D8DB9-2BDD-447C-9A21-F9298FA0A81A}" uniqueName="21" name="Expected_Revenue" queryTableFieldId="21"/>
    <tableColumn id="17" xr3:uid="{FE154120-776D-49D5-866D-B4689B8C79FE}" uniqueName="17" name="Profit" queryTableFieldId="17"/>
    <tableColumn id="20" xr3:uid="{395866CB-5044-4DC3-B39C-AF900EB37C8C}" uniqueName="20" name="Quarter" queryTableFieldId="20" dataDxfId="24"/>
    <tableColumn id="18" xr3:uid="{04F8EBE1-E816-42F3-822F-819E1AB464A9}" uniqueName="18" name="Profit_Margin"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D03E5-92B4-48DA-8DE1-A3EC5DFEC06A}">
  <dimension ref="A1:G3"/>
  <sheetViews>
    <sheetView tabSelected="1" workbookViewId="0">
      <selection activeCell="J11" sqref="J11"/>
    </sheetView>
  </sheetViews>
  <sheetFormatPr defaultRowHeight="14.4" x14ac:dyDescent="0.3"/>
  <cols>
    <col min="1" max="1" width="11.5546875" bestFit="1" customWidth="1"/>
    <col min="3" max="3" width="11.21875" bestFit="1" customWidth="1"/>
  </cols>
  <sheetData>
    <row r="1" spans="1:7" ht="61.2" x14ac:dyDescent="1.1000000000000001">
      <c r="A1" s="9" t="s">
        <v>178</v>
      </c>
    </row>
    <row r="2" spans="1:7" x14ac:dyDescent="0.3">
      <c r="A2" t="s">
        <v>175</v>
      </c>
      <c r="C2" t="s">
        <v>159</v>
      </c>
      <c r="E2" t="s">
        <v>173</v>
      </c>
      <c r="G2" t="s">
        <v>176</v>
      </c>
    </row>
    <row r="3" spans="1:7" x14ac:dyDescent="0.3">
      <c r="A3" s="10">
        <f>GETPIVOTDATA("Sum of Expected_Revenue",Regional_Analysis!$A$3)</f>
        <v>59686173.283699997</v>
      </c>
      <c r="C3" s="10">
        <f>GETPIVOTDATA("Sum of Profit",Regional_Analysis!$A$3)</f>
        <v>-4155920.3563000001</v>
      </c>
      <c r="E3" s="11">
        <f>IFERROR(GETPIVOTDATA("Sum of Profit",Regional_Analysis!$A$3)/GETPIVOTDATA("Sum of Expected_Revenue",Regional_Analysis!$A$3),0)</f>
        <v>-6.9629532731912663E-2</v>
      </c>
      <c r="G3" s="10">
        <f>GETPIVOTDATA("Sum of Quantity_Sold",Regional_Analysis!$A$3)</f>
        <v>25355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E0B75-E191-4DC1-BA39-39339ED1080A}">
  <dimension ref="A3:E8"/>
  <sheetViews>
    <sheetView workbookViewId="0">
      <selection activeCell="K22" sqref="K22"/>
    </sheetView>
  </sheetViews>
  <sheetFormatPr defaultRowHeight="14.4" x14ac:dyDescent="0.3"/>
  <cols>
    <col min="1" max="1" width="12.5546875" bestFit="1" customWidth="1"/>
    <col min="2" max="2" width="23.77734375" bestFit="1" customWidth="1"/>
    <col min="3" max="3" width="12.33203125" bestFit="1" customWidth="1"/>
    <col min="4" max="4" width="19.6640625" bestFit="1" customWidth="1"/>
  </cols>
  <sheetData>
    <row r="3" spans="1:5" x14ac:dyDescent="0.3">
      <c r="A3" s="3" t="s">
        <v>168</v>
      </c>
      <c r="B3" t="s">
        <v>170</v>
      </c>
      <c r="C3" t="s">
        <v>171</v>
      </c>
      <c r="D3" t="s">
        <v>172</v>
      </c>
      <c r="E3" s="7" t="s">
        <v>173</v>
      </c>
    </row>
    <row r="4" spans="1:5" x14ac:dyDescent="0.3">
      <c r="A4" s="4" t="s">
        <v>44</v>
      </c>
      <c r="B4" s="5">
        <v>15202282.224599995</v>
      </c>
      <c r="C4" s="5">
        <v>-1224561.6253999996</v>
      </c>
      <c r="D4" s="1">
        <v>6356</v>
      </c>
      <c r="E4" s="8">
        <f>C4/B4</f>
        <v>-8.055117036430498E-2</v>
      </c>
    </row>
    <row r="5" spans="1:5" x14ac:dyDescent="0.3">
      <c r="A5" s="4" t="s">
        <v>18</v>
      </c>
      <c r="B5" s="5">
        <v>15570342.181999994</v>
      </c>
      <c r="C5" s="5">
        <v>-976600.46799999999</v>
      </c>
      <c r="D5" s="1">
        <v>6705</v>
      </c>
      <c r="E5" s="8">
        <f t="shared" ref="E5:E8" si="0">C5/B5</f>
        <v>-6.2721837232902519E-2</v>
      </c>
    </row>
    <row r="6" spans="1:5" x14ac:dyDescent="0.3">
      <c r="A6" s="4" t="s">
        <v>30</v>
      </c>
      <c r="B6" s="5">
        <v>13894660.279499996</v>
      </c>
      <c r="C6" s="5">
        <v>-868169.98049999971</v>
      </c>
      <c r="D6" s="1">
        <v>5808</v>
      </c>
      <c r="E6" s="8">
        <f t="shared" si="0"/>
        <v>-6.2482274703821769E-2</v>
      </c>
    </row>
    <row r="7" spans="1:5" x14ac:dyDescent="0.3">
      <c r="A7" s="4" t="s">
        <v>40</v>
      </c>
      <c r="B7" s="5">
        <v>15018888.597600004</v>
      </c>
      <c r="C7" s="5">
        <v>-1086588.2824000008</v>
      </c>
      <c r="D7" s="1">
        <v>6486</v>
      </c>
      <c r="E7" s="8">
        <f t="shared" si="0"/>
        <v>-7.2348115197660906E-2</v>
      </c>
    </row>
    <row r="8" spans="1:5" x14ac:dyDescent="0.3">
      <c r="A8" s="4" t="s">
        <v>169</v>
      </c>
      <c r="B8" s="5">
        <v>59686173.283699997</v>
      </c>
      <c r="C8" s="5">
        <v>-4155920.3563000001</v>
      </c>
      <c r="D8" s="1">
        <v>25355</v>
      </c>
      <c r="E8" s="8">
        <f t="shared" si="0"/>
        <v>-6.9629532731912663E-2</v>
      </c>
    </row>
  </sheetData>
  <conditionalFormatting sqref="E4:E7 E9">
    <cfRule type="cellIs" dxfId="37" priority="1"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1438E-CDBC-44D1-95AA-C180D451DDE4}">
  <dimension ref="A3:D8"/>
  <sheetViews>
    <sheetView workbookViewId="0">
      <selection activeCell="C4" sqref="C4"/>
    </sheetView>
  </sheetViews>
  <sheetFormatPr defaultRowHeight="14.4" x14ac:dyDescent="0.3"/>
  <cols>
    <col min="1" max="1" width="12.5546875" bestFit="1" customWidth="1"/>
    <col min="2" max="2" width="23.77734375" bestFit="1" customWidth="1"/>
    <col min="3" max="3" width="12.33203125" bestFit="1" customWidth="1"/>
    <col min="4" max="4" width="19.6640625" bestFit="1" customWidth="1"/>
  </cols>
  <sheetData>
    <row r="3" spans="1:4" x14ac:dyDescent="0.3">
      <c r="A3" s="3" t="s">
        <v>168</v>
      </c>
      <c r="B3" t="s">
        <v>170</v>
      </c>
      <c r="C3" t="s">
        <v>171</v>
      </c>
      <c r="D3" t="s">
        <v>172</v>
      </c>
    </row>
    <row r="4" spans="1:4" x14ac:dyDescent="0.3">
      <c r="A4" s="4" t="s">
        <v>19</v>
      </c>
      <c r="B4" s="5">
        <v>16360844.624699995</v>
      </c>
      <c r="C4" s="5">
        <v>-1212931.5052999994</v>
      </c>
      <c r="D4" s="1">
        <v>6922</v>
      </c>
    </row>
    <row r="5" spans="1:4" x14ac:dyDescent="0.3">
      <c r="A5" s="4" t="s">
        <v>37</v>
      </c>
      <c r="B5" s="5">
        <v>15153225.285399998</v>
      </c>
      <c r="C5" s="5">
        <v>-843495.22459999949</v>
      </c>
      <c r="D5" s="1">
        <v>6096</v>
      </c>
    </row>
    <row r="6" spans="1:4" x14ac:dyDescent="0.3">
      <c r="A6" s="4" t="s">
        <v>57</v>
      </c>
      <c r="B6" s="5">
        <v>12808326.230800003</v>
      </c>
      <c r="C6" s="5">
        <v>-912451.36920000031</v>
      </c>
      <c r="D6" s="1">
        <v>5608</v>
      </c>
    </row>
    <row r="7" spans="1:4" x14ac:dyDescent="0.3">
      <c r="A7" s="4" t="s">
        <v>31</v>
      </c>
      <c r="B7" s="5">
        <v>15363777.1428</v>
      </c>
      <c r="C7" s="5">
        <v>-1187042.2572000003</v>
      </c>
      <c r="D7" s="1">
        <v>6729</v>
      </c>
    </row>
    <row r="8" spans="1:4" x14ac:dyDescent="0.3">
      <c r="A8" s="4" t="s">
        <v>169</v>
      </c>
      <c r="B8" s="5">
        <v>59686173.283699989</v>
      </c>
      <c r="C8" s="5">
        <v>-4155920.3562999996</v>
      </c>
      <c r="D8" s="1">
        <v>25355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1158F-40DE-4494-B8D4-8AB763A860FF}">
  <dimension ref="A3:D11"/>
  <sheetViews>
    <sheetView workbookViewId="0">
      <selection activeCell="D9" activeCellId="3" sqref="D6 D7 D8 D9"/>
    </sheetView>
  </sheetViews>
  <sheetFormatPr defaultRowHeight="14.4" x14ac:dyDescent="0.3"/>
  <cols>
    <col min="1" max="1" width="12.5546875" bestFit="1" customWidth="1"/>
    <col min="2" max="2" width="23.77734375" bestFit="1" customWidth="1"/>
    <col min="3" max="3" width="12.6640625" bestFit="1" customWidth="1"/>
  </cols>
  <sheetData>
    <row r="3" spans="1:4" x14ac:dyDescent="0.3">
      <c r="A3" s="3" t="s">
        <v>168</v>
      </c>
      <c r="B3" t="s">
        <v>170</v>
      </c>
      <c r="C3" t="s">
        <v>171</v>
      </c>
      <c r="D3" t="s">
        <v>174</v>
      </c>
    </row>
    <row r="4" spans="1:4" x14ac:dyDescent="0.3">
      <c r="A4" s="4">
        <v>2023</v>
      </c>
      <c r="B4" s="1">
        <v>59639825.092300013</v>
      </c>
      <c r="C4" s="1">
        <v>-4164551.0977000007</v>
      </c>
    </row>
    <row r="5" spans="1:4" x14ac:dyDescent="0.3">
      <c r="A5" s="6" t="s">
        <v>163</v>
      </c>
      <c r="B5" s="1">
        <v>16149522.228499999</v>
      </c>
      <c r="C5" s="1">
        <v>-1252148.2015000002</v>
      </c>
    </row>
    <row r="6" spans="1:4" x14ac:dyDescent="0.3">
      <c r="A6" s="6" t="s">
        <v>164</v>
      </c>
      <c r="B6" s="1">
        <v>14692573.422600001</v>
      </c>
      <c r="C6" s="1">
        <v>-1127640.7674000005</v>
      </c>
      <c r="D6" s="8">
        <f>IFERROR((B6-B5)/B5,"")</f>
        <v>-9.0216217253092229E-2</v>
      </c>
    </row>
    <row r="7" spans="1:4" x14ac:dyDescent="0.3">
      <c r="A7" s="6" t="s">
        <v>165</v>
      </c>
      <c r="B7" s="1">
        <v>13563763.14330001</v>
      </c>
      <c r="C7" s="1">
        <v>-981838.49670000013</v>
      </c>
      <c r="D7" s="8">
        <f>IFERROR((B7-B6)/B6,"")</f>
        <v>-7.6828629460082468E-2</v>
      </c>
    </row>
    <row r="8" spans="1:4" x14ac:dyDescent="0.3">
      <c r="A8" s="6" t="s">
        <v>166</v>
      </c>
      <c r="B8" s="1">
        <v>15233966.297899999</v>
      </c>
      <c r="C8" s="1">
        <v>-802923.63209999981</v>
      </c>
      <c r="D8" s="8">
        <f>IFERROR((B8-B7)/B7,"")</f>
        <v>0.12313715131666882</v>
      </c>
    </row>
    <row r="9" spans="1:4" x14ac:dyDescent="0.3">
      <c r="A9" s="4">
        <v>2024</v>
      </c>
      <c r="B9" s="1">
        <v>46348.191399999996</v>
      </c>
      <c r="C9" s="1">
        <v>8630.741399999999</v>
      </c>
    </row>
    <row r="10" spans="1:4" x14ac:dyDescent="0.3">
      <c r="A10" s="6" t="s">
        <v>163</v>
      </c>
      <c r="B10" s="1">
        <v>46348.191399999996</v>
      </c>
      <c r="C10" s="1">
        <v>8630.741399999999</v>
      </c>
    </row>
    <row r="11" spans="1:4" x14ac:dyDescent="0.3">
      <c r="A11" s="4" t="s">
        <v>169</v>
      </c>
      <c r="B11" s="1">
        <v>59686173.283700012</v>
      </c>
      <c r="C11" s="1">
        <v>-4155920.3563000006</v>
      </c>
    </row>
  </sheetData>
  <conditionalFormatting sqref="D6:D9">
    <cfRule type="cellIs" dxfId="36" priority="2" operator="lessThan">
      <formula>0</formula>
    </cfRule>
  </conditionalFormatting>
  <conditionalFormatting sqref="D6:D9">
    <cfRule type="cellIs" dxfId="35" priority="1" operator="greater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C3B7A-0EF8-469D-881F-54A11A723C25}">
  <dimension ref="A1:U2407"/>
  <sheetViews>
    <sheetView workbookViewId="0">
      <selection sqref="A1:U2407"/>
    </sheetView>
  </sheetViews>
  <sheetFormatPr defaultRowHeight="14.4" x14ac:dyDescent="0.3"/>
  <cols>
    <col min="1" max="1" width="21.44140625" bestFit="1" customWidth="1"/>
    <col min="2" max="2" width="12.6640625" bestFit="1" customWidth="1"/>
    <col min="3" max="3" width="11.5546875" bestFit="1" customWidth="1"/>
    <col min="4" max="4" width="11.6640625" bestFit="1" customWidth="1"/>
    <col min="5" max="5" width="9" bestFit="1" customWidth="1"/>
    <col min="6" max="6" width="15.44140625" bestFit="1" customWidth="1"/>
    <col min="7" max="7" width="15.33203125" bestFit="1" customWidth="1"/>
    <col min="8" max="8" width="18.5546875" bestFit="1" customWidth="1"/>
    <col min="9" max="9" width="11.44140625" bestFit="1" customWidth="1"/>
    <col min="10" max="10" width="11.88671875" bestFit="1" customWidth="1"/>
    <col min="11" max="11" width="16.5546875" bestFit="1" customWidth="1"/>
    <col min="12" max="12" width="10.5546875" bestFit="1" customWidth="1"/>
    <col min="13" max="13" width="18.6640625" bestFit="1" customWidth="1"/>
    <col min="14" max="14" width="15.44140625" bestFit="1" customWidth="1"/>
    <col min="15" max="15" width="22.88671875" bestFit="1" customWidth="1"/>
    <col min="16" max="16" width="12.109375" bestFit="1" customWidth="1"/>
    <col min="17" max="17" width="6.88671875" bestFit="1" customWidth="1"/>
    <col min="18" max="18" width="19.44140625" bestFit="1" customWidth="1"/>
    <col min="19" max="19" width="11.6640625" bestFit="1" customWidth="1"/>
    <col min="20" max="20" width="9.6640625" bestFit="1" customWidth="1"/>
    <col min="21" max="21" width="14.8867187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158</v>
      </c>
      <c r="Q1" t="s">
        <v>161</v>
      </c>
      <c r="R1" t="s">
        <v>167</v>
      </c>
      <c r="S1" t="s">
        <v>159</v>
      </c>
      <c r="T1" t="s">
        <v>162</v>
      </c>
      <c r="U1" t="s">
        <v>160</v>
      </c>
    </row>
    <row r="2" spans="1:21" x14ac:dyDescent="0.3">
      <c r="A2" s="1" t="s">
        <v>177</v>
      </c>
      <c r="B2" s="1"/>
      <c r="C2" s="2"/>
      <c r="D2" s="1"/>
      <c r="E2" s="1"/>
      <c r="H2" s="1"/>
      <c r="K2" s="1"/>
      <c r="M2" s="1"/>
      <c r="N2" s="1"/>
      <c r="O2" s="1"/>
      <c r="T2" s="1"/>
    </row>
    <row r="3" spans="1:21" x14ac:dyDescent="0.3">
      <c r="A3" s="1" t="s">
        <v>177</v>
      </c>
      <c r="B3" s="1"/>
      <c r="C3" s="2"/>
      <c r="D3" s="1"/>
      <c r="E3" s="1"/>
      <c r="H3" s="1"/>
      <c r="K3" s="1"/>
      <c r="M3" s="1"/>
      <c r="N3" s="1"/>
      <c r="O3" s="1"/>
      <c r="T3" s="1"/>
    </row>
    <row r="4" spans="1:21" x14ac:dyDescent="0.3">
      <c r="A4" s="1" t="s">
        <v>177</v>
      </c>
      <c r="B4" s="1"/>
      <c r="C4" s="2"/>
      <c r="D4" s="1"/>
      <c r="E4" s="1"/>
      <c r="H4" s="1"/>
      <c r="K4" s="1"/>
      <c r="M4" s="1"/>
      <c r="N4" s="1"/>
      <c r="O4" s="1"/>
      <c r="T4" s="1"/>
    </row>
    <row r="5" spans="1:21" x14ac:dyDescent="0.3">
      <c r="A5" s="1" t="s">
        <v>177</v>
      </c>
      <c r="B5" s="1"/>
      <c r="C5" s="2"/>
      <c r="D5" s="1"/>
      <c r="E5" s="1"/>
      <c r="H5" s="1"/>
      <c r="K5" s="1"/>
      <c r="M5" s="1"/>
      <c r="N5" s="1"/>
      <c r="O5" s="1"/>
      <c r="T5" s="1"/>
    </row>
    <row r="6" spans="1:21" x14ac:dyDescent="0.3">
      <c r="A6" s="1" t="s">
        <v>177</v>
      </c>
      <c r="B6" s="1"/>
      <c r="C6" s="2"/>
      <c r="D6" s="1"/>
      <c r="E6" s="1"/>
      <c r="H6" s="1"/>
      <c r="K6" s="1"/>
      <c r="M6" s="1"/>
      <c r="N6" s="1"/>
      <c r="O6" s="1"/>
      <c r="T6" s="1"/>
    </row>
    <row r="7" spans="1:21" x14ac:dyDescent="0.3">
      <c r="A7" s="1" t="s">
        <v>177</v>
      </c>
      <c r="B7" s="1"/>
      <c r="C7" s="2"/>
      <c r="D7" s="1"/>
      <c r="E7" s="1"/>
      <c r="H7" s="1"/>
      <c r="K7" s="1"/>
      <c r="M7" s="1"/>
      <c r="N7" s="1"/>
      <c r="O7" s="1"/>
      <c r="T7" s="1"/>
    </row>
    <row r="8" spans="1:21" x14ac:dyDescent="0.3">
      <c r="A8" s="1" t="s">
        <v>177</v>
      </c>
      <c r="B8" s="1"/>
      <c r="C8" s="2"/>
      <c r="D8" s="1"/>
      <c r="E8" s="1"/>
      <c r="H8" s="1"/>
      <c r="K8" s="1"/>
      <c r="M8" s="1"/>
      <c r="N8" s="1"/>
      <c r="O8" s="1"/>
      <c r="T8" s="1"/>
    </row>
    <row r="9" spans="1:21" x14ac:dyDescent="0.3">
      <c r="A9" s="1" t="s">
        <v>177</v>
      </c>
      <c r="B9" s="1"/>
      <c r="C9" s="2"/>
      <c r="D9" s="1"/>
      <c r="E9" s="1"/>
      <c r="H9" s="1"/>
      <c r="K9" s="1"/>
      <c r="M9" s="1"/>
      <c r="N9" s="1"/>
      <c r="O9" s="1"/>
      <c r="T9" s="1"/>
    </row>
    <row r="10" spans="1:21" x14ac:dyDescent="0.3">
      <c r="A10" s="1" t="s">
        <v>177</v>
      </c>
      <c r="B10" s="1"/>
      <c r="C10" s="2"/>
      <c r="D10" s="1"/>
      <c r="E10" s="1"/>
      <c r="H10" s="1"/>
      <c r="K10" s="1"/>
      <c r="M10" s="1"/>
      <c r="N10" s="1"/>
      <c r="O10" s="1"/>
      <c r="T10" s="1"/>
    </row>
    <row r="11" spans="1:21" x14ac:dyDescent="0.3">
      <c r="A11" s="1" t="s">
        <v>177</v>
      </c>
      <c r="B11" s="1"/>
      <c r="C11" s="2"/>
      <c r="D11" s="1"/>
      <c r="E11" s="1"/>
      <c r="H11" s="1"/>
      <c r="K11" s="1"/>
      <c r="M11" s="1"/>
      <c r="N11" s="1"/>
      <c r="O11" s="1"/>
      <c r="T11" s="1"/>
    </row>
    <row r="12" spans="1:21" x14ac:dyDescent="0.3">
      <c r="A12" s="1" t="s">
        <v>177</v>
      </c>
      <c r="B12" s="1"/>
      <c r="C12" s="2"/>
      <c r="D12" s="1"/>
      <c r="E12" s="1"/>
      <c r="H12" s="1"/>
      <c r="K12" s="1"/>
      <c r="M12" s="1"/>
      <c r="N12" s="1"/>
      <c r="O12" s="1"/>
      <c r="T12" s="1"/>
    </row>
    <row r="13" spans="1:21" x14ac:dyDescent="0.3">
      <c r="A13" s="1" t="s">
        <v>177</v>
      </c>
      <c r="B13" s="1"/>
      <c r="C13" s="2"/>
      <c r="D13" s="1"/>
      <c r="E13" s="1"/>
      <c r="H13" s="1"/>
      <c r="K13" s="1"/>
      <c r="M13" s="1"/>
      <c r="N13" s="1"/>
      <c r="O13" s="1"/>
      <c r="T13" s="1"/>
    </row>
    <row r="14" spans="1:21" x14ac:dyDescent="0.3">
      <c r="A14" s="1" t="s">
        <v>177</v>
      </c>
      <c r="B14" s="1"/>
      <c r="C14" s="2"/>
      <c r="D14" s="1"/>
      <c r="E14" s="1"/>
      <c r="H14" s="1"/>
      <c r="K14" s="1"/>
      <c r="M14" s="1"/>
      <c r="N14" s="1"/>
      <c r="O14" s="1"/>
      <c r="T14" s="1"/>
    </row>
    <row r="15" spans="1:21" x14ac:dyDescent="0.3">
      <c r="A15" s="1" t="s">
        <v>177</v>
      </c>
      <c r="B15" s="1"/>
      <c r="C15" s="2"/>
      <c r="D15" s="1"/>
      <c r="E15" s="1"/>
      <c r="H15" s="1"/>
      <c r="K15" s="1"/>
      <c r="M15" s="1"/>
      <c r="N15" s="1"/>
      <c r="O15" s="1"/>
      <c r="T15" s="1"/>
    </row>
    <row r="16" spans="1:21" x14ac:dyDescent="0.3">
      <c r="A16" s="1" t="s">
        <v>177</v>
      </c>
      <c r="B16" s="1"/>
      <c r="C16" s="2"/>
      <c r="D16" s="1"/>
      <c r="E16" s="1"/>
      <c r="H16" s="1"/>
      <c r="K16" s="1"/>
      <c r="M16" s="1"/>
      <c r="N16" s="1"/>
      <c r="O16" s="1"/>
      <c r="T16" s="1"/>
    </row>
    <row r="17" spans="1:20" x14ac:dyDescent="0.3">
      <c r="A17" s="1" t="s">
        <v>177</v>
      </c>
      <c r="B17" s="1"/>
      <c r="C17" s="2"/>
      <c r="D17" s="1"/>
      <c r="E17" s="1"/>
      <c r="H17" s="1"/>
      <c r="K17" s="1"/>
      <c r="M17" s="1"/>
      <c r="N17" s="1"/>
      <c r="O17" s="1"/>
      <c r="T17" s="1"/>
    </row>
    <row r="18" spans="1:20" x14ac:dyDescent="0.3">
      <c r="A18" s="1" t="s">
        <v>177</v>
      </c>
      <c r="B18" s="1"/>
      <c r="C18" s="2"/>
      <c r="D18" s="1"/>
      <c r="E18" s="1"/>
      <c r="H18" s="1"/>
      <c r="K18" s="1"/>
      <c r="M18" s="1"/>
      <c r="N18" s="1"/>
      <c r="O18" s="1"/>
      <c r="T18" s="1"/>
    </row>
    <row r="19" spans="1:20" x14ac:dyDescent="0.3">
      <c r="A19" s="1" t="s">
        <v>177</v>
      </c>
      <c r="B19" s="1"/>
      <c r="C19" s="2"/>
      <c r="D19" s="1"/>
      <c r="E19" s="1"/>
      <c r="H19" s="1"/>
      <c r="K19" s="1"/>
      <c r="M19" s="1"/>
      <c r="N19" s="1"/>
      <c r="O19" s="1"/>
      <c r="T19" s="1"/>
    </row>
    <row r="20" spans="1:20" x14ac:dyDescent="0.3">
      <c r="A20" s="1" t="s">
        <v>177</v>
      </c>
      <c r="B20" s="1"/>
      <c r="C20" s="2"/>
      <c r="D20" s="1"/>
      <c r="E20" s="1"/>
      <c r="H20" s="1"/>
      <c r="K20" s="1"/>
      <c r="M20" s="1"/>
      <c r="N20" s="1"/>
      <c r="O20" s="1"/>
      <c r="T20" s="1"/>
    </row>
    <row r="21" spans="1:20" x14ac:dyDescent="0.3">
      <c r="A21" s="1" t="s">
        <v>177</v>
      </c>
      <c r="B21" s="1"/>
      <c r="C21" s="2"/>
      <c r="D21" s="1"/>
      <c r="E21" s="1"/>
      <c r="H21" s="1"/>
      <c r="K21" s="1"/>
      <c r="M21" s="1"/>
      <c r="N21" s="1"/>
      <c r="O21" s="1"/>
      <c r="T21" s="1"/>
    </row>
    <row r="22" spans="1:20" x14ac:dyDescent="0.3">
      <c r="A22" s="1" t="s">
        <v>177</v>
      </c>
      <c r="B22" s="1"/>
      <c r="C22" s="2"/>
      <c r="D22" s="1"/>
      <c r="E22" s="1"/>
      <c r="H22" s="1"/>
      <c r="K22" s="1"/>
      <c r="M22" s="1"/>
      <c r="N22" s="1"/>
      <c r="O22" s="1"/>
      <c r="T22" s="1"/>
    </row>
    <row r="23" spans="1:20" x14ac:dyDescent="0.3">
      <c r="A23" s="1" t="s">
        <v>177</v>
      </c>
      <c r="B23" s="1"/>
      <c r="C23" s="2"/>
      <c r="D23" s="1"/>
      <c r="E23" s="1"/>
      <c r="H23" s="1"/>
      <c r="K23" s="1"/>
      <c r="M23" s="1"/>
      <c r="N23" s="1"/>
      <c r="O23" s="1"/>
      <c r="T23" s="1"/>
    </row>
    <row r="24" spans="1:20" x14ac:dyDescent="0.3">
      <c r="A24" s="1" t="s">
        <v>177</v>
      </c>
      <c r="B24" s="1"/>
      <c r="C24" s="2"/>
      <c r="D24" s="1"/>
      <c r="E24" s="1"/>
      <c r="H24" s="1"/>
      <c r="K24" s="1"/>
      <c r="M24" s="1"/>
      <c r="N24" s="1"/>
      <c r="O24" s="1"/>
      <c r="T24" s="1"/>
    </row>
    <row r="25" spans="1:20" x14ac:dyDescent="0.3">
      <c r="A25" s="1" t="s">
        <v>177</v>
      </c>
      <c r="B25" s="1"/>
      <c r="C25" s="2"/>
      <c r="D25" s="1"/>
      <c r="E25" s="1"/>
      <c r="H25" s="1"/>
      <c r="K25" s="1"/>
      <c r="M25" s="1"/>
      <c r="N25" s="1"/>
      <c r="O25" s="1"/>
      <c r="T25" s="1"/>
    </row>
    <row r="26" spans="1:20" x14ac:dyDescent="0.3">
      <c r="A26" s="1" t="s">
        <v>177</v>
      </c>
      <c r="B26" s="1"/>
      <c r="C26" s="2"/>
      <c r="D26" s="1"/>
      <c r="E26" s="1"/>
      <c r="H26" s="1"/>
      <c r="K26" s="1"/>
      <c r="M26" s="1"/>
      <c r="N26" s="1"/>
      <c r="O26" s="1"/>
      <c r="T26" s="1"/>
    </row>
    <row r="27" spans="1:20" x14ac:dyDescent="0.3">
      <c r="A27" s="1" t="s">
        <v>177</v>
      </c>
      <c r="B27" s="1"/>
      <c r="C27" s="2"/>
      <c r="D27" s="1"/>
      <c r="E27" s="1"/>
      <c r="H27" s="1"/>
      <c r="K27" s="1"/>
      <c r="M27" s="1"/>
      <c r="N27" s="1"/>
      <c r="O27" s="1"/>
      <c r="T27" s="1"/>
    </row>
    <row r="28" spans="1:20" x14ac:dyDescent="0.3">
      <c r="A28" s="1" t="s">
        <v>177</v>
      </c>
      <c r="B28" s="1"/>
      <c r="C28" s="2"/>
      <c r="D28" s="1"/>
      <c r="E28" s="1"/>
      <c r="H28" s="1"/>
      <c r="K28" s="1"/>
      <c r="M28" s="1"/>
      <c r="N28" s="1"/>
      <c r="O28" s="1"/>
      <c r="T28" s="1"/>
    </row>
    <row r="29" spans="1:20" x14ac:dyDescent="0.3">
      <c r="A29" s="1" t="s">
        <v>177</v>
      </c>
      <c r="B29" s="1"/>
      <c r="C29" s="2"/>
      <c r="D29" s="1"/>
      <c r="E29" s="1"/>
      <c r="H29" s="1"/>
      <c r="K29" s="1"/>
      <c r="M29" s="1"/>
      <c r="N29" s="1"/>
      <c r="O29" s="1"/>
      <c r="T29" s="1"/>
    </row>
    <row r="30" spans="1:20" x14ac:dyDescent="0.3">
      <c r="A30" s="1" t="s">
        <v>177</v>
      </c>
      <c r="B30" s="1"/>
      <c r="C30" s="2"/>
      <c r="D30" s="1"/>
      <c r="E30" s="1"/>
      <c r="H30" s="1"/>
      <c r="K30" s="1"/>
      <c r="M30" s="1"/>
      <c r="N30" s="1"/>
      <c r="O30" s="1"/>
      <c r="T30" s="1"/>
    </row>
    <row r="31" spans="1:20" x14ac:dyDescent="0.3">
      <c r="A31" s="1" t="s">
        <v>177</v>
      </c>
      <c r="B31" s="1"/>
      <c r="C31" s="2"/>
      <c r="D31" s="1"/>
      <c r="E31" s="1"/>
      <c r="H31" s="1"/>
      <c r="K31" s="1"/>
      <c r="M31" s="1"/>
      <c r="N31" s="1"/>
      <c r="O31" s="1"/>
      <c r="T31" s="1"/>
    </row>
    <row r="32" spans="1:20" x14ac:dyDescent="0.3">
      <c r="A32" s="1" t="s">
        <v>177</v>
      </c>
      <c r="B32" s="1"/>
      <c r="C32" s="2"/>
      <c r="D32" s="1"/>
      <c r="E32" s="1"/>
      <c r="H32" s="1"/>
      <c r="K32" s="1"/>
      <c r="M32" s="1"/>
      <c r="N32" s="1"/>
      <c r="O32" s="1"/>
      <c r="T32" s="1"/>
    </row>
    <row r="33" spans="1:20" x14ac:dyDescent="0.3">
      <c r="A33" s="1" t="s">
        <v>177</v>
      </c>
      <c r="B33" s="1"/>
      <c r="C33" s="2"/>
      <c r="D33" s="1"/>
      <c r="E33" s="1"/>
      <c r="H33" s="1"/>
      <c r="K33" s="1"/>
      <c r="M33" s="1"/>
      <c r="N33" s="1"/>
      <c r="O33" s="1"/>
      <c r="T33" s="1"/>
    </row>
    <row r="34" spans="1:20" x14ac:dyDescent="0.3">
      <c r="A34" s="1" t="s">
        <v>177</v>
      </c>
      <c r="B34" s="1"/>
      <c r="C34" s="2"/>
      <c r="D34" s="1"/>
      <c r="E34" s="1"/>
      <c r="H34" s="1"/>
      <c r="K34" s="1"/>
      <c r="M34" s="1"/>
      <c r="N34" s="1"/>
      <c r="O34" s="1"/>
      <c r="T34" s="1"/>
    </row>
    <row r="35" spans="1:20" x14ac:dyDescent="0.3">
      <c r="A35" s="1" t="s">
        <v>177</v>
      </c>
      <c r="B35" s="1"/>
      <c r="C35" s="2"/>
      <c r="D35" s="1"/>
      <c r="E35" s="1"/>
      <c r="H35" s="1"/>
      <c r="K35" s="1"/>
      <c r="M35" s="1"/>
      <c r="N35" s="1"/>
      <c r="O35" s="1"/>
      <c r="T35" s="1"/>
    </row>
    <row r="36" spans="1:20" x14ac:dyDescent="0.3">
      <c r="A36" s="1" t="s">
        <v>177</v>
      </c>
      <c r="B36" s="1"/>
      <c r="C36" s="2"/>
      <c r="D36" s="1"/>
      <c r="E36" s="1"/>
      <c r="H36" s="1"/>
      <c r="K36" s="1"/>
      <c r="M36" s="1"/>
      <c r="N36" s="1"/>
      <c r="O36" s="1"/>
      <c r="T36" s="1"/>
    </row>
    <row r="37" spans="1:20" x14ac:dyDescent="0.3">
      <c r="A37" s="1" t="s">
        <v>177</v>
      </c>
      <c r="B37" s="1"/>
      <c r="C37" s="2"/>
      <c r="D37" s="1"/>
      <c r="E37" s="1"/>
      <c r="H37" s="1"/>
      <c r="K37" s="1"/>
      <c r="M37" s="1"/>
      <c r="N37" s="1"/>
      <c r="O37" s="1"/>
      <c r="T37" s="1"/>
    </row>
    <row r="38" spans="1:20" x14ac:dyDescent="0.3">
      <c r="A38" s="1" t="s">
        <v>177</v>
      </c>
      <c r="B38" s="1"/>
      <c r="C38" s="2"/>
      <c r="D38" s="1"/>
      <c r="E38" s="1"/>
      <c r="H38" s="1"/>
      <c r="K38" s="1"/>
      <c r="M38" s="1"/>
      <c r="N38" s="1"/>
      <c r="O38" s="1"/>
      <c r="T38" s="1"/>
    </row>
    <row r="39" spans="1:20" x14ac:dyDescent="0.3">
      <c r="A39" s="1" t="s">
        <v>177</v>
      </c>
      <c r="B39" s="1"/>
      <c r="C39" s="2"/>
      <c r="D39" s="1"/>
      <c r="E39" s="1"/>
      <c r="H39" s="1"/>
      <c r="K39" s="1"/>
      <c r="M39" s="1"/>
      <c r="N39" s="1"/>
      <c r="O39" s="1"/>
      <c r="T39" s="1"/>
    </row>
    <row r="40" spans="1:20" x14ac:dyDescent="0.3">
      <c r="A40" s="1" t="s">
        <v>177</v>
      </c>
      <c r="B40" s="1"/>
      <c r="C40" s="2"/>
      <c r="D40" s="1"/>
      <c r="E40" s="1"/>
      <c r="H40" s="1"/>
      <c r="K40" s="1"/>
      <c r="M40" s="1"/>
      <c r="N40" s="1"/>
      <c r="O40" s="1"/>
      <c r="T40" s="1"/>
    </row>
    <row r="41" spans="1:20" x14ac:dyDescent="0.3">
      <c r="A41" s="1" t="s">
        <v>177</v>
      </c>
      <c r="B41" s="1"/>
      <c r="C41" s="2"/>
      <c r="D41" s="1"/>
      <c r="E41" s="1"/>
      <c r="H41" s="1"/>
      <c r="K41" s="1"/>
      <c r="M41" s="1"/>
      <c r="N41" s="1"/>
      <c r="O41" s="1"/>
      <c r="T41" s="1"/>
    </row>
    <row r="42" spans="1:20" x14ac:dyDescent="0.3">
      <c r="A42" s="1" t="s">
        <v>177</v>
      </c>
      <c r="B42" s="1"/>
      <c r="C42" s="2"/>
      <c r="D42" s="1"/>
      <c r="E42" s="1"/>
      <c r="H42" s="1"/>
      <c r="K42" s="1"/>
      <c r="M42" s="1"/>
      <c r="N42" s="1"/>
      <c r="O42" s="1"/>
      <c r="T42" s="1"/>
    </row>
    <row r="43" spans="1:20" x14ac:dyDescent="0.3">
      <c r="A43" s="1" t="s">
        <v>177</v>
      </c>
      <c r="B43" s="1"/>
      <c r="C43" s="2"/>
      <c r="D43" s="1"/>
      <c r="E43" s="1"/>
      <c r="H43" s="1"/>
      <c r="K43" s="1"/>
      <c r="M43" s="1"/>
      <c r="N43" s="1"/>
      <c r="O43" s="1"/>
      <c r="T43" s="1"/>
    </row>
    <row r="44" spans="1:20" x14ac:dyDescent="0.3">
      <c r="A44" s="1" t="s">
        <v>177</v>
      </c>
      <c r="B44" s="1"/>
      <c r="C44" s="2"/>
      <c r="D44" s="1"/>
      <c r="E44" s="1"/>
      <c r="H44" s="1"/>
      <c r="K44" s="1"/>
      <c r="M44" s="1"/>
      <c r="N44" s="1"/>
      <c r="O44" s="1"/>
      <c r="T44" s="1"/>
    </row>
    <row r="45" spans="1:20" x14ac:dyDescent="0.3">
      <c r="A45" s="1" t="s">
        <v>177</v>
      </c>
      <c r="B45" s="1"/>
      <c r="C45" s="2"/>
      <c r="D45" s="1"/>
      <c r="E45" s="1"/>
      <c r="H45" s="1"/>
      <c r="K45" s="1"/>
      <c r="M45" s="1"/>
      <c r="N45" s="1"/>
      <c r="O45" s="1"/>
      <c r="T45" s="1"/>
    </row>
    <row r="46" spans="1:20" x14ac:dyDescent="0.3">
      <c r="A46" s="1" t="s">
        <v>177</v>
      </c>
      <c r="B46" s="1"/>
      <c r="C46" s="2"/>
      <c r="D46" s="1"/>
      <c r="E46" s="1"/>
      <c r="H46" s="1"/>
      <c r="K46" s="1"/>
      <c r="M46" s="1"/>
      <c r="N46" s="1"/>
      <c r="O46" s="1"/>
      <c r="T46" s="1"/>
    </row>
    <row r="47" spans="1:20" x14ac:dyDescent="0.3">
      <c r="A47" s="1" t="s">
        <v>177</v>
      </c>
      <c r="B47" s="1"/>
      <c r="C47" s="2"/>
      <c r="D47" s="1"/>
      <c r="E47" s="1"/>
      <c r="H47" s="1"/>
      <c r="K47" s="1"/>
      <c r="M47" s="1"/>
      <c r="N47" s="1"/>
      <c r="O47" s="1"/>
      <c r="T47" s="1"/>
    </row>
    <row r="48" spans="1:20" x14ac:dyDescent="0.3">
      <c r="A48" s="1" t="s">
        <v>177</v>
      </c>
      <c r="B48" s="1"/>
      <c r="C48" s="2"/>
      <c r="D48" s="1"/>
      <c r="E48" s="1"/>
      <c r="H48" s="1"/>
      <c r="K48" s="1"/>
      <c r="M48" s="1"/>
      <c r="N48" s="1"/>
      <c r="O48" s="1"/>
      <c r="T48" s="1"/>
    </row>
    <row r="49" spans="1:20" x14ac:dyDescent="0.3">
      <c r="A49" s="1" t="s">
        <v>177</v>
      </c>
      <c r="B49" s="1"/>
      <c r="C49" s="2"/>
      <c r="D49" s="1"/>
      <c r="E49" s="1"/>
      <c r="H49" s="1"/>
      <c r="K49" s="1"/>
      <c r="M49" s="1"/>
      <c r="N49" s="1"/>
      <c r="O49" s="1"/>
      <c r="T49" s="1"/>
    </row>
    <row r="50" spans="1:20" x14ac:dyDescent="0.3">
      <c r="A50" s="1" t="s">
        <v>177</v>
      </c>
      <c r="B50" s="1"/>
      <c r="C50" s="2"/>
      <c r="D50" s="1"/>
      <c r="E50" s="1"/>
      <c r="H50" s="1"/>
      <c r="K50" s="1"/>
      <c r="M50" s="1"/>
      <c r="N50" s="1"/>
      <c r="O50" s="1"/>
      <c r="T50" s="1"/>
    </row>
    <row r="51" spans="1:20" x14ac:dyDescent="0.3">
      <c r="A51" s="1" t="s">
        <v>177</v>
      </c>
      <c r="B51" s="1"/>
      <c r="C51" s="2"/>
      <c r="D51" s="1"/>
      <c r="E51" s="1"/>
      <c r="H51" s="1"/>
      <c r="K51" s="1"/>
      <c r="M51" s="1"/>
      <c r="N51" s="1"/>
      <c r="O51" s="1"/>
      <c r="T51" s="1"/>
    </row>
    <row r="52" spans="1:20" x14ac:dyDescent="0.3">
      <c r="A52" s="1" t="s">
        <v>177</v>
      </c>
      <c r="B52" s="1"/>
      <c r="C52" s="2"/>
      <c r="D52" s="1"/>
      <c r="E52" s="1"/>
      <c r="H52" s="1"/>
      <c r="K52" s="1"/>
      <c r="M52" s="1"/>
      <c r="N52" s="1"/>
      <c r="O52" s="1"/>
      <c r="T52" s="1"/>
    </row>
    <row r="53" spans="1:20" x14ac:dyDescent="0.3">
      <c r="A53" s="1" t="s">
        <v>177</v>
      </c>
      <c r="B53" s="1"/>
      <c r="C53" s="2"/>
      <c r="D53" s="1"/>
      <c r="E53" s="1"/>
      <c r="H53" s="1"/>
      <c r="K53" s="1"/>
      <c r="M53" s="1"/>
      <c r="N53" s="1"/>
      <c r="O53" s="1"/>
      <c r="T53" s="1"/>
    </row>
    <row r="54" spans="1:20" x14ac:dyDescent="0.3">
      <c r="A54" s="1" t="s">
        <v>177</v>
      </c>
      <c r="B54" s="1"/>
      <c r="C54" s="2"/>
      <c r="D54" s="1"/>
      <c r="E54" s="1"/>
      <c r="H54" s="1"/>
      <c r="K54" s="1"/>
      <c r="M54" s="1"/>
      <c r="N54" s="1"/>
      <c r="O54" s="1"/>
      <c r="T54" s="1"/>
    </row>
    <row r="55" spans="1:20" x14ac:dyDescent="0.3">
      <c r="A55" s="1" t="s">
        <v>177</v>
      </c>
      <c r="B55" s="1"/>
      <c r="C55" s="2"/>
      <c r="D55" s="1"/>
      <c r="E55" s="1"/>
      <c r="H55" s="1"/>
      <c r="K55" s="1"/>
      <c r="M55" s="1"/>
      <c r="N55" s="1"/>
      <c r="O55" s="1"/>
      <c r="T55" s="1"/>
    </row>
    <row r="56" spans="1:20" x14ac:dyDescent="0.3">
      <c r="A56" s="1" t="s">
        <v>177</v>
      </c>
      <c r="B56" s="1"/>
      <c r="C56" s="2"/>
      <c r="D56" s="1"/>
      <c r="E56" s="1"/>
      <c r="H56" s="1"/>
      <c r="K56" s="1"/>
      <c r="M56" s="1"/>
      <c r="N56" s="1"/>
      <c r="O56" s="1"/>
      <c r="T56" s="1"/>
    </row>
    <row r="57" spans="1:20" x14ac:dyDescent="0.3">
      <c r="A57" s="1" t="s">
        <v>177</v>
      </c>
      <c r="B57" s="1"/>
      <c r="C57" s="2"/>
      <c r="D57" s="1"/>
      <c r="E57" s="1"/>
      <c r="H57" s="1"/>
      <c r="K57" s="1"/>
      <c r="M57" s="1"/>
      <c r="N57" s="1"/>
      <c r="O57" s="1"/>
      <c r="T57" s="1"/>
    </row>
    <row r="58" spans="1:20" x14ac:dyDescent="0.3">
      <c r="A58" s="1" t="s">
        <v>177</v>
      </c>
      <c r="B58" s="1"/>
      <c r="C58" s="2"/>
      <c r="D58" s="1"/>
      <c r="E58" s="1"/>
      <c r="H58" s="1"/>
      <c r="K58" s="1"/>
      <c r="M58" s="1"/>
      <c r="N58" s="1"/>
      <c r="O58" s="1"/>
      <c r="T58" s="1"/>
    </row>
    <row r="59" spans="1:20" x14ac:dyDescent="0.3">
      <c r="A59" s="1" t="s">
        <v>177</v>
      </c>
      <c r="B59" s="1"/>
      <c r="C59" s="2"/>
      <c r="D59" s="1"/>
      <c r="E59" s="1"/>
      <c r="H59" s="1"/>
      <c r="K59" s="1"/>
      <c r="M59" s="1"/>
      <c r="N59" s="1"/>
      <c r="O59" s="1"/>
      <c r="T59" s="1"/>
    </row>
    <row r="60" spans="1:20" x14ac:dyDescent="0.3">
      <c r="A60" s="1" t="s">
        <v>177</v>
      </c>
      <c r="B60" s="1"/>
      <c r="C60" s="2"/>
      <c r="D60" s="1"/>
      <c r="E60" s="1"/>
      <c r="H60" s="1"/>
      <c r="K60" s="1"/>
      <c r="M60" s="1"/>
      <c r="N60" s="1"/>
      <c r="O60" s="1"/>
      <c r="T60" s="1"/>
    </row>
    <row r="61" spans="1:20" x14ac:dyDescent="0.3">
      <c r="A61" s="1" t="s">
        <v>177</v>
      </c>
      <c r="B61" s="1"/>
      <c r="C61" s="2"/>
      <c r="D61" s="1"/>
      <c r="E61" s="1"/>
      <c r="H61" s="1"/>
      <c r="K61" s="1"/>
      <c r="M61" s="1"/>
      <c r="N61" s="1"/>
      <c r="O61" s="1"/>
      <c r="T61" s="1"/>
    </row>
    <row r="62" spans="1:20" x14ac:dyDescent="0.3">
      <c r="A62" s="1" t="s">
        <v>177</v>
      </c>
      <c r="B62" s="1"/>
      <c r="C62" s="2"/>
      <c r="D62" s="1"/>
      <c r="E62" s="1"/>
      <c r="H62" s="1"/>
      <c r="K62" s="1"/>
      <c r="M62" s="1"/>
      <c r="N62" s="1"/>
      <c r="O62" s="1"/>
      <c r="T62" s="1"/>
    </row>
    <row r="63" spans="1:20" x14ac:dyDescent="0.3">
      <c r="A63" s="1" t="s">
        <v>177</v>
      </c>
      <c r="B63" s="1"/>
      <c r="C63" s="2"/>
      <c r="D63" s="1"/>
      <c r="E63" s="1"/>
      <c r="H63" s="1"/>
      <c r="K63" s="1"/>
      <c r="M63" s="1"/>
      <c r="N63" s="1"/>
      <c r="O63" s="1"/>
      <c r="T63" s="1"/>
    </row>
    <row r="64" spans="1:20" x14ac:dyDescent="0.3">
      <c r="A64" s="1" t="s">
        <v>177</v>
      </c>
      <c r="B64" s="1"/>
      <c r="C64" s="2"/>
      <c r="D64" s="1"/>
      <c r="E64" s="1"/>
      <c r="H64" s="1"/>
      <c r="K64" s="1"/>
      <c r="M64" s="1"/>
      <c r="N64" s="1"/>
      <c r="O64" s="1"/>
      <c r="T64" s="1"/>
    </row>
    <row r="65" spans="1:20" x14ac:dyDescent="0.3">
      <c r="A65" s="1" t="s">
        <v>177</v>
      </c>
      <c r="B65" s="1"/>
      <c r="C65" s="2"/>
      <c r="D65" s="1"/>
      <c r="E65" s="1"/>
      <c r="H65" s="1"/>
      <c r="K65" s="1"/>
      <c r="M65" s="1"/>
      <c r="N65" s="1"/>
      <c r="O65" s="1"/>
      <c r="T65" s="1"/>
    </row>
    <row r="66" spans="1:20" x14ac:dyDescent="0.3">
      <c r="A66" s="1" t="s">
        <v>177</v>
      </c>
      <c r="B66" s="1"/>
      <c r="C66" s="2"/>
      <c r="D66" s="1"/>
      <c r="E66" s="1"/>
      <c r="H66" s="1"/>
      <c r="K66" s="1"/>
      <c r="M66" s="1"/>
      <c r="N66" s="1"/>
      <c r="O66" s="1"/>
      <c r="T66" s="1"/>
    </row>
    <row r="67" spans="1:20" x14ac:dyDescent="0.3">
      <c r="A67" s="1" t="s">
        <v>177</v>
      </c>
      <c r="B67" s="1"/>
      <c r="C67" s="2"/>
      <c r="D67" s="1"/>
      <c r="E67" s="1"/>
      <c r="H67" s="1"/>
      <c r="K67" s="1"/>
      <c r="M67" s="1"/>
      <c r="N67" s="1"/>
      <c r="O67" s="1"/>
      <c r="T67" s="1"/>
    </row>
    <row r="68" spans="1:20" x14ac:dyDescent="0.3">
      <c r="A68" s="1" t="s">
        <v>177</v>
      </c>
      <c r="B68" s="1"/>
      <c r="C68" s="2"/>
      <c r="D68" s="1"/>
      <c r="E68" s="1"/>
      <c r="H68" s="1"/>
      <c r="K68" s="1"/>
      <c r="M68" s="1"/>
      <c r="N68" s="1"/>
      <c r="O68" s="1"/>
      <c r="T68" s="1"/>
    </row>
    <row r="69" spans="1:20" x14ac:dyDescent="0.3">
      <c r="A69" s="1" t="s">
        <v>177</v>
      </c>
      <c r="B69" s="1"/>
      <c r="C69" s="2"/>
      <c r="D69" s="1"/>
      <c r="E69" s="1"/>
      <c r="H69" s="1"/>
      <c r="K69" s="1"/>
      <c r="M69" s="1"/>
      <c r="N69" s="1"/>
      <c r="O69" s="1"/>
      <c r="T69" s="1"/>
    </row>
    <row r="70" spans="1:20" x14ac:dyDescent="0.3">
      <c r="A70" s="1" t="s">
        <v>177</v>
      </c>
      <c r="B70" s="1"/>
      <c r="C70" s="2"/>
      <c r="D70" s="1"/>
      <c r="E70" s="1"/>
      <c r="H70" s="1"/>
      <c r="K70" s="1"/>
      <c r="M70" s="1"/>
      <c r="N70" s="1"/>
      <c r="O70" s="1"/>
      <c r="T70" s="1"/>
    </row>
    <row r="71" spans="1:20" x14ac:dyDescent="0.3">
      <c r="A71" s="1" t="s">
        <v>177</v>
      </c>
      <c r="B71" s="1"/>
      <c r="C71" s="2"/>
      <c r="D71" s="1"/>
      <c r="E71" s="1"/>
      <c r="H71" s="1"/>
      <c r="K71" s="1"/>
      <c r="M71" s="1"/>
      <c r="N71" s="1"/>
      <c r="O71" s="1"/>
      <c r="T71" s="1"/>
    </row>
    <row r="72" spans="1:20" x14ac:dyDescent="0.3">
      <c r="A72" s="1" t="s">
        <v>177</v>
      </c>
      <c r="B72" s="1"/>
      <c r="C72" s="2"/>
      <c r="D72" s="1"/>
      <c r="E72" s="1"/>
      <c r="H72" s="1"/>
      <c r="K72" s="1"/>
      <c r="M72" s="1"/>
      <c r="N72" s="1"/>
      <c r="O72" s="1"/>
      <c r="T72" s="1"/>
    </row>
    <row r="73" spans="1:20" x14ac:dyDescent="0.3">
      <c r="A73" s="1" t="s">
        <v>177</v>
      </c>
      <c r="B73" s="1"/>
      <c r="C73" s="2"/>
      <c r="D73" s="1"/>
      <c r="E73" s="1"/>
      <c r="H73" s="1"/>
      <c r="K73" s="1"/>
      <c r="M73" s="1"/>
      <c r="N73" s="1"/>
      <c r="O73" s="1"/>
      <c r="T73" s="1"/>
    </row>
    <row r="74" spans="1:20" x14ac:dyDescent="0.3">
      <c r="A74" s="1" t="s">
        <v>177</v>
      </c>
      <c r="B74" s="1"/>
      <c r="C74" s="2"/>
      <c r="D74" s="1"/>
      <c r="E74" s="1"/>
      <c r="H74" s="1"/>
      <c r="K74" s="1"/>
      <c r="M74" s="1"/>
      <c r="N74" s="1"/>
      <c r="O74" s="1"/>
      <c r="T74" s="1"/>
    </row>
    <row r="75" spans="1:20" x14ac:dyDescent="0.3">
      <c r="A75" s="1" t="s">
        <v>177</v>
      </c>
      <c r="B75" s="1"/>
      <c r="C75" s="2"/>
      <c r="D75" s="1"/>
      <c r="E75" s="1"/>
      <c r="H75" s="1"/>
      <c r="K75" s="1"/>
      <c r="M75" s="1"/>
      <c r="N75" s="1"/>
      <c r="O75" s="1"/>
      <c r="T75" s="1"/>
    </row>
    <row r="76" spans="1:20" x14ac:dyDescent="0.3">
      <c r="A76" s="1" t="s">
        <v>177</v>
      </c>
      <c r="B76" s="1"/>
      <c r="C76" s="2"/>
      <c r="D76" s="1"/>
      <c r="E76" s="1"/>
      <c r="H76" s="1"/>
      <c r="K76" s="1"/>
      <c r="M76" s="1"/>
      <c r="N76" s="1"/>
      <c r="O76" s="1"/>
      <c r="T76" s="1"/>
    </row>
    <row r="77" spans="1:20" x14ac:dyDescent="0.3">
      <c r="A77" s="1" t="s">
        <v>177</v>
      </c>
      <c r="B77" s="1"/>
      <c r="C77" s="2"/>
      <c r="D77" s="1"/>
      <c r="E77" s="1"/>
      <c r="H77" s="1"/>
      <c r="K77" s="1"/>
      <c r="M77" s="1"/>
      <c r="N77" s="1"/>
      <c r="O77" s="1"/>
      <c r="T77" s="1"/>
    </row>
    <row r="78" spans="1:20" x14ac:dyDescent="0.3">
      <c r="A78" s="1" t="s">
        <v>177</v>
      </c>
      <c r="B78" s="1"/>
      <c r="C78" s="2"/>
      <c r="D78" s="1"/>
      <c r="E78" s="1"/>
      <c r="H78" s="1"/>
      <c r="K78" s="1"/>
      <c r="M78" s="1"/>
      <c r="N78" s="1"/>
      <c r="O78" s="1"/>
      <c r="T78" s="1"/>
    </row>
    <row r="79" spans="1:20" x14ac:dyDescent="0.3">
      <c r="A79" s="1" t="s">
        <v>177</v>
      </c>
      <c r="B79" s="1"/>
      <c r="C79" s="2"/>
      <c r="D79" s="1"/>
      <c r="E79" s="1"/>
      <c r="H79" s="1"/>
      <c r="K79" s="1"/>
      <c r="M79" s="1"/>
      <c r="N79" s="1"/>
      <c r="O79" s="1"/>
      <c r="T79" s="1"/>
    </row>
    <row r="80" spans="1:20" x14ac:dyDescent="0.3">
      <c r="A80" s="1" t="s">
        <v>177</v>
      </c>
      <c r="B80" s="1"/>
      <c r="C80" s="2"/>
      <c r="D80" s="1"/>
      <c r="E80" s="1"/>
      <c r="H80" s="1"/>
      <c r="K80" s="1"/>
      <c r="M80" s="1"/>
      <c r="N80" s="1"/>
      <c r="O80" s="1"/>
      <c r="T80" s="1"/>
    </row>
    <row r="81" spans="1:20" x14ac:dyDescent="0.3">
      <c r="A81" s="1" t="s">
        <v>177</v>
      </c>
      <c r="B81" s="1"/>
      <c r="C81" s="2"/>
      <c r="D81" s="1"/>
      <c r="E81" s="1"/>
      <c r="H81" s="1"/>
      <c r="K81" s="1"/>
      <c r="M81" s="1"/>
      <c r="N81" s="1"/>
      <c r="O81" s="1"/>
      <c r="T81" s="1"/>
    </row>
    <row r="82" spans="1:20" x14ac:dyDescent="0.3">
      <c r="A82" s="1" t="s">
        <v>177</v>
      </c>
      <c r="B82" s="1"/>
      <c r="C82" s="2"/>
      <c r="D82" s="1"/>
      <c r="E82" s="1"/>
      <c r="H82" s="1"/>
      <c r="K82" s="1"/>
      <c r="M82" s="1"/>
      <c r="N82" s="1"/>
      <c r="O82" s="1"/>
      <c r="T82" s="1"/>
    </row>
    <row r="83" spans="1:20" x14ac:dyDescent="0.3">
      <c r="A83" s="1" t="s">
        <v>177</v>
      </c>
      <c r="B83" s="1"/>
      <c r="C83" s="2"/>
      <c r="D83" s="1"/>
      <c r="E83" s="1"/>
      <c r="H83" s="1"/>
      <c r="K83" s="1"/>
      <c r="M83" s="1"/>
      <c r="N83" s="1"/>
      <c r="O83" s="1"/>
      <c r="T83" s="1"/>
    </row>
    <row r="84" spans="1:20" x14ac:dyDescent="0.3">
      <c r="A84" s="1" t="s">
        <v>177</v>
      </c>
      <c r="B84" s="1"/>
      <c r="C84" s="2"/>
      <c r="D84" s="1"/>
      <c r="E84" s="1"/>
      <c r="H84" s="1"/>
      <c r="K84" s="1"/>
      <c r="M84" s="1"/>
      <c r="N84" s="1"/>
      <c r="O84" s="1"/>
      <c r="T84" s="1"/>
    </row>
    <row r="85" spans="1:20" x14ac:dyDescent="0.3">
      <c r="A85" s="1" t="s">
        <v>177</v>
      </c>
      <c r="B85" s="1"/>
      <c r="C85" s="2"/>
      <c r="D85" s="1"/>
      <c r="E85" s="1"/>
      <c r="H85" s="1"/>
      <c r="K85" s="1"/>
      <c r="M85" s="1"/>
      <c r="N85" s="1"/>
      <c r="O85" s="1"/>
      <c r="T85" s="1"/>
    </row>
    <row r="86" spans="1:20" x14ac:dyDescent="0.3">
      <c r="A86" s="1" t="s">
        <v>177</v>
      </c>
      <c r="B86" s="1"/>
      <c r="C86" s="2"/>
      <c r="D86" s="1"/>
      <c r="E86" s="1"/>
      <c r="H86" s="1"/>
      <c r="K86" s="1"/>
      <c r="M86" s="1"/>
      <c r="N86" s="1"/>
      <c r="O86" s="1"/>
      <c r="T86" s="1"/>
    </row>
    <row r="87" spans="1:20" x14ac:dyDescent="0.3">
      <c r="A87" s="1" t="s">
        <v>177</v>
      </c>
      <c r="B87" s="1"/>
      <c r="C87" s="2"/>
      <c r="D87" s="1"/>
      <c r="E87" s="1"/>
      <c r="H87" s="1"/>
      <c r="K87" s="1"/>
      <c r="M87" s="1"/>
      <c r="N87" s="1"/>
      <c r="O87" s="1"/>
      <c r="T87" s="1"/>
    </row>
    <row r="88" spans="1:20" x14ac:dyDescent="0.3">
      <c r="A88" s="1" t="s">
        <v>177</v>
      </c>
      <c r="B88" s="1"/>
      <c r="C88" s="2"/>
      <c r="D88" s="1"/>
      <c r="E88" s="1"/>
      <c r="H88" s="1"/>
      <c r="K88" s="1"/>
      <c r="M88" s="1"/>
      <c r="N88" s="1"/>
      <c r="O88" s="1"/>
      <c r="T88" s="1"/>
    </row>
    <row r="89" spans="1:20" x14ac:dyDescent="0.3">
      <c r="A89" s="1" t="s">
        <v>177</v>
      </c>
      <c r="B89" s="1"/>
      <c r="C89" s="2"/>
      <c r="D89" s="1"/>
      <c r="E89" s="1"/>
      <c r="H89" s="1"/>
      <c r="K89" s="1"/>
      <c r="M89" s="1"/>
      <c r="N89" s="1"/>
      <c r="O89" s="1"/>
      <c r="T89" s="1"/>
    </row>
    <row r="90" spans="1:20" x14ac:dyDescent="0.3">
      <c r="A90" s="1" t="s">
        <v>177</v>
      </c>
      <c r="B90" s="1"/>
      <c r="C90" s="2"/>
      <c r="D90" s="1"/>
      <c r="E90" s="1"/>
      <c r="H90" s="1"/>
      <c r="K90" s="1"/>
      <c r="M90" s="1"/>
      <c r="N90" s="1"/>
      <c r="O90" s="1"/>
      <c r="T90" s="1"/>
    </row>
    <row r="91" spans="1:20" x14ac:dyDescent="0.3">
      <c r="A91" s="1" t="s">
        <v>177</v>
      </c>
      <c r="B91" s="1"/>
      <c r="C91" s="2"/>
      <c r="D91" s="1"/>
      <c r="E91" s="1"/>
      <c r="H91" s="1"/>
      <c r="K91" s="1"/>
      <c r="M91" s="1"/>
      <c r="N91" s="1"/>
      <c r="O91" s="1"/>
      <c r="T91" s="1"/>
    </row>
    <row r="92" spans="1:20" x14ac:dyDescent="0.3">
      <c r="A92" s="1" t="s">
        <v>177</v>
      </c>
      <c r="B92" s="1"/>
      <c r="C92" s="2"/>
      <c r="D92" s="1"/>
      <c r="E92" s="1"/>
      <c r="H92" s="1"/>
      <c r="K92" s="1"/>
      <c r="M92" s="1"/>
      <c r="N92" s="1"/>
      <c r="O92" s="1"/>
      <c r="T92" s="1"/>
    </row>
    <row r="93" spans="1:20" x14ac:dyDescent="0.3">
      <c r="A93" s="1" t="s">
        <v>177</v>
      </c>
      <c r="B93" s="1"/>
      <c r="C93" s="2"/>
      <c r="D93" s="1"/>
      <c r="E93" s="1"/>
      <c r="H93" s="1"/>
      <c r="K93" s="1"/>
      <c r="M93" s="1"/>
      <c r="N93" s="1"/>
      <c r="O93" s="1"/>
      <c r="T93" s="1"/>
    </row>
    <row r="94" spans="1:20" x14ac:dyDescent="0.3">
      <c r="A94" s="1" t="s">
        <v>177</v>
      </c>
      <c r="B94" s="1"/>
      <c r="C94" s="2"/>
      <c r="D94" s="1"/>
      <c r="E94" s="1"/>
      <c r="H94" s="1"/>
      <c r="K94" s="1"/>
      <c r="M94" s="1"/>
      <c r="N94" s="1"/>
      <c r="O94" s="1"/>
      <c r="T94" s="1"/>
    </row>
    <row r="95" spans="1:20" x14ac:dyDescent="0.3">
      <c r="A95" s="1" t="s">
        <v>177</v>
      </c>
      <c r="B95" s="1"/>
      <c r="C95" s="2"/>
      <c r="D95" s="1"/>
      <c r="E95" s="1"/>
      <c r="H95" s="1"/>
      <c r="K95" s="1"/>
      <c r="M95" s="1"/>
      <c r="N95" s="1"/>
      <c r="O95" s="1"/>
      <c r="T95" s="1"/>
    </row>
    <row r="96" spans="1:20" x14ac:dyDescent="0.3">
      <c r="A96" s="1" t="s">
        <v>177</v>
      </c>
      <c r="B96" s="1"/>
      <c r="C96" s="2"/>
      <c r="D96" s="1"/>
      <c r="E96" s="1"/>
      <c r="H96" s="1"/>
      <c r="K96" s="1"/>
      <c r="M96" s="1"/>
      <c r="N96" s="1"/>
      <c r="O96" s="1"/>
      <c r="T96" s="1"/>
    </row>
    <row r="97" spans="1:20" x14ac:dyDescent="0.3">
      <c r="A97" s="1" t="s">
        <v>177</v>
      </c>
      <c r="B97" s="1"/>
      <c r="C97" s="2"/>
      <c r="D97" s="1"/>
      <c r="E97" s="1"/>
      <c r="H97" s="1"/>
      <c r="K97" s="1"/>
      <c r="M97" s="1"/>
      <c r="N97" s="1"/>
      <c r="O97" s="1"/>
      <c r="T97" s="1"/>
    </row>
    <row r="98" spans="1:20" x14ac:dyDescent="0.3">
      <c r="A98" s="1" t="s">
        <v>177</v>
      </c>
      <c r="B98" s="1"/>
      <c r="C98" s="2"/>
      <c r="D98" s="1"/>
      <c r="E98" s="1"/>
      <c r="H98" s="1"/>
      <c r="K98" s="1"/>
      <c r="M98" s="1"/>
      <c r="N98" s="1"/>
      <c r="O98" s="1"/>
      <c r="T98" s="1"/>
    </row>
    <row r="99" spans="1:20" x14ac:dyDescent="0.3">
      <c r="A99" s="1" t="s">
        <v>177</v>
      </c>
      <c r="B99" s="1"/>
      <c r="C99" s="2"/>
      <c r="D99" s="1"/>
      <c r="E99" s="1"/>
      <c r="H99" s="1"/>
      <c r="K99" s="1"/>
      <c r="M99" s="1"/>
      <c r="N99" s="1"/>
      <c r="O99" s="1"/>
      <c r="T99" s="1"/>
    </row>
    <row r="100" spans="1:20" x14ac:dyDescent="0.3">
      <c r="A100" s="1" t="s">
        <v>177</v>
      </c>
      <c r="B100" s="1"/>
      <c r="C100" s="2"/>
      <c r="D100" s="1"/>
      <c r="E100" s="1"/>
      <c r="H100" s="1"/>
      <c r="K100" s="1"/>
      <c r="M100" s="1"/>
      <c r="N100" s="1"/>
      <c r="O100" s="1"/>
      <c r="T100" s="1"/>
    </row>
    <row r="101" spans="1:20" x14ac:dyDescent="0.3">
      <c r="A101" s="1" t="s">
        <v>177</v>
      </c>
      <c r="B101" s="1"/>
      <c r="C101" s="2"/>
      <c r="D101" s="1"/>
      <c r="E101" s="1"/>
      <c r="H101" s="1"/>
      <c r="K101" s="1"/>
      <c r="M101" s="1"/>
      <c r="N101" s="1"/>
      <c r="O101" s="1"/>
      <c r="T101" s="1"/>
    </row>
    <row r="102" spans="1:20" x14ac:dyDescent="0.3">
      <c r="A102" s="1" t="s">
        <v>177</v>
      </c>
      <c r="B102" s="1"/>
      <c r="C102" s="2"/>
      <c r="D102" s="1"/>
      <c r="E102" s="1"/>
      <c r="H102" s="1"/>
      <c r="K102" s="1"/>
      <c r="M102" s="1"/>
      <c r="N102" s="1"/>
      <c r="O102" s="1"/>
      <c r="T102" s="1"/>
    </row>
    <row r="103" spans="1:20" x14ac:dyDescent="0.3">
      <c r="A103" s="1" t="s">
        <v>177</v>
      </c>
      <c r="B103" s="1"/>
      <c r="C103" s="2"/>
      <c r="D103" s="1"/>
      <c r="E103" s="1"/>
      <c r="H103" s="1"/>
      <c r="K103" s="1"/>
      <c r="M103" s="1"/>
      <c r="N103" s="1"/>
      <c r="O103" s="1"/>
      <c r="T103" s="1"/>
    </row>
    <row r="104" spans="1:20" x14ac:dyDescent="0.3">
      <c r="A104" s="1" t="s">
        <v>177</v>
      </c>
      <c r="B104" s="1"/>
      <c r="C104" s="2"/>
      <c r="D104" s="1"/>
      <c r="E104" s="1"/>
      <c r="H104" s="1"/>
      <c r="K104" s="1"/>
      <c r="M104" s="1"/>
      <c r="N104" s="1"/>
      <c r="O104" s="1"/>
      <c r="T104" s="1"/>
    </row>
    <row r="105" spans="1:20" x14ac:dyDescent="0.3">
      <c r="A105" s="1" t="s">
        <v>177</v>
      </c>
      <c r="B105" s="1"/>
      <c r="C105" s="2"/>
      <c r="D105" s="1"/>
      <c r="E105" s="1"/>
      <c r="H105" s="1"/>
      <c r="K105" s="1"/>
      <c r="M105" s="1"/>
      <c r="N105" s="1"/>
      <c r="O105" s="1"/>
      <c r="T105" s="1"/>
    </row>
    <row r="106" spans="1:20" x14ac:dyDescent="0.3">
      <c r="A106" s="1" t="s">
        <v>177</v>
      </c>
      <c r="B106" s="1"/>
      <c r="C106" s="2"/>
      <c r="D106" s="1"/>
      <c r="E106" s="1"/>
      <c r="H106" s="1"/>
      <c r="K106" s="1"/>
      <c r="M106" s="1"/>
      <c r="N106" s="1"/>
      <c r="O106" s="1"/>
      <c r="T106" s="1"/>
    </row>
    <row r="107" spans="1:20" x14ac:dyDescent="0.3">
      <c r="A107" s="1" t="s">
        <v>177</v>
      </c>
      <c r="B107" s="1"/>
      <c r="C107" s="2"/>
      <c r="D107" s="1"/>
      <c r="E107" s="1"/>
      <c r="H107" s="1"/>
      <c r="K107" s="1"/>
      <c r="M107" s="1"/>
      <c r="N107" s="1"/>
      <c r="O107" s="1"/>
      <c r="T107" s="1"/>
    </row>
    <row r="108" spans="1:20" x14ac:dyDescent="0.3">
      <c r="A108" s="1" t="s">
        <v>177</v>
      </c>
      <c r="B108" s="1"/>
      <c r="C108" s="2"/>
      <c r="D108" s="1"/>
      <c r="E108" s="1"/>
      <c r="H108" s="1"/>
      <c r="K108" s="1"/>
      <c r="M108" s="1"/>
      <c r="N108" s="1"/>
      <c r="O108" s="1"/>
      <c r="T108" s="1"/>
    </row>
    <row r="109" spans="1:20" x14ac:dyDescent="0.3">
      <c r="A109" s="1" t="s">
        <v>177</v>
      </c>
      <c r="B109" s="1"/>
      <c r="C109" s="2"/>
      <c r="D109" s="1"/>
      <c r="E109" s="1"/>
      <c r="H109" s="1"/>
      <c r="K109" s="1"/>
      <c r="M109" s="1"/>
      <c r="N109" s="1"/>
      <c r="O109" s="1"/>
      <c r="T109" s="1"/>
    </row>
    <row r="110" spans="1:20" x14ac:dyDescent="0.3">
      <c r="A110" s="1" t="s">
        <v>177</v>
      </c>
      <c r="B110" s="1"/>
      <c r="C110" s="2"/>
      <c r="D110" s="1"/>
      <c r="E110" s="1"/>
      <c r="H110" s="1"/>
      <c r="K110" s="1"/>
      <c r="M110" s="1"/>
      <c r="N110" s="1"/>
      <c r="O110" s="1"/>
      <c r="T110" s="1"/>
    </row>
    <row r="111" spans="1:20" x14ac:dyDescent="0.3">
      <c r="A111" s="1" t="s">
        <v>177</v>
      </c>
      <c r="B111" s="1"/>
      <c r="C111" s="2"/>
      <c r="D111" s="1"/>
      <c r="E111" s="1"/>
      <c r="H111" s="1"/>
      <c r="K111" s="1"/>
      <c r="M111" s="1"/>
      <c r="N111" s="1"/>
      <c r="O111" s="1"/>
      <c r="T111" s="1"/>
    </row>
    <row r="112" spans="1:20" x14ac:dyDescent="0.3">
      <c r="A112" s="1" t="s">
        <v>177</v>
      </c>
      <c r="B112" s="1"/>
      <c r="C112" s="2"/>
      <c r="D112" s="1"/>
      <c r="E112" s="1"/>
      <c r="H112" s="1"/>
      <c r="K112" s="1"/>
      <c r="M112" s="1"/>
      <c r="N112" s="1"/>
      <c r="O112" s="1"/>
      <c r="T112" s="1"/>
    </row>
    <row r="113" spans="1:20" x14ac:dyDescent="0.3">
      <c r="A113" s="1" t="s">
        <v>177</v>
      </c>
      <c r="B113" s="1"/>
      <c r="C113" s="2"/>
      <c r="D113" s="1"/>
      <c r="E113" s="1"/>
      <c r="H113" s="1"/>
      <c r="K113" s="1"/>
      <c r="M113" s="1"/>
      <c r="N113" s="1"/>
      <c r="O113" s="1"/>
      <c r="T113" s="1"/>
    </row>
    <row r="114" spans="1:20" x14ac:dyDescent="0.3">
      <c r="A114" s="1" t="s">
        <v>177</v>
      </c>
      <c r="B114" s="1"/>
      <c r="C114" s="2"/>
      <c r="D114" s="1"/>
      <c r="E114" s="1"/>
      <c r="H114" s="1"/>
      <c r="K114" s="1"/>
      <c r="M114" s="1"/>
      <c r="N114" s="1"/>
      <c r="O114" s="1"/>
      <c r="T114" s="1"/>
    </row>
    <row r="115" spans="1:20" x14ac:dyDescent="0.3">
      <c r="A115" s="1" t="s">
        <v>177</v>
      </c>
      <c r="B115" s="1"/>
      <c r="C115" s="2"/>
      <c r="D115" s="1"/>
      <c r="E115" s="1"/>
      <c r="H115" s="1"/>
      <c r="K115" s="1"/>
      <c r="M115" s="1"/>
      <c r="N115" s="1"/>
      <c r="O115" s="1"/>
      <c r="T115" s="1"/>
    </row>
    <row r="116" spans="1:20" x14ac:dyDescent="0.3">
      <c r="A116" s="1" t="s">
        <v>177</v>
      </c>
      <c r="B116" s="1"/>
      <c r="C116" s="2"/>
      <c r="D116" s="1"/>
      <c r="E116" s="1"/>
      <c r="H116" s="1"/>
      <c r="K116" s="1"/>
      <c r="M116" s="1"/>
      <c r="N116" s="1"/>
      <c r="O116" s="1"/>
      <c r="T116" s="1"/>
    </row>
    <row r="117" spans="1:20" x14ac:dyDescent="0.3">
      <c r="A117" s="1" t="s">
        <v>177</v>
      </c>
      <c r="B117" s="1"/>
      <c r="C117" s="2"/>
      <c r="D117" s="1"/>
      <c r="E117" s="1"/>
      <c r="H117" s="1"/>
      <c r="K117" s="1"/>
      <c r="M117" s="1"/>
      <c r="N117" s="1"/>
      <c r="O117" s="1"/>
      <c r="T117" s="1"/>
    </row>
    <row r="118" spans="1:20" x14ac:dyDescent="0.3">
      <c r="A118" s="1" t="s">
        <v>177</v>
      </c>
      <c r="B118" s="1"/>
      <c r="C118" s="2"/>
      <c r="D118" s="1"/>
      <c r="E118" s="1"/>
      <c r="H118" s="1"/>
      <c r="K118" s="1"/>
      <c r="M118" s="1"/>
      <c r="N118" s="1"/>
      <c r="O118" s="1"/>
      <c r="T118" s="1"/>
    </row>
    <row r="119" spans="1:20" x14ac:dyDescent="0.3">
      <c r="A119" s="1" t="s">
        <v>177</v>
      </c>
      <c r="B119" s="1"/>
      <c r="C119" s="2"/>
      <c r="D119" s="1"/>
      <c r="E119" s="1"/>
      <c r="H119" s="1"/>
      <c r="K119" s="1"/>
      <c r="M119" s="1"/>
      <c r="N119" s="1"/>
      <c r="O119" s="1"/>
      <c r="T119" s="1"/>
    </row>
    <row r="120" spans="1:20" x14ac:dyDescent="0.3">
      <c r="A120" s="1" t="s">
        <v>177</v>
      </c>
      <c r="B120" s="1"/>
      <c r="C120" s="2"/>
      <c r="D120" s="1"/>
      <c r="E120" s="1"/>
      <c r="H120" s="1"/>
      <c r="K120" s="1"/>
      <c r="M120" s="1"/>
      <c r="N120" s="1"/>
      <c r="O120" s="1"/>
      <c r="T120" s="1"/>
    </row>
    <row r="121" spans="1:20" x14ac:dyDescent="0.3">
      <c r="A121" s="1" t="s">
        <v>177</v>
      </c>
      <c r="B121" s="1"/>
      <c r="C121" s="2"/>
      <c r="D121" s="1"/>
      <c r="E121" s="1"/>
      <c r="H121" s="1"/>
      <c r="K121" s="1"/>
      <c r="M121" s="1"/>
      <c r="N121" s="1"/>
      <c r="O121" s="1"/>
      <c r="T121" s="1"/>
    </row>
    <row r="122" spans="1:20" x14ac:dyDescent="0.3">
      <c r="A122" s="1" t="s">
        <v>177</v>
      </c>
      <c r="B122" s="1"/>
      <c r="C122" s="2"/>
      <c r="D122" s="1"/>
      <c r="E122" s="1"/>
      <c r="H122" s="1"/>
      <c r="K122" s="1"/>
      <c r="M122" s="1"/>
      <c r="N122" s="1"/>
      <c r="O122" s="1"/>
      <c r="T122" s="1"/>
    </row>
    <row r="123" spans="1:20" x14ac:dyDescent="0.3">
      <c r="A123" s="1" t="s">
        <v>177</v>
      </c>
      <c r="B123" s="1"/>
      <c r="C123" s="2"/>
      <c r="D123" s="1"/>
      <c r="E123" s="1"/>
      <c r="H123" s="1"/>
      <c r="K123" s="1"/>
      <c r="M123" s="1"/>
      <c r="N123" s="1"/>
      <c r="O123" s="1"/>
      <c r="T123" s="1"/>
    </row>
    <row r="124" spans="1:20" x14ac:dyDescent="0.3">
      <c r="A124" s="1" t="s">
        <v>177</v>
      </c>
      <c r="B124" s="1"/>
      <c r="C124" s="2"/>
      <c r="D124" s="1"/>
      <c r="E124" s="1"/>
      <c r="H124" s="1"/>
      <c r="K124" s="1"/>
      <c r="M124" s="1"/>
      <c r="N124" s="1"/>
      <c r="O124" s="1"/>
      <c r="T124" s="1"/>
    </row>
    <row r="125" spans="1:20" x14ac:dyDescent="0.3">
      <c r="A125" s="1" t="s">
        <v>177</v>
      </c>
      <c r="B125" s="1"/>
      <c r="C125" s="2"/>
      <c r="D125" s="1"/>
      <c r="E125" s="1"/>
      <c r="H125" s="1"/>
      <c r="K125" s="1"/>
      <c r="M125" s="1"/>
      <c r="N125" s="1"/>
      <c r="O125" s="1"/>
      <c r="T125" s="1"/>
    </row>
    <row r="126" spans="1:20" x14ac:dyDescent="0.3">
      <c r="A126" s="1" t="s">
        <v>177</v>
      </c>
      <c r="B126" s="1"/>
      <c r="C126" s="2"/>
      <c r="D126" s="1"/>
      <c r="E126" s="1"/>
      <c r="H126" s="1"/>
      <c r="K126" s="1"/>
      <c r="M126" s="1"/>
      <c r="N126" s="1"/>
      <c r="O126" s="1"/>
      <c r="T126" s="1"/>
    </row>
    <row r="127" spans="1:20" x14ac:dyDescent="0.3">
      <c r="A127" s="1" t="s">
        <v>177</v>
      </c>
      <c r="B127" s="1"/>
      <c r="C127" s="2"/>
      <c r="D127" s="1"/>
      <c r="E127" s="1"/>
      <c r="H127" s="1"/>
      <c r="K127" s="1"/>
      <c r="M127" s="1"/>
      <c r="N127" s="1"/>
      <c r="O127" s="1"/>
      <c r="T127" s="1"/>
    </row>
    <row r="128" spans="1:20" x14ac:dyDescent="0.3">
      <c r="A128" s="1" t="s">
        <v>177</v>
      </c>
      <c r="B128" s="1"/>
      <c r="C128" s="2"/>
      <c r="D128" s="1"/>
      <c r="E128" s="1"/>
      <c r="H128" s="1"/>
      <c r="K128" s="1"/>
      <c r="M128" s="1"/>
      <c r="N128" s="1"/>
      <c r="O128" s="1"/>
      <c r="T128" s="1"/>
    </row>
    <row r="129" spans="1:20" x14ac:dyDescent="0.3">
      <c r="A129" s="1" t="s">
        <v>177</v>
      </c>
      <c r="B129" s="1"/>
      <c r="C129" s="2"/>
      <c r="D129" s="1"/>
      <c r="E129" s="1"/>
      <c r="H129" s="1"/>
      <c r="K129" s="1"/>
      <c r="M129" s="1"/>
      <c r="N129" s="1"/>
      <c r="O129" s="1"/>
      <c r="T129" s="1"/>
    </row>
    <row r="130" spans="1:20" x14ac:dyDescent="0.3">
      <c r="A130" s="1" t="s">
        <v>177</v>
      </c>
      <c r="B130" s="1"/>
      <c r="C130" s="2"/>
      <c r="D130" s="1"/>
      <c r="E130" s="1"/>
      <c r="H130" s="1"/>
      <c r="K130" s="1"/>
      <c r="M130" s="1"/>
      <c r="N130" s="1"/>
      <c r="O130" s="1"/>
      <c r="T130" s="1"/>
    </row>
    <row r="131" spans="1:20" x14ac:dyDescent="0.3">
      <c r="A131" s="1" t="s">
        <v>177</v>
      </c>
      <c r="B131" s="1"/>
      <c r="C131" s="2"/>
      <c r="D131" s="1"/>
      <c r="E131" s="1"/>
      <c r="H131" s="1"/>
      <c r="K131" s="1"/>
      <c r="M131" s="1"/>
      <c r="N131" s="1"/>
      <c r="O131" s="1"/>
      <c r="T131" s="1"/>
    </row>
    <row r="132" spans="1:20" x14ac:dyDescent="0.3">
      <c r="A132" s="1" t="s">
        <v>177</v>
      </c>
      <c r="B132" s="1"/>
      <c r="C132" s="2"/>
      <c r="D132" s="1"/>
      <c r="E132" s="1"/>
      <c r="H132" s="1"/>
      <c r="K132" s="1"/>
      <c r="M132" s="1"/>
      <c r="N132" s="1"/>
      <c r="O132" s="1"/>
      <c r="T132" s="1"/>
    </row>
    <row r="133" spans="1:20" x14ac:dyDescent="0.3">
      <c r="A133" s="1" t="s">
        <v>177</v>
      </c>
      <c r="B133" s="1"/>
      <c r="C133" s="2"/>
      <c r="D133" s="1"/>
      <c r="E133" s="1"/>
      <c r="H133" s="1"/>
      <c r="K133" s="1"/>
      <c r="M133" s="1"/>
      <c r="N133" s="1"/>
      <c r="O133" s="1"/>
      <c r="T133" s="1"/>
    </row>
    <row r="134" spans="1:20" x14ac:dyDescent="0.3">
      <c r="A134" s="1" t="s">
        <v>177</v>
      </c>
      <c r="B134" s="1"/>
      <c r="C134" s="2"/>
      <c r="D134" s="1"/>
      <c r="E134" s="1"/>
      <c r="H134" s="1"/>
      <c r="K134" s="1"/>
      <c r="M134" s="1"/>
      <c r="N134" s="1"/>
      <c r="O134" s="1"/>
      <c r="T134" s="1"/>
    </row>
    <row r="135" spans="1:20" x14ac:dyDescent="0.3">
      <c r="A135" s="1" t="s">
        <v>177</v>
      </c>
      <c r="B135" s="1"/>
      <c r="C135" s="2"/>
      <c r="D135" s="1"/>
      <c r="E135" s="1"/>
      <c r="H135" s="1"/>
      <c r="K135" s="1"/>
      <c r="M135" s="1"/>
      <c r="N135" s="1"/>
      <c r="O135" s="1"/>
      <c r="T135" s="1"/>
    </row>
    <row r="136" spans="1:20" x14ac:dyDescent="0.3">
      <c r="A136" s="1" t="s">
        <v>177</v>
      </c>
      <c r="B136" s="1"/>
      <c r="C136" s="2"/>
      <c r="D136" s="1"/>
      <c r="E136" s="1"/>
      <c r="H136" s="1"/>
      <c r="K136" s="1"/>
      <c r="M136" s="1"/>
      <c r="N136" s="1"/>
      <c r="O136" s="1"/>
      <c r="T136" s="1"/>
    </row>
    <row r="137" spans="1:20" x14ac:dyDescent="0.3">
      <c r="A137" s="1" t="s">
        <v>177</v>
      </c>
      <c r="B137" s="1"/>
      <c r="C137" s="2"/>
      <c r="D137" s="1"/>
      <c r="E137" s="1"/>
      <c r="H137" s="1"/>
      <c r="K137" s="1"/>
      <c r="M137" s="1"/>
      <c r="N137" s="1"/>
      <c r="O137" s="1"/>
      <c r="T137" s="1"/>
    </row>
    <row r="138" spans="1:20" x14ac:dyDescent="0.3">
      <c r="A138" s="1" t="s">
        <v>177</v>
      </c>
      <c r="B138" s="1"/>
      <c r="C138" s="2"/>
      <c r="D138" s="1"/>
      <c r="E138" s="1"/>
      <c r="H138" s="1"/>
      <c r="K138" s="1"/>
      <c r="M138" s="1"/>
      <c r="N138" s="1"/>
      <c r="O138" s="1"/>
      <c r="T138" s="1"/>
    </row>
    <row r="139" spans="1:20" x14ac:dyDescent="0.3">
      <c r="A139" s="1" t="s">
        <v>177</v>
      </c>
      <c r="B139" s="1"/>
      <c r="C139" s="2"/>
      <c r="D139" s="1"/>
      <c r="E139" s="1"/>
      <c r="H139" s="1"/>
      <c r="K139" s="1"/>
      <c r="M139" s="1"/>
      <c r="N139" s="1"/>
      <c r="O139" s="1"/>
      <c r="T139" s="1"/>
    </row>
    <row r="140" spans="1:20" x14ac:dyDescent="0.3">
      <c r="A140" s="1" t="s">
        <v>177</v>
      </c>
      <c r="B140" s="1"/>
      <c r="C140" s="2"/>
      <c r="D140" s="1"/>
      <c r="E140" s="1"/>
      <c r="H140" s="1"/>
      <c r="K140" s="1"/>
      <c r="M140" s="1"/>
      <c r="N140" s="1"/>
      <c r="O140" s="1"/>
      <c r="T140" s="1"/>
    </row>
    <row r="141" spans="1:20" x14ac:dyDescent="0.3">
      <c r="A141" s="1" t="s">
        <v>177</v>
      </c>
      <c r="B141" s="1"/>
      <c r="C141" s="2"/>
      <c r="D141" s="1"/>
      <c r="E141" s="1"/>
      <c r="H141" s="1"/>
      <c r="K141" s="1"/>
      <c r="M141" s="1"/>
      <c r="N141" s="1"/>
      <c r="O141" s="1"/>
      <c r="T141" s="1"/>
    </row>
    <row r="142" spans="1:20" x14ac:dyDescent="0.3">
      <c r="A142" s="1" t="s">
        <v>177</v>
      </c>
      <c r="B142" s="1"/>
      <c r="C142" s="2"/>
      <c r="D142" s="1"/>
      <c r="E142" s="1"/>
      <c r="H142" s="1"/>
      <c r="K142" s="1"/>
      <c r="M142" s="1"/>
      <c r="N142" s="1"/>
      <c r="O142" s="1"/>
      <c r="T142" s="1"/>
    </row>
    <row r="143" spans="1:20" x14ac:dyDescent="0.3">
      <c r="A143" s="1" t="s">
        <v>177</v>
      </c>
      <c r="B143" s="1"/>
      <c r="C143" s="2"/>
      <c r="D143" s="1"/>
      <c r="E143" s="1"/>
      <c r="H143" s="1"/>
      <c r="K143" s="1"/>
      <c r="M143" s="1"/>
      <c r="N143" s="1"/>
      <c r="O143" s="1"/>
      <c r="T143" s="1"/>
    </row>
    <row r="144" spans="1:20" x14ac:dyDescent="0.3">
      <c r="A144" s="1" t="s">
        <v>177</v>
      </c>
      <c r="B144" s="1"/>
      <c r="C144" s="2"/>
      <c r="D144" s="1"/>
      <c r="E144" s="1"/>
      <c r="H144" s="1"/>
      <c r="K144" s="1"/>
      <c r="M144" s="1"/>
      <c r="N144" s="1"/>
      <c r="O144" s="1"/>
      <c r="T144" s="1"/>
    </row>
    <row r="145" spans="1:20" x14ac:dyDescent="0.3">
      <c r="A145" s="1" t="s">
        <v>177</v>
      </c>
      <c r="B145" s="1"/>
      <c r="C145" s="2"/>
      <c r="D145" s="1"/>
      <c r="E145" s="1"/>
      <c r="H145" s="1"/>
      <c r="K145" s="1"/>
      <c r="M145" s="1"/>
      <c r="N145" s="1"/>
      <c r="O145" s="1"/>
      <c r="T145" s="1"/>
    </row>
    <row r="146" spans="1:20" x14ac:dyDescent="0.3">
      <c r="A146" s="1" t="s">
        <v>177</v>
      </c>
      <c r="B146" s="1"/>
      <c r="C146" s="2"/>
      <c r="D146" s="1"/>
      <c r="E146" s="1"/>
      <c r="H146" s="1"/>
      <c r="K146" s="1"/>
      <c r="M146" s="1"/>
      <c r="N146" s="1"/>
      <c r="O146" s="1"/>
      <c r="T146" s="1"/>
    </row>
    <row r="147" spans="1:20" x14ac:dyDescent="0.3">
      <c r="A147" s="1" t="s">
        <v>177</v>
      </c>
      <c r="B147" s="1"/>
      <c r="C147" s="2"/>
      <c r="D147" s="1"/>
      <c r="E147" s="1"/>
      <c r="H147" s="1"/>
      <c r="K147" s="1"/>
      <c r="M147" s="1"/>
      <c r="N147" s="1"/>
      <c r="O147" s="1"/>
      <c r="T147" s="1"/>
    </row>
    <row r="148" spans="1:20" x14ac:dyDescent="0.3">
      <c r="A148" s="1" t="s">
        <v>177</v>
      </c>
      <c r="B148" s="1"/>
      <c r="C148" s="2"/>
      <c r="D148" s="1"/>
      <c r="E148" s="1"/>
      <c r="H148" s="1"/>
      <c r="K148" s="1"/>
      <c r="M148" s="1"/>
      <c r="N148" s="1"/>
      <c r="O148" s="1"/>
      <c r="T148" s="1"/>
    </row>
    <row r="149" spans="1:20" x14ac:dyDescent="0.3">
      <c r="A149" s="1" t="s">
        <v>177</v>
      </c>
      <c r="B149" s="1"/>
      <c r="C149" s="2"/>
      <c r="D149" s="1"/>
      <c r="E149" s="1"/>
      <c r="H149" s="1"/>
      <c r="K149" s="1"/>
      <c r="M149" s="1"/>
      <c r="N149" s="1"/>
      <c r="O149" s="1"/>
      <c r="T149" s="1"/>
    </row>
    <row r="150" spans="1:20" x14ac:dyDescent="0.3">
      <c r="A150" s="1" t="s">
        <v>177</v>
      </c>
      <c r="B150" s="1"/>
      <c r="C150" s="2"/>
      <c r="D150" s="1"/>
      <c r="E150" s="1"/>
      <c r="H150" s="1"/>
      <c r="K150" s="1"/>
      <c r="M150" s="1"/>
      <c r="N150" s="1"/>
      <c r="O150" s="1"/>
      <c r="T150" s="1"/>
    </row>
    <row r="151" spans="1:20" x14ac:dyDescent="0.3">
      <c r="A151" s="1" t="s">
        <v>177</v>
      </c>
      <c r="B151" s="1"/>
      <c r="C151" s="2"/>
      <c r="D151" s="1"/>
      <c r="E151" s="1"/>
      <c r="H151" s="1"/>
      <c r="K151" s="1"/>
      <c r="M151" s="1"/>
      <c r="N151" s="1"/>
      <c r="O151" s="1"/>
      <c r="T151" s="1"/>
    </row>
    <row r="152" spans="1:20" x14ac:dyDescent="0.3">
      <c r="A152" s="1" t="s">
        <v>177</v>
      </c>
      <c r="B152" s="1"/>
      <c r="C152" s="2"/>
      <c r="D152" s="1"/>
      <c r="E152" s="1"/>
      <c r="H152" s="1"/>
      <c r="K152" s="1"/>
      <c r="M152" s="1"/>
      <c r="N152" s="1"/>
      <c r="O152" s="1"/>
      <c r="T152" s="1"/>
    </row>
    <row r="153" spans="1:20" x14ac:dyDescent="0.3">
      <c r="A153" s="1" t="s">
        <v>177</v>
      </c>
      <c r="B153" s="1"/>
      <c r="C153" s="2"/>
      <c r="D153" s="1"/>
      <c r="E153" s="1"/>
      <c r="H153" s="1"/>
      <c r="K153" s="1"/>
      <c r="M153" s="1"/>
      <c r="N153" s="1"/>
      <c r="O153" s="1"/>
      <c r="T153" s="1"/>
    </row>
    <row r="154" spans="1:20" x14ac:dyDescent="0.3">
      <c r="A154" s="1" t="s">
        <v>177</v>
      </c>
      <c r="B154" s="1"/>
      <c r="C154" s="2"/>
      <c r="D154" s="1"/>
      <c r="E154" s="1"/>
      <c r="H154" s="1"/>
      <c r="K154" s="1"/>
      <c r="M154" s="1"/>
      <c r="N154" s="1"/>
      <c r="O154" s="1"/>
      <c r="T154" s="1"/>
    </row>
    <row r="155" spans="1:20" x14ac:dyDescent="0.3">
      <c r="A155" s="1" t="s">
        <v>177</v>
      </c>
      <c r="B155" s="1"/>
      <c r="C155" s="2"/>
      <c r="D155" s="1"/>
      <c r="E155" s="1"/>
      <c r="H155" s="1"/>
      <c r="K155" s="1"/>
      <c r="M155" s="1"/>
      <c r="N155" s="1"/>
      <c r="O155" s="1"/>
      <c r="T155" s="1"/>
    </row>
    <row r="156" spans="1:20" x14ac:dyDescent="0.3">
      <c r="A156" s="1" t="s">
        <v>177</v>
      </c>
      <c r="B156" s="1"/>
      <c r="C156" s="2"/>
      <c r="D156" s="1"/>
      <c r="E156" s="1"/>
      <c r="H156" s="1"/>
      <c r="K156" s="1"/>
      <c r="M156" s="1"/>
      <c r="N156" s="1"/>
      <c r="O156" s="1"/>
      <c r="T156" s="1"/>
    </row>
    <row r="157" spans="1:20" x14ac:dyDescent="0.3">
      <c r="A157" s="1" t="s">
        <v>177</v>
      </c>
      <c r="B157" s="1"/>
      <c r="C157" s="2"/>
      <c r="D157" s="1"/>
      <c r="E157" s="1"/>
      <c r="H157" s="1"/>
      <c r="K157" s="1"/>
      <c r="M157" s="1"/>
      <c r="N157" s="1"/>
      <c r="O157" s="1"/>
      <c r="T157" s="1"/>
    </row>
    <row r="158" spans="1:20" x14ac:dyDescent="0.3">
      <c r="A158" s="1" t="s">
        <v>177</v>
      </c>
      <c r="B158" s="1"/>
      <c r="C158" s="2"/>
      <c r="D158" s="1"/>
      <c r="E158" s="1"/>
      <c r="H158" s="1"/>
      <c r="K158" s="1"/>
      <c r="M158" s="1"/>
      <c r="N158" s="1"/>
      <c r="O158" s="1"/>
      <c r="T158" s="1"/>
    </row>
    <row r="159" spans="1:20" x14ac:dyDescent="0.3">
      <c r="A159" s="1" t="s">
        <v>177</v>
      </c>
      <c r="B159" s="1"/>
      <c r="C159" s="2"/>
      <c r="D159" s="1"/>
      <c r="E159" s="1"/>
      <c r="H159" s="1"/>
      <c r="K159" s="1"/>
      <c r="M159" s="1"/>
      <c r="N159" s="1"/>
      <c r="O159" s="1"/>
      <c r="T159" s="1"/>
    </row>
    <row r="160" spans="1:20" x14ac:dyDescent="0.3">
      <c r="A160" s="1" t="s">
        <v>177</v>
      </c>
      <c r="B160" s="1"/>
      <c r="C160" s="2"/>
      <c r="D160" s="1"/>
      <c r="E160" s="1"/>
      <c r="H160" s="1"/>
      <c r="K160" s="1"/>
      <c r="M160" s="1"/>
      <c r="N160" s="1"/>
      <c r="O160" s="1"/>
      <c r="T160" s="1"/>
    </row>
    <row r="161" spans="1:20" x14ac:dyDescent="0.3">
      <c r="A161" s="1" t="s">
        <v>177</v>
      </c>
      <c r="B161" s="1"/>
      <c r="C161" s="2"/>
      <c r="D161" s="1"/>
      <c r="E161" s="1"/>
      <c r="H161" s="1"/>
      <c r="K161" s="1"/>
      <c r="M161" s="1"/>
      <c r="N161" s="1"/>
      <c r="O161" s="1"/>
      <c r="T161" s="1"/>
    </row>
    <row r="162" spans="1:20" x14ac:dyDescent="0.3">
      <c r="A162" s="1" t="s">
        <v>177</v>
      </c>
      <c r="B162" s="1"/>
      <c r="C162" s="2"/>
      <c r="D162" s="1"/>
      <c r="E162" s="1"/>
      <c r="H162" s="1"/>
      <c r="K162" s="1"/>
      <c r="M162" s="1"/>
      <c r="N162" s="1"/>
      <c r="O162" s="1"/>
      <c r="T162" s="1"/>
    </row>
    <row r="163" spans="1:20" x14ac:dyDescent="0.3">
      <c r="A163" s="1" t="s">
        <v>177</v>
      </c>
      <c r="B163" s="1"/>
      <c r="C163" s="2"/>
      <c r="D163" s="1"/>
      <c r="E163" s="1"/>
      <c r="H163" s="1"/>
      <c r="K163" s="1"/>
      <c r="M163" s="1"/>
      <c r="N163" s="1"/>
      <c r="O163" s="1"/>
      <c r="T163" s="1"/>
    </row>
    <row r="164" spans="1:20" x14ac:dyDescent="0.3">
      <c r="A164" s="1" t="s">
        <v>177</v>
      </c>
      <c r="B164" s="1"/>
      <c r="C164" s="2"/>
      <c r="D164" s="1"/>
      <c r="E164" s="1"/>
      <c r="H164" s="1"/>
      <c r="K164" s="1"/>
      <c r="M164" s="1"/>
      <c r="N164" s="1"/>
      <c r="O164" s="1"/>
      <c r="T164" s="1"/>
    </row>
    <row r="165" spans="1:20" x14ac:dyDescent="0.3">
      <c r="A165" s="1" t="s">
        <v>177</v>
      </c>
      <c r="B165" s="1"/>
      <c r="C165" s="2"/>
      <c r="D165" s="1"/>
      <c r="E165" s="1"/>
      <c r="H165" s="1"/>
      <c r="K165" s="1"/>
      <c r="M165" s="1"/>
      <c r="N165" s="1"/>
      <c r="O165" s="1"/>
      <c r="T165" s="1"/>
    </row>
    <row r="166" spans="1:20" x14ac:dyDescent="0.3">
      <c r="A166" s="1" t="s">
        <v>177</v>
      </c>
      <c r="B166" s="1"/>
      <c r="C166" s="2"/>
      <c r="D166" s="1"/>
      <c r="E166" s="1"/>
      <c r="H166" s="1"/>
      <c r="K166" s="1"/>
      <c r="M166" s="1"/>
      <c r="N166" s="1"/>
      <c r="O166" s="1"/>
      <c r="T166" s="1"/>
    </row>
    <row r="167" spans="1:20" x14ac:dyDescent="0.3">
      <c r="A167" s="1" t="s">
        <v>177</v>
      </c>
      <c r="B167" s="1"/>
      <c r="C167" s="2"/>
      <c r="D167" s="1"/>
      <c r="E167" s="1"/>
      <c r="H167" s="1"/>
      <c r="K167" s="1"/>
      <c r="M167" s="1"/>
      <c r="N167" s="1"/>
      <c r="O167" s="1"/>
      <c r="T167" s="1"/>
    </row>
    <row r="168" spans="1:20" x14ac:dyDescent="0.3">
      <c r="A168" s="1" t="s">
        <v>177</v>
      </c>
      <c r="B168" s="1"/>
      <c r="C168" s="2"/>
      <c r="D168" s="1"/>
      <c r="E168" s="1"/>
      <c r="H168" s="1"/>
      <c r="K168" s="1"/>
      <c r="M168" s="1"/>
      <c r="N168" s="1"/>
      <c r="O168" s="1"/>
      <c r="T168" s="1"/>
    </row>
    <row r="169" spans="1:20" x14ac:dyDescent="0.3">
      <c r="A169" s="1" t="s">
        <v>177</v>
      </c>
      <c r="B169" s="1"/>
      <c r="C169" s="2"/>
      <c r="D169" s="1"/>
      <c r="E169" s="1"/>
      <c r="H169" s="1"/>
      <c r="K169" s="1"/>
      <c r="M169" s="1"/>
      <c r="N169" s="1"/>
      <c r="O169" s="1"/>
      <c r="T169" s="1"/>
    </row>
    <row r="170" spans="1:20" x14ac:dyDescent="0.3">
      <c r="A170" s="1" t="s">
        <v>177</v>
      </c>
      <c r="B170" s="1"/>
      <c r="C170" s="2"/>
      <c r="D170" s="1"/>
      <c r="E170" s="1"/>
      <c r="H170" s="1"/>
      <c r="K170" s="1"/>
      <c r="M170" s="1"/>
      <c r="N170" s="1"/>
      <c r="O170" s="1"/>
      <c r="T170" s="1"/>
    </row>
    <row r="171" spans="1:20" x14ac:dyDescent="0.3">
      <c r="A171" s="1" t="s">
        <v>177</v>
      </c>
      <c r="B171" s="1"/>
      <c r="C171" s="2"/>
      <c r="D171" s="1"/>
      <c r="E171" s="1"/>
      <c r="H171" s="1"/>
      <c r="K171" s="1"/>
      <c r="M171" s="1"/>
      <c r="N171" s="1"/>
      <c r="O171" s="1"/>
      <c r="T171" s="1"/>
    </row>
    <row r="172" spans="1:20" x14ac:dyDescent="0.3">
      <c r="A172" s="1" t="s">
        <v>177</v>
      </c>
      <c r="B172" s="1"/>
      <c r="C172" s="2"/>
      <c r="D172" s="1"/>
      <c r="E172" s="1"/>
      <c r="H172" s="1"/>
      <c r="K172" s="1"/>
      <c r="M172" s="1"/>
      <c r="N172" s="1"/>
      <c r="O172" s="1"/>
      <c r="T172" s="1"/>
    </row>
    <row r="173" spans="1:20" x14ac:dyDescent="0.3">
      <c r="A173" s="1" t="s">
        <v>177</v>
      </c>
      <c r="B173" s="1"/>
      <c r="C173" s="2"/>
      <c r="D173" s="1"/>
      <c r="E173" s="1"/>
      <c r="H173" s="1"/>
      <c r="K173" s="1"/>
      <c r="M173" s="1"/>
      <c r="N173" s="1"/>
      <c r="O173" s="1"/>
      <c r="T173" s="1"/>
    </row>
    <row r="174" spans="1:20" x14ac:dyDescent="0.3">
      <c r="A174" s="1" t="s">
        <v>177</v>
      </c>
      <c r="B174" s="1"/>
      <c r="C174" s="2"/>
      <c r="D174" s="1"/>
      <c r="E174" s="1"/>
      <c r="H174" s="1"/>
      <c r="K174" s="1"/>
      <c r="M174" s="1"/>
      <c r="N174" s="1"/>
      <c r="O174" s="1"/>
      <c r="T174" s="1"/>
    </row>
    <row r="175" spans="1:20" x14ac:dyDescent="0.3">
      <c r="A175" s="1" t="s">
        <v>177</v>
      </c>
      <c r="B175" s="1"/>
      <c r="C175" s="2"/>
      <c r="D175" s="1"/>
      <c r="E175" s="1"/>
      <c r="H175" s="1"/>
      <c r="K175" s="1"/>
      <c r="M175" s="1"/>
      <c r="N175" s="1"/>
      <c r="O175" s="1"/>
      <c r="T175" s="1"/>
    </row>
    <row r="176" spans="1:20" x14ac:dyDescent="0.3">
      <c r="A176" s="1" t="s">
        <v>177</v>
      </c>
      <c r="B176" s="1"/>
      <c r="C176" s="2"/>
      <c r="D176" s="1"/>
      <c r="E176" s="1"/>
      <c r="H176" s="1"/>
      <c r="K176" s="1"/>
      <c r="M176" s="1"/>
      <c r="N176" s="1"/>
      <c r="O176" s="1"/>
      <c r="T176" s="1"/>
    </row>
    <row r="177" spans="1:20" x14ac:dyDescent="0.3">
      <c r="A177" s="1" t="s">
        <v>177</v>
      </c>
      <c r="B177" s="1"/>
      <c r="C177" s="2"/>
      <c r="D177" s="1"/>
      <c r="E177" s="1"/>
      <c r="H177" s="1"/>
      <c r="K177" s="1"/>
      <c r="M177" s="1"/>
      <c r="N177" s="1"/>
      <c r="O177" s="1"/>
      <c r="T177" s="1"/>
    </row>
    <row r="178" spans="1:20" x14ac:dyDescent="0.3">
      <c r="A178" s="1" t="s">
        <v>177</v>
      </c>
      <c r="B178" s="1"/>
      <c r="C178" s="2"/>
      <c r="D178" s="1"/>
      <c r="E178" s="1"/>
      <c r="H178" s="1"/>
      <c r="K178" s="1"/>
      <c r="M178" s="1"/>
      <c r="N178" s="1"/>
      <c r="O178" s="1"/>
      <c r="T178" s="1"/>
    </row>
    <row r="179" spans="1:20" x14ac:dyDescent="0.3">
      <c r="A179" s="1" t="s">
        <v>177</v>
      </c>
      <c r="B179" s="1"/>
      <c r="C179" s="2"/>
      <c r="D179" s="1"/>
      <c r="E179" s="1"/>
      <c r="H179" s="1"/>
      <c r="K179" s="1"/>
      <c r="M179" s="1"/>
      <c r="N179" s="1"/>
      <c r="O179" s="1"/>
      <c r="T179" s="1"/>
    </row>
    <row r="180" spans="1:20" x14ac:dyDescent="0.3">
      <c r="A180" s="1" t="s">
        <v>177</v>
      </c>
      <c r="B180" s="1"/>
      <c r="C180" s="2"/>
      <c r="D180" s="1"/>
      <c r="E180" s="1"/>
      <c r="H180" s="1"/>
      <c r="K180" s="1"/>
      <c r="M180" s="1"/>
      <c r="N180" s="1"/>
      <c r="O180" s="1"/>
      <c r="T180" s="1"/>
    </row>
    <row r="181" spans="1:20" x14ac:dyDescent="0.3">
      <c r="A181" s="1" t="s">
        <v>177</v>
      </c>
      <c r="B181" s="1"/>
      <c r="C181" s="2"/>
      <c r="D181" s="1"/>
      <c r="E181" s="1"/>
      <c r="H181" s="1"/>
      <c r="K181" s="1"/>
      <c r="M181" s="1"/>
      <c r="N181" s="1"/>
      <c r="O181" s="1"/>
      <c r="T181" s="1"/>
    </row>
    <row r="182" spans="1:20" x14ac:dyDescent="0.3">
      <c r="A182" s="1" t="s">
        <v>177</v>
      </c>
      <c r="B182" s="1"/>
      <c r="C182" s="2"/>
      <c r="D182" s="1"/>
      <c r="E182" s="1"/>
      <c r="H182" s="1"/>
      <c r="K182" s="1"/>
      <c r="M182" s="1"/>
      <c r="N182" s="1"/>
      <c r="O182" s="1"/>
      <c r="T182" s="1"/>
    </row>
    <row r="183" spans="1:20" x14ac:dyDescent="0.3">
      <c r="A183" s="1" t="s">
        <v>177</v>
      </c>
      <c r="B183" s="1"/>
      <c r="C183" s="2"/>
      <c r="D183" s="1"/>
      <c r="E183" s="1"/>
      <c r="H183" s="1"/>
      <c r="K183" s="1"/>
      <c r="M183" s="1"/>
      <c r="N183" s="1"/>
      <c r="O183" s="1"/>
      <c r="T183" s="1"/>
    </row>
    <row r="184" spans="1:20" x14ac:dyDescent="0.3">
      <c r="A184" s="1" t="s">
        <v>177</v>
      </c>
      <c r="B184" s="1"/>
      <c r="C184" s="2"/>
      <c r="D184" s="1"/>
      <c r="E184" s="1"/>
      <c r="H184" s="1"/>
      <c r="K184" s="1"/>
      <c r="M184" s="1"/>
      <c r="N184" s="1"/>
      <c r="O184" s="1"/>
      <c r="T184" s="1"/>
    </row>
    <row r="185" spans="1:20" x14ac:dyDescent="0.3">
      <c r="A185" s="1" t="s">
        <v>177</v>
      </c>
      <c r="B185" s="1"/>
      <c r="C185" s="2"/>
      <c r="D185" s="1"/>
      <c r="E185" s="1"/>
      <c r="H185" s="1"/>
      <c r="K185" s="1"/>
      <c r="M185" s="1"/>
      <c r="N185" s="1"/>
      <c r="O185" s="1"/>
      <c r="T185" s="1"/>
    </row>
    <row r="186" spans="1:20" x14ac:dyDescent="0.3">
      <c r="A186" s="1" t="s">
        <v>177</v>
      </c>
      <c r="B186" s="1"/>
      <c r="C186" s="2"/>
      <c r="D186" s="1"/>
      <c r="E186" s="1"/>
      <c r="H186" s="1"/>
      <c r="K186" s="1"/>
      <c r="M186" s="1"/>
      <c r="N186" s="1"/>
      <c r="O186" s="1"/>
      <c r="T186" s="1"/>
    </row>
    <row r="187" spans="1:20" x14ac:dyDescent="0.3">
      <c r="A187" s="1" t="s">
        <v>177</v>
      </c>
      <c r="B187" s="1"/>
      <c r="C187" s="2"/>
      <c r="D187" s="1"/>
      <c r="E187" s="1"/>
      <c r="H187" s="1"/>
      <c r="K187" s="1"/>
      <c r="M187" s="1"/>
      <c r="N187" s="1"/>
      <c r="O187" s="1"/>
      <c r="T187" s="1"/>
    </row>
    <row r="188" spans="1:20" x14ac:dyDescent="0.3">
      <c r="A188" s="1" t="s">
        <v>177</v>
      </c>
      <c r="B188" s="1"/>
      <c r="C188" s="2"/>
      <c r="D188" s="1"/>
      <c r="E188" s="1"/>
      <c r="H188" s="1"/>
      <c r="K188" s="1"/>
      <c r="M188" s="1"/>
      <c r="N188" s="1"/>
      <c r="O188" s="1"/>
      <c r="T188" s="1"/>
    </row>
    <row r="189" spans="1:20" x14ac:dyDescent="0.3">
      <c r="A189" s="1" t="s">
        <v>177</v>
      </c>
      <c r="B189" s="1"/>
      <c r="C189" s="2"/>
      <c r="D189" s="1"/>
      <c r="E189" s="1"/>
      <c r="H189" s="1"/>
      <c r="K189" s="1"/>
      <c r="M189" s="1"/>
      <c r="N189" s="1"/>
      <c r="O189" s="1"/>
      <c r="T189" s="1"/>
    </row>
    <row r="190" spans="1:20" x14ac:dyDescent="0.3">
      <c r="A190" s="1" t="s">
        <v>177</v>
      </c>
      <c r="B190" s="1"/>
      <c r="C190" s="2"/>
      <c r="D190" s="1"/>
      <c r="E190" s="1"/>
      <c r="H190" s="1"/>
      <c r="K190" s="1"/>
      <c r="M190" s="1"/>
      <c r="N190" s="1"/>
      <c r="O190" s="1"/>
      <c r="T190" s="1"/>
    </row>
    <row r="191" spans="1:20" x14ac:dyDescent="0.3">
      <c r="A191" s="1" t="s">
        <v>177</v>
      </c>
      <c r="B191" s="1"/>
      <c r="C191" s="2"/>
      <c r="D191" s="1"/>
      <c r="E191" s="1"/>
      <c r="H191" s="1"/>
      <c r="K191" s="1"/>
      <c r="M191" s="1"/>
      <c r="N191" s="1"/>
      <c r="O191" s="1"/>
      <c r="T191" s="1"/>
    </row>
    <row r="192" spans="1:20" x14ac:dyDescent="0.3">
      <c r="A192" s="1" t="s">
        <v>177</v>
      </c>
      <c r="B192" s="1"/>
      <c r="C192" s="2"/>
      <c r="D192" s="1"/>
      <c r="E192" s="1"/>
      <c r="H192" s="1"/>
      <c r="K192" s="1"/>
      <c r="M192" s="1"/>
      <c r="N192" s="1"/>
      <c r="O192" s="1"/>
      <c r="T192" s="1"/>
    </row>
    <row r="193" spans="1:20" x14ac:dyDescent="0.3">
      <c r="A193" s="1" t="s">
        <v>177</v>
      </c>
      <c r="B193" s="1"/>
      <c r="C193" s="2"/>
      <c r="D193" s="1"/>
      <c r="E193" s="1"/>
      <c r="H193" s="1"/>
      <c r="K193" s="1"/>
      <c r="M193" s="1"/>
      <c r="N193" s="1"/>
      <c r="O193" s="1"/>
      <c r="T193" s="1"/>
    </row>
    <row r="194" spans="1:20" x14ac:dyDescent="0.3">
      <c r="A194" s="1" t="s">
        <v>177</v>
      </c>
      <c r="B194" s="1"/>
      <c r="C194" s="2"/>
      <c r="D194" s="1"/>
      <c r="E194" s="1"/>
      <c r="H194" s="1"/>
      <c r="K194" s="1"/>
      <c r="M194" s="1"/>
      <c r="N194" s="1"/>
      <c r="O194" s="1"/>
      <c r="T194" s="1"/>
    </row>
    <row r="195" spans="1:20" x14ac:dyDescent="0.3">
      <c r="A195" s="1" t="s">
        <v>177</v>
      </c>
      <c r="B195" s="1"/>
      <c r="C195" s="2"/>
      <c r="D195" s="1"/>
      <c r="E195" s="1"/>
      <c r="H195" s="1"/>
      <c r="K195" s="1"/>
      <c r="M195" s="1"/>
      <c r="N195" s="1"/>
      <c r="O195" s="1"/>
      <c r="T195" s="1"/>
    </row>
    <row r="196" spans="1:20" x14ac:dyDescent="0.3">
      <c r="A196" s="1" t="s">
        <v>177</v>
      </c>
      <c r="B196" s="1"/>
      <c r="C196" s="2"/>
      <c r="D196" s="1"/>
      <c r="E196" s="1"/>
      <c r="H196" s="1"/>
      <c r="K196" s="1"/>
      <c r="M196" s="1"/>
      <c r="N196" s="1"/>
      <c r="O196" s="1"/>
      <c r="T196" s="1"/>
    </row>
    <row r="197" spans="1:20" x14ac:dyDescent="0.3">
      <c r="A197" s="1" t="s">
        <v>177</v>
      </c>
      <c r="B197" s="1"/>
      <c r="C197" s="2"/>
      <c r="D197" s="1"/>
      <c r="E197" s="1"/>
      <c r="H197" s="1"/>
      <c r="K197" s="1"/>
      <c r="M197" s="1"/>
      <c r="N197" s="1"/>
      <c r="O197" s="1"/>
      <c r="T197" s="1"/>
    </row>
    <row r="198" spans="1:20" x14ac:dyDescent="0.3">
      <c r="A198" s="1" t="s">
        <v>177</v>
      </c>
      <c r="B198" s="1"/>
      <c r="C198" s="2"/>
      <c r="D198" s="1"/>
      <c r="E198" s="1"/>
      <c r="H198" s="1"/>
      <c r="K198" s="1"/>
      <c r="M198" s="1"/>
      <c r="N198" s="1"/>
      <c r="O198" s="1"/>
      <c r="T198" s="1"/>
    </row>
    <row r="199" spans="1:20" x14ac:dyDescent="0.3">
      <c r="A199" s="1" t="s">
        <v>177</v>
      </c>
      <c r="B199" s="1"/>
      <c r="C199" s="2"/>
      <c r="D199" s="1"/>
      <c r="E199" s="1"/>
      <c r="H199" s="1"/>
      <c r="K199" s="1"/>
      <c r="M199" s="1"/>
      <c r="N199" s="1"/>
      <c r="O199" s="1"/>
      <c r="T199" s="1"/>
    </row>
    <row r="200" spans="1:20" x14ac:dyDescent="0.3">
      <c r="A200" s="1" t="s">
        <v>177</v>
      </c>
      <c r="B200" s="1"/>
      <c r="C200" s="2"/>
      <c r="D200" s="1"/>
      <c r="E200" s="1"/>
      <c r="H200" s="1"/>
      <c r="K200" s="1"/>
      <c r="M200" s="1"/>
      <c r="N200" s="1"/>
      <c r="O200" s="1"/>
      <c r="T200" s="1"/>
    </row>
    <row r="201" spans="1:20" x14ac:dyDescent="0.3">
      <c r="A201" s="1" t="s">
        <v>177</v>
      </c>
      <c r="B201" s="1"/>
      <c r="C201" s="2"/>
      <c r="D201" s="1"/>
      <c r="E201" s="1"/>
      <c r="H201" s="1"/>
      <c r="K201" s="1"/>
      <c r="M201" s="1"/>
      <c r="N201" s="1"/>
      <c r="O201" s="1"/>
      <c r="T201" s="1"/>
    </row>
    <row r="202" spans="1:20" x14ac:dyDescent="0.3">
      <c r="A202" s="1" t="s">
        <v>177</v>
      </c>
      <c r="B202" s="1"/>
      <c r="C202" s="2"/>
      <c r="D202" s="1"/>
      <c r="E202" s="1"/>
      <c r="H202" s="1"/>
      <c r="K202" s="1"/>
      <c r="M202" s="1"/>
      <c r="N202" s="1"/>
      <c r="O202" s="1"/>
      <c r="T202" s="1"/>
    </row>
    <row r="203" spans="1:20" x14ac:dyDescent="0.3">
      <c r="A203" s="1" t="s">
        <v>177</v>
      </c>
      <c r="B203" s="1"/>
      <c r="C203" s="2"/>
      <c r="D203" s="1"/>
      <c r="E203" s="1"/>
      <c r="H203" s="1"/>
      <c r="K203" s="1"/>
      <c r="M203" s="1"/>
      <c r="N203" s="1"/>
      <c r="O203" s="1"/>
      <c r="T203" s="1"/>
    </row>
    <row r="204" spans="1:20" x14ac:dyDescent="0.3">
      <c r="A204" s="1" t="s">
        <v>177</v>
      </c>
      <c r="B204" s="1"/>
      <c r="C204" s="2"/>
      <c r="D204" s="1"/>
      <c r="E204" s="1"/>
      <c r="H204" s="1"/>
      <c r="K204" s="1"/>
      <c r="M204" s="1"/>
      <c r="N204" s="1"/>
      <c r="O204" s="1"/>
      <c r="T204" s="1"/>
    </row>
    <row r="205" spans="1:20" x14ac:dyDescent="0.3">
      <c r="A205" s="1" t="s">
        <v>177</v>
      </c>
      <c r="B205" s="1"/>
      <c r="C205" s="2"/>
      <c r="D205" s="1"/>
      <c r="E205" s="1"/>
      <c r="H205" s="1"/>
      <c r="K205" s="1"/>
      <c r="M205" s="1"/>
      <c r="N205" s="1"/>
      <c r="O205" s="1"/>
      <c r="T205" s="1"/>
    </row>
    <row r="206" spans="1:20" x14ac:dyDescent="0.3">
      <c r="A206" s="1" t="s">
        <v>177</v>
      </c>
      <c r="B206" s="1"/>
      <c r="C206" s="2"/>
      <c r="D206" s="1"/>
      <c r="E206" s="1"/>
      <c r="H206" s="1"/>
      <c r="K206" s="1"/>
      <c r="M206" s="1"/>
      <c r="N206" s="1"/>
      <c r="O206" s="1"/>
      <c r="T206" s="1"/>
    </row>
    <row r="207" spans="1:20" x14ac:dyDescent="0.3">
      <c r="A207" s="1" t="s">
        <v>177</v>
      </c>
      <c r="B207" s="1"/>
      <c r="C207" s="2"/>
      <c r="D207" s="1"/>
      <c r="E207" s="1"/>
      <c r="H207" s="1"/>
      <c r="K207" s="1"/>
      <c r="M207" s="1"/>
      <c r="N207" s="1"/>
      <c r="O207" s="1"/>
      <c r="T207" s="1"/>
    </row>
    <row r="208" spans="1:20" x14ac:dyDescent="0.3">
      <c r="A208" s="1" t="s">
        <v>177</v>
      </c>
      <c r="B208" s="1"/>
      <c r="C208" s="2"/>
      <c r="D208" s="1"/>
      <c r="E208" s="1"/>
      <c r="H208" s="1"/>
      <c r="K208" s="1"/>
      <c r="M208" s="1"/>
      <c r="N208" s="1"/>
      <c r="O208" s="1"/>
      <c r="T208" s="1"/>
    </row>
    <row r="209" spans="1:20" x14ac:dyDescent="0.3">
      <c r="A209" s="1" t="s">
        <v>177</v>
      </c>
      <c r="B209" s="1"/>
      <c r="C209" s="2"/>
      <c r="D209" s="1"/>
      <c r="E209" s="1"/>
      <c r="H209" s="1"/>
      <c r="K209" s="1"/>
      <c r="M209" s="1"/>
      <c r="N209" s="1"/>
      <c r="O209" s="1"/>
      <c r="T209" s="1"/>
    </row>
    <row r="210" spans="1:20" x14ac:dyDescent="0.3">
      <c r="A210" s="1" t="s">
        <v>177</v>
      </c>
      <c r="B210" s="1"/>
      <c r="C210" s="2"/>
      <c r="D210" s="1"/>
      <c r="E210" s="1"/>
      <c r="H210" s="1"/>
      <c r="K210" s="1"/>
      <c r="M210" s="1"/>
      <c r="N210" s="1"/>
      <c r="O210" s="1"/>
      <c r="T210" s="1"/>
    </row>
    <row r="211" spans="1:20" x14ac:dyDescent="0.3">
      <c r="A211" s="1" t="s">
        <v>177</v>
      </c>
      <c r="B211" s="1"/>
      <c r="C211" s="2"/>
      <c r="D211" s="1"/>
      <c r="E211" s="1"/>
      <c r="H211" s="1"/>
      <c r="K211" s="1"/>
      <c r="M211" s="1"/>
      <c r="N211" s="1"/>
      <c r="O211" s="1"/>
      <c r="T211" s="1"/>
    </row>
    <row r="212" spans="1:20" x14ac:dyDescent="0.3">
      <c r="A212" s="1" t="s">
        <v>177</v>
      </c>
      <c r="B212" s="1"/>
      <c r="C212" s="2"/>
      <c r="D212" s="1"/>
      <c r="E212" s="1"/>
      <c r="H212" s="1"/>
      <c r="K212" s="1"/>
      <c r="M212" s="1"/>
      <c r="N212" s="1"/>
      <c r="O212" s="1"/>
      <c r="T212" s="1"/>
    </row>
    <row r="213" spans="1:20" x14ac:dyDescent="0.3">
      <c r="A213" s="1" t="s">
        <v>177</v>
      </c>
      <c r="B213" s="1"/>
      <c r="C213" s="2"/>
      <c r="D213" s="1"/>
      <c r="E213" s="1"/>
      <c r="H213" s="1"/>
      <c r="K213" s="1"/>
      <c r="M213" s="1"/>
      <c r="N213" s="1"/>
      <c r="O213" s="1"/>
      <c r="T213" s="1"/>
    </row>
    <row r="214" spans="1:20" x14ac:dyDescent="0.3">
      <c r="A214" s="1" t="s">
        <v>177</v>
      </c>
      <c r="B214" s="1"/>
      <c r="C214" s="2"/>
      <c r="D214" s="1"/>
      <c r="E214" s="1"/>
      <c r="H214" s="1"/>
      <c r="K214" s="1"/>
      <c r="M214" s="1"/>
      <c r="N214" s="1"/>
      <c r="O214" s="1"/>
      <c r="T214" s="1"/>
    </row>
    <row r="215" spans="1:20" x14ac:dyDescent="0.3">
      <c r="A215" s="1" t="s">
        <v>177</v>
      </c>
      <c r="B215" s="1"/>
      <c r="C215" s="2"/>
      <c r="D215" s="1"/>
      <c r="E215" s="1"/>
      <c r="H215" s="1"/>
      <c r="K215" s="1"/>
      <c r="M215" s="1"/>
      <c r="N215" s="1"/>
      <c r="O215" s="1"/>
      <c r="T215" s="1"/>
    </row>
    <row r="216" spans="1:20" x14ac:dyDescent="0.3">
      <c r="A216" s="1" t="s">
        <v>177</v>
      </c>
      <c r="B216" s="1"/>
      <c r="C216" s="2"/>
      <c r="D216" s="1"/>
      <c r="E216" s="1"/>
      <c r="H216" s="1"/>
      <c r="K216" s="1"/>
      <c r="M216" s="1"/>
      <c r="N216" s="1"/>
      <c r="O216" s="1"/>
      <c r="T216" s="1"/>
    </row>
    <row r="217" spans="1:20" x14ac:dyDescent="0.3">
      <c r="A217" s="1" t="s">
        <v>177</v>
      </c>
      <c r="B217" s="1"/>
      <c r="C217" s="2"/>
      <c r="D217" s="1"/>
      <c r="E217" s="1"/>
      <c r="H217" s="1"/>
      <c r="K217" s="1"/>
      <c r="M217" s="1"/>
      <c r="N217" s="1"/>
      <c r="O217" s="1"/>
      <c r="T217" s="1"/>
    </row>
    <row r="218" spans="1:20" x14ac:dyDescent="0.3">
      <c r="A218" s="1" t="s">
        <v>177</v>
      </c>
      <c r="B218" s="1"/>
      <c r="C218" s="2"/>
      <c r="D218" s="1"/>
      <c r="E218" s="1"/>
      <c r="H218" s="1"/>
      <c r="K218" s="1"/>
      <c r="M218" s="1"/>
      <c r="N218" s="1"/>
      <c r="O218" s="1"/>
      <c r="T218" s="1"/>
    </row>
    <row r="219" spans="1:20" x14ac:dyDescent="0.3">
      <c r="A219" s="1" t="s">
        <v>177</v>
      </c>
      <c r="B219" s="1"/>
      <c r="C219" s="2"/>
      <c r="D219" s="1"/>
      <c r="E219" s="1"/>
      <c r="H219" s="1"/>
      <c r="K219" s="1"/>
      <c r="M219" s="1"/>
      <c r="N219" s="1"/>
      <c r="O219" s="1"/>
      <c r="T219" s="1"/>
    </row>
    <row r="220" spans="1:20" x14ac:dyDescent="0.3">
      <c r="A220" s="1" t="s">
        <v>177</v>
      </c>
      <c r="B220" s="1"/>
      <c r="C220" s="2"/>
      <c r="D220" s="1"/>
      <c r="E220" s="1"/>
      <c r="H220" s="1"/>
      <c r="K220" s="1"/>
      <c r="M220" s="1"/>
      <c r="N220" s="1"/>
      <c r="O220" s="1"/>
      <c r="T220" s="1"/>
    </row>
    <row r="221" spans="1:20" x14ac:dyDescent="0.3">
      <c r="A221" s="1" t="s">
        <v>177</v>
      </c>
      <c r="B221" s="1"/>
      <c r="C221" s="2"/>
      <c r="D221" s="1"/>
      <c r="E221" s="1"/>
      <c r="H221" s="1"/>
      <c r="K221" s="1"/>
      <c r="M221" s="1"/>
      <c r="N221" s="1"/>
      <c r="O221" s="1"/>
      <c r="T221" s="1"/>
    </row>
    <row r="222" spans="1:20" x14ac:dyDescent="0.3">
      <c r="A222" s="1" t="s">
        <v>177</v>
      </c>
      <c r="B222" s="1"/>
      <c r="C222" s="2"/>
      <c r="D222" s="1"/>
      <c r="E222" s="1"/>
      <c r="H222" s="1"/>
      <c r="K222" s="1"/>
      <c r="M222" s="1"/>
      <c r="N222" s="1"/>
      <c r="O222" s="1"/>
      <c r="T222" s="1"/>
    </row>
    <row r="223" spans="1:20" x14ac:dyDescent="0.3">
      <c r="A223" s="1" t="s">
        <v>177</v>
      </c>
      <c r="B223" s="1"/>
      <c r="C223" s="2"/>
      <c r="D223" s="1"/>
      <c r="E223" s="1"/>
      <c r="H223" s="1"/>
      <c r="K223" s="1"/>
      <c r="M223" s="1"/>
      <c r="N223" s="1"/>
      <c r="O223" s="1"/>
      <c r="T223" s="1"/>
    </row>
    <row r="224" spans="1:20" x14ac:dyDescent="0.3">
      <c r="A224" s="1" t="s">
        <v>177</v>
      </c>
      <c r="B224" s="1"/>
      <c r="C224" s="2"/>
      <c r="D224" s="1"/>
      <c r="E224" s="1"/>
      <c r="H224" s="1"/>
      <c r="K224" s="1"/>
      <c r="M224" s="1"/>
      <c r="N224" s="1"/>
      <c r="O224" s="1"/>
      <c r="T224" s="1"/>
    </row>
    <row r="225" spans="1:20" x14ac:dyDescent="0.3">
      <c r="A225" s="1" t="s">
        <v>177</v>
      </c>
      <c r="B225" s="1"/>
      <c r="C225" s="2"/>
      <c r="D225" s="1"/>
      <c r="E225" s="1"/>
      <c r="H225" s="1"/>
      <c r="K225" s="1"/>
      <c r="M225" s="1"/>
      <c r="N225" s="1"/>
      <c r="O225" s="1"/>
      <c r="T225" s="1"/>
    </row>
    <row r="226" spans="1:20" x14ac:dyDescent="0.3">
      <c r="A226" s="1" t="s">
        <v>177</v>
      </c>
      <c r="B226" s="1"/>
      <c r="C226" s="2"/>
      <c r="D226" s="1"/>
      <c r="E226" s="1"/>
      <c r="H226" s="1"/>
      <c r="K226" s="1"/>
      <c r="M226" s="1"/>
      <c r="N226" s="1"/>
      <c r="O226" s="1"/>
      <c r="T226" s="1"/>
    </row>
    <row r="227" spans="1:20" x14ac:dyDescent="0.3">
      <c r="A227" s="1" t="s">
        <v>177</v>
      </c>
      <c r="B227" s="1"/>
      <c r="C227" s="2"/>
      <c r="D227" s="1"/>
      <c r="E227" s="1"/>
      <c r="H227" s="1"/>
      <c r="K227" s="1"/>
      <c r="M227" s="1"/>
      <c r="N227" s="1"/>
      <c r="O227" s="1"/>
      <c r="T227" s="1"/>
    </row>
    <row r="228" spans="1:20" x14ac:dyDescent="0.3">
      <c r="A228" s="1" t="s">
        <v>177</v>
      </c>
      <c r="B228" s="1"/>
      <c r="C228" s="2"/>
      <c r="D228" s="1"/>
      <c r="E228" s="1"/>
      <c r="H228" s="1"/>
      <c r="K228" s="1"/>
      <c r="M228" s="1"/>
      <c r="N228" s="1"/>
      <c r="O228" s="1"/>
      <c r="T228" s="1"/>
    </row>
    <row r="229" spans="1:20" x14ac:dyDescent="0.3">
      <c r="A229" s="1" t="s">
        <v>177</v>
      </c>
      <c r="B229" s="1"/>
      <c r="C229" s="2"/>
      <c r="D229" s="1"/>
      <c r="E229" s="1"/>
      <c r="H229" s="1"/>
      <c r="K229" s="1"/>
      <c r="M229" s="1"/>
      <c r="N229" s="1"/>
      <c r="O229" s="1"/>
      <c r="T229" s="1"/>
    </row>
    <row r="230" spans="1:20" x14ac:dyDescent="0.3">
      <c r="A230" s="1" t="s">
        <v>177</v>
      </c>
      <c r="B230" s="1"/>
      <c r="C230" s="2"/>
      <c r="D230" s="1"/>
      <c r="E230" s="1"/>
      <c r="H230" s="1"/>
      <c r="K230" s="1"/>
      <c r="M230" s="1"/>
      <c r="N230" s="1"/>
      <c r="O230" s="1"/>
      <c r="T230" s="1"/>
    </row>
    <row r="231" spans="1:20" x14ac:dyDescent="0.3">
      <c r="A231" s="1" t="s">
        <v>177</v>
      </c>
      <c r="B231" s="1"/>
      <c r="C231" s="2"/>
      <c r="D231" s="1"/>
      <c r="E231" s="1"/>
      <c r="H231" s="1"/>
      <c r="K231" s="1"/>
      <c r="M231" s="1"/>
      <c r="N231" s="1"/>
      <c r="O231" s="1"/>
      <c r="T231" s="1"/>
    </row>
    <row r="232" spans="1:20" x14ac:dyDescent="0.3">
      <c r="A232" s="1" t="s">
        <v>177</v>
      </c>
      <c r="B232" s="1"/>
      <c r="C232" s="2"/>
      <c r="D232" s="1"/>
      <c r="E232" s="1"/>
      <c r="H232" s="1"/>
      <c r="K232" s="1"/>
      <c r="M232" s="1"/>
      <c r="N232" s="1"/>
      <c r="O232" s="1"/>
      <c r="T232" s="1"/>
    </row>
    <row r="233" spans="1:20" x14ac:dyDescent="0.3">
      <c r="A233" s="1" t="s">
        <v>177</v>
      </c>
      <c r="B233" s="1"/>
      <c r="C233" s="2"/>
      <c r="D233" s="1"/>
      <c r="E233" s="1"/>
      <c r="H233" s="1"/>
      <c r="K233" s="1"/>
      <c r="M233" s="1"/>
      <c r="N233" s="1"/>
      <c r="O233" s="1"/>
      <c r="T233" s="1"/>
    </row>
    <row r="234" spans="1:20" x14ac:dyDescent="0.3">
      <c r="A234" s="1" t="s">
        <v>177</v>
      </c>
      <c r="B234" s="1"/>
      <c r="C234" s="2"/>
      <c r="D234" s="1"/>
      <c r="E234" s="1"/>
      <c r="H234" s="1"/>
      <c r="K234" s="1"/>
      <c r="M234" s="1"/>
      <c r="N234" s="1"/>
      <c r="O234" s="1"/>
      <c r="T234" s="1"/>
    </row>
    <row r="235" spans="1:20" x14ac:dyDescent="0.3">
      <c r="A235" s="1" t="s">
        <v>177</v>
      </c>
      <c r="B235" s="1"/>
      <c r="C235" s="2"/>
      <c r="D235" s="1"/>
      <c r="E235" s="1"/>
      <c r="H235" s="1"/>
      <c r="K235" s="1"/>
      <c r="M235" s="1"/>
      <c r="N235" s="1"/>
      <c r="O235" s="1"/>
      <c r="T235" s="1"/>
    </row>
    <row r="236" spans="1:20" x14ac:dyDescent="0.3">
      <c r="A236" s="1" t="s">
        <v>177</v>
      </c>
      <c r="B236" s="1"/>
      <c r="C236" s="2"/>
      <c r="D236" s="1"/>
      <c r="E236" s="1"/>
      <c r="H236" s="1"/>
      <c r="K236" s="1"/>
      <c r="M236" s="1"/>
      <c r="N236" s="1"/>
      <c r="O236" s="1"/>
      <c r="T236" s="1"/>
    </row>
    <row r="237" spans="1:20" x14ac:dyDescent="0.3">
      <c r="A237" s="1" t="s">
        <v>177</v>
      </c>
      <c r="B237" s="1"/>
      <c r="C237" s="2"/>
      <c r="D237" s="1"/>
      <c r="E237" s="1"/>
      <c r="H237" s="1"/>
      <c r="K237" s="1"/>
      <c r="M237" s="1"/>
      <c r="N237" s="1"/>
      <c r="O237" s="1"/>
      <c r="T237" s="1"/>
    </row>
    <row r="238" spans="1:20" x14ac:dyDescent="0.3">
      <c r="A238" s="1" t="s">
        <v>177</v>
      </c>
      <c r="B238" s="1"/>
      <c r="C238" s="2"/>
      <c r="D238" s="1"/>
      <c r="E238" s="1"/>
      <c r="H238" s="1"/>
      <c r="K238" s="1"/>
      <c r="M238" s="1"/>
      <c r="N238" s="1"/>
      <c r="O238" s="1"/>
      <c r="T238" s="1"/>
    </row>
    <row r="239" spans="1:20" x14ac:dyDescent="0.3">
      <c r="A239" s="1" t="s">
        <v>177</v>
      </c>
      <c r="B239" s="1"/>
      <c r="C239" s="2"/>
      <c r="D239" s="1"/>
      <c r="E239" s="1"/>
      <c r="H239" s="1"/>
      <c r="K239" s="1"/>
      <c r="M239" s="1"/>
      <c r="N239" s="1"/>
      <c r="O239" s="1"/>
      <c r="T239" s="1"/>
    </row>
    <row r="240" spans="1:20" x14ac:dyDescent="0.3">
      <c r="A240" s="1" t="s">
        <v>177</v>
      </c>
      <c r="B240" s="1"/>
      <c r="C240" s="2"/>
      <c r="D240" s="1"/>
      <c r="E240" s="1"/>
      <c r="H240" s="1"/>
      <c r="K240" s="1"/>
      <c r="M240" s="1"/>
      <c r="N240" s="1"/>
      <c r="O240" s="1"/>
      <c r="T240" s="1"/>
    </row>
    <row r="241" spans="1:20" x14ac:dyDescent="0.3">
      <c r="A241" s="1" t="s">
        <v>177</v>
      </c>
      <c r="B241" s="1"/>
      <c r="C241" s="2"/>
      <c r="D241" s="1"/>
      <c r="E241" s="1"/>
      <c r="H241" s="1"/>
      <c r="K241" s="1"/>
      <c r="M241" s="1"/>
      <c r="N241" s="1"/>
      <c r="O241" s="1"/>
      <c r="T241" s="1"/>
    </row>
    <row r="242" spans="1:20" x14ac:dyDescent="0.3">
      <c r="A242" s="1" t="s">
        <v>177</v>
      </c>
      <c r="B242" s="1"/>
      <c r="C242" s="2"/>
      <c r="D242" s="1"/>
      <c r="E242" s="1"/>
      <c r="H242" s="1"/>
      <c r="K242" s="1"/>
      <c r="M242" s="1"/>
      <c r="N242" s="1"/>
      <c r="O242" s="1"/>
      <c r="T242" s="1"/>
    </row>
    <row r="243" spans="1:20" x14ac:dyDescent="0.3">
      <c r="A243" s="1" t="s">
        <v>177</v>
      </c>
      <c r="B243" s="1"/>
      <c r="C243" s="2"/>
      <c r="D243" s="1"/>
      <c r="E243" s="1"/>
      <c r="H243" s="1"/>
      <c r="K243" s="1"/>
      <c r="M243" s="1"/>
      <c r="N243" s="1"/>
      <c r="O243" s="1"/>
      <c r="T243" s="1"/>
    </row>
    <row r="244" spans="1:20" x14ac:dyDescent="0.3">
      <c r="A244" s="1" t="s">
        <v>177</v>
      </c>
      <c r="B244" s="1"/>
      <c r="C244" s="2"/>
      <c r="D244" s="1"/>
      <c r="E244" s="1"/>
      <c r="H244" s="1"/>
      <c r="K244" s="1"/>
      <c r="M244" s="1"/>
      <c r="N244" s="1"/>
      <c r="O244" s="1"/>
      <c r="T244" s="1"/>
    </row>
    <row r="245" spans="1:20" x14ac:dyDescent="0.3">
      <c r="A245" s="1" t="s">
        <v>177</v>
      </c>
      <c r="B245" s="1"/>
      <c r="C245" s="2"/>
      <c r="D245" s="1"/>
      <c r="E245" s="1"/>
      <c r="H245" s="1"/>
      <c r="K245" s="1"/>
      <c r="M245" s="1"/>
      <c r="N245" s="1"/>
      <c r="O245" s="1"/>
      <c r="T245" s="1"/>
    </row>
    <row r="246" spans="1:20" x14ac:dyDescent="0.3">
      <c r="A246" s="1" t="s">
        <v>177</v>
      </c>
      <c r="B246" s="1"/>
      <c r="C246" s="2"/>
      <c r="D246" s="1"/>
      <c r="E246" s="1"/>
      <c r="H246" s="1"/>
      <c r="K246" s="1"/>
      <c r="M246" s="1"/>
      <c r="N246" s="1"/>
      <c r="O246" s="1"/>
      <c r="T246" s="1"/>
    </row>
    <row r="247" spans="1:20" x14ac:dyDescent="0.3">
      <c r="A247" s="1" t="s">
        <v>177</v>
      </c>
      <c r="B247" s="1"/>
      <c r="C247" s="2"/>
      <c r="D247" s="1"/>
      <c r="E247" s="1"/>
      <c r="H247" s="1"/>
      <c r="K247" s="1"/>
      <c r="M247" s="1"/>
      <c r="N247" s="1"/>
      <c r="O247" s="1"/>
      <c r="T247" s="1"/>
    </row>
    <row r="248" spans="1:20" x14ac:dyDescent="0.3">
      <c r="A248" s="1" t="s">
        <v>177</v>
      </c>
      <c r="B248" s="1"/>
      <c r="C248" s="2"/>
      <c r="D248" s="1"/>
      <c r="E248" s="1"/>
      <c r="H248" s="1"/>
      <c r="K248" s="1"/>
      <c r="M248" s="1"/>
      <c r="N248" s="1"/>
      <c r="O248" s="1"/>
      <c r="T248" s="1"/>
    </row>
    <row r="249" spans="1:20" x14ac:dyDescent="0.3">
      <c r="A249" s="1" t="s">
        <v>177</v>
      </c>
      <c r="B249" s="1"/>
      <c r="C249" s="2"/>
      <c r="D249" s="1"/>
      <c r="E249" s="1"/>
      <c r="H249" s="1"/>
      <c r="K249" s="1"/>
      <c r="M249" s="1"/>
      <c r="N249" s="1"/>
      <c r="O249" s="1"/>
      <c r="T249" s="1"/>
    </row>
    <row r="250" spans="1:20" x14ac:dyDescent="0.3">
      <c r="A250" s="1" t="s">
        <v>177</v>
      </c>
      <c r="B250" s="1"/>
      <c r="C250" s="2"/>
      <c r="D250" s="1"/>
      <c r="E250" s="1"/>
      <c r="H250" s="1"/>
      <c r="K250" s="1"/>
      <c r="M250" s="1"/>
      <c r="N250" s="1"/>
      <c r="O250" s="1"/>
      <c r="T250" s="1"/>
    </row>
    <row r="251" spans="1:20" x14ac:dyDescent="0.3">
      <c r="A251" s="1" t="s">
        <v>177</v>
      </c>
      <c r="B251" s="1"/>
      <c r="C251" s="2"/>
      <c r="D251" s="1"/>
      <c r="E251" s="1"/>
      <c r="H251" s="1"/>
      <c r="K251" s="1"/>
      <c r="M251" s="1"/>
      <c r="N251" s="1"/>
      <c r="O251" s="1"/>
      <c r="T251" s="1"/>
    </row>
    <row r="252" spans="1:20" x14ac:dyDescent="0.3">
      <c r="A252" s="1" t="s">
        <v>177</v>
      </c>
      <c r="B252" s="1"/>
      <c r="C252" s="2"/>
      <c r="D252" s="1"/>
      <c r="E252" s="1"/>
      <c r="H252" s="1"/>
      <c r="K252" s="1"/>
      <c r="M252" s="1"/>
      <c r="N252" s="1"/>
      <c r="O252" s="1"/>
      <c r="T252" s="1"/>
    </row>
    <row r="253" spans="1:20" x14ac:dyDescent="0.3">
      <c r="A253" s="1" t="s">
        <v>177</v>
      </c>
      <c r="B253" s="1"/>
      <c r="C253" s="2"/>
      <c r="D253" s="1"/>
      <c r="E253" s="1"/>
      <c r="H253" s="1"/>
      <c r="K253" s="1"/>
      <c r="M253" s="1"/>
      <c r="N253" s="1"/>
      <c r="O253" s="1"/>
      <c r="T253" s="1"/>
    </row>
    <row r="254" spans="1:20" x14ac:dyDescent="0.3">
      <c r="A254" s="1" t="s">
        <v>177</v>
      </c>
      <c r="B254" s="1"/>
      <c r="C254" s="2"/>
      <c r="D254" s="1"/>
      <c r="E254" s="1"/>
      <c r="H254" s="1"/>
      <c r="K254" s="1"/>
      <c r="M254" s="1"/>
      <c r="N254" s="1"/>
      <c r="O254" s="1"/>
      <c r="T254" s="1"/>
    </row>
    <row r="255" spans="1:20" x14ac:dyDescent="0.3">
      <c r="A255" s="1" t="s">
        <v>177</v>
      </c>
      <c r="B255" s="1"/>
      <c r="C255" s="2"/>
      <c r="D255" s="1"/>
      <c r="E255" s="1"/>
      <c r="H255" s="1"/>
      <c r="K255" s="1"/>
      <c r="M255" s="1"/>
      <c r="N255" s="1"/>
      <c r="O255" s="1"/>
      <c r="T255" s="1"/>
    </row>
    <row r="256" spans="1:20" x14ac:dyDescent="0.3">
      <c r="A256" s="1" t="s">
        <v>177</v>
      </c>
      <c r="B256" s="1"/>
      <c r="C256" s="2"/>
      <c r="D256" s="1"/>
      <c r="E256" s="1"/>
      <c r="H256" s="1"/>
      <c r="K256" s="1"/>
      <c r="M256" s="1"/>
      <c r="N256" s="1"/>
      <c r="O256" s="1"/>
      <c r="T256" s="1"/>
    </row>
    <row r="257" spans="1:20" x14ac:dyDescent="0.3">
      <c r="A257" s="1" t="s">
        <v>177</v>
      </c>
      <c r="B257" s="1"/>
      <c r="C257" s="2"/>
      <c r="D257" s="1"/>
      <c r="E257" s="1"/>
      <c r="H257" s="1"/>
      <c r="K257" s="1"/>
      <c r="M257" s="1"/>
      <c r="N257" s="1"/>
      <c r="O257" s="1"/>
      <c r="T257" s="1"/>
    </row>
    <row r="258" spans="1:20" x14ac:dyDescent="0.3">
      <c r="A258" s="1" t="s">
        <v>177</v>
      </c>
      <c r="B258" s="1"/>
      <c r="C258" s="2"/>
      <c r="D258" s="1"/>
      <c r="E258" s="1"/>
      <c r="H258" s="1"/>
      <c r="K258" s="1"/>
      <c r="M258" s="1"/>
      <c r="N258" s="1"/>
      <c r="O258" s="1"/>
      <c r="T258" s="1"/>
    </row>
    <row r="259" spans="1:20" x14ac:dyDescent="0.3">
      <c r="A259" s="1" t="s">
        <v>177</v>
      </c>
      <c r="B259" s="1"/>
      <c r="C259" s="2"/>
      <c r="D259" s="1"/>
      <c r="E259" s="1"/>
      <c r="H259" s="1"/>
      <c r="K259" s="1"/>
      <c r="M259" s="1"/>
      <c r="N259" s="1"/>
      <c r="O259" s="1"/>
      <c r="T259" s="1"/>
    </row>
    <row r="260" spans="1:20" x14ac:dyDescent="0.3">
      <c r="A260" s="1" t="s">
        <v>177</v>
      </c>
      <c r="B260" s="1"/>
      <c r="C260" s="2"/>
      <c r="D260" s="1"/>
      <c r="E260" s="1"/>
      <c r="H260" s="1"/>
      <c r="K260" s="1"/>
      <c r="M260" s="1"/>
      <c r="N260" s="1"/>
      <c r="O260" s="1"/>
      <c r="T260" s="1"/>
    </row>
    <row r="261" spans="1:20" x14ac:dyDescent="0.3">
      <c r="A261" s="1" t="s">
        <v>177</v>
      </c>
      <c r="B261" s="1"/>
      <c r="C261" s="2"/>
      <c r="D261" s="1"/>
      <c r="E261" s="1"/>
      <c r="H261" s="1"/>
      <c r="K261" s="1"/>
      <c r="M261" s="1"/>
      <c r="N261" s="1"/>
      <c r="O261" s="1"/>
      <c r="T261" s="1"/>
    </row>
    <row r="262" spans="1:20" x14ac:dyDescent="0.3">
      <c r="A262" s="1" t="s">
        <v>177</v>
      </c>
      <c r="B262" s="1"/>
      <c r="C262" s="2"/>
      <c r="D262" s="1"/>
      <c r="E262" s="1"/>
      <c r="H262" s="1"/>
      <c r="K262" s="1"/>
      <c r="M262" s="1"/>
      <c r="N262" s="1"/>
      <c r="O262" s="1"/>
      <c r="T262" s="1"/>
    </row>
    <row r="263" spans="1:20" x14ac:dyDescent="0.3">
      <c r="A263" s="1" t="s">
        <v>177</v>
      </c>
      <c r="B263" s="1"/>
      <c r="C263" s="2"/>
      <c r="D263" s="1"/>
      <c r="E263" s="1"/>
      <c r="H263" s="1"/>
      <c r="K263" s="1"/>
      <c r="M263" s="1"/>
      <c r="N263" s="1"/>
      <c r="O263" s="1"/>
      <c r="T263" s="1"/>
    </row>
    <row r="264" spans="1:20" x14ac:dyDescent="0.3">
      <c r="A264" s="1" t="s">
        <v>177</v>
      </c>
      <c r="B264" s="1"/>
      <c r="C264" s="2"/>
      <c r="D264" s="1"/>
      <c r="E264" s="1"/>
      <c r="H264" s="1"/>
      <c r="K264" s="1"/>
      <c r="M264" s="1"/>
      <c r="N264" s="1"/>
      <c r="O264" s="1"/>
      <c r="T264" s="1"/>
    </row>
    <row r="265" spans="1:20" x14ac:dyDescent="0.3">
      <c r="A265" s="1" t="s">
        <v>177</v>
      </c>
      <c r="B265" s="1"/>
      <c r="C265" s="2"/>
      <c r="D265" s="1"/>
      <c r="E265" s="1"/>
      <c r="H265" s="1"/>
      <c r="K265" s="1"/>
      <c r="M265" s="1"/>
      <c r="N265" s="1"/>
      <c r="O265" s="1"/>
      <c r="T265" s="1"/>
    </row>
    <row r="266" spans="1:20" x14ac:dyDescent="0.3">
      <c r="A266" s="1" t="s">
        <v>177</v>
      </c>
      <c r="B266" s="1"/>
      <c r="C266" s="2"/>
      <c r="D266" s="1"/>
      <c r="E266" s="1"/>
      <c r="H266" s="1"/>
      <c r="K266" s="1"/>
      <c r="M266" s="1"/>
      <c r="N266" s="1"/>
      <c r="O266" s="1"/>
      <c r="T266" s="1"/>
    </row>
    <row r="267" spans="1:20" x14ac:dyDescent="0.3">
      <c r="A267" s="1" t="s">
        <v>177</v>
      </c>
      <c r="B267" s="1"/>
      <c r="C267" s="2"/>
      <c r="D267" s="1"/>
      <c r="E267" s="1"/>
      <c r="H267" s="1"/>
      <c r="K267" s="1"/>
      <c r="M267" s="1"/>
      <c r="N267" s="1"/>
      <c r="O267" s="1"/>
      <c r="T267" s="1"/>
    </row>
    <row r="268" spans="1:20" x14ac:dyDescent="0.3">
      <c r="A268" s="1" t="s">
        <v>177</v>
      </c>
      <c r="B268" s="1"/>
      <c r="C268" s="2"/>
      <c r="D268" s="1"/>
      <c r="E268" s="1"/>
      <c r="H268" s="1"/>
      <c r="K268" s="1"/>
      <c r="M268" s="1"/>
      <c r="N268" s="1"/>
      <c r="O268" s="1"/>
      <c r="T268" s="1"/>
    </row>
    <row r="269" spans="1:20" x14ac:dyDescent="0.3">
      <c r="A269" s="1" t="s">
        <v>177</v>
      </c>
      <c r="B269" s="1"/>
      <c r="C269" s="2"/>
      <c r="D269" s="1"/>
      <c r="E269" s="1"/>
      <c r="H269" s="1"/>
      <c r="K269" s="1"/>
      <c r="M269" s="1"/>
      <c r="N269" s="1"/>
      <c r="O269" s="1"/>
      <c r="T269" s="1"/>
    </row>
    <row r="270" spans="1:20" x14ac:dyDescent="0.3">
      <c r="A270" s="1" t="s">
        <v>177</v>
      </c>
      <c r="B270" s="1"/>
      <c r="C270" s="2"/>
      <c r="D270" s="1"/>
      <c r="E270" s="1"/>
      <c r="H270" s="1"/>
      <c r="K270" s="1"/>
      <c r="M270" s="1"/>
      <c r="N270" s="1"/>
      <c r="O270" s="1"/>
      <c r="T270" s="1"/>
    </row>
    <row r="271" spans="1:20" x14ac:dyDescent="0.3">
      <c r="A271" s="1" t="s">
        <v>177</v>
      </c>
      <c r="B271" s="1"/>
      <c r="C271" s="2"/>
      <c r="D271" s="1"/>
      <c r="E271" s="1"/>
      <c r="H271" s="1"/>
      <c r="K271" s="1"/>
      <c r="M271" s="1"/>
      <c r="N271" s="1"/>
      <c r="O271" s="1"/>
      <c r="T271" s="1"/>
    </row>
    <row r="272" spans="1:20" x14ac:dyDescent="0.3">
      <c r="A272" s="1" t="s">
        <v>177</v>
      </c>
      <c r="B272" s="1"/>
      <c r="C272" s="2"/>
      <c r="D272" s="1"/>
      <c r="E272" s="1"/>
      <c r="H272" s="1"/>
      <c r="K272" s="1"/>
      <c r="M272" s="1"/>
      <c r="N272" s="1"/>
      <c r="O272" s="1"/>
      <c r="T272" s="1"/>
    </row>
    <row r="273" spans="1:20" x14ac:dyDescent="0.3">
      <c r="A273" s="1" t="s">
        <v>177</v>
      </c>
      <c r="B273" s="1"/>
      <c r="C273" s="2"/>
      <c r="D273" s="1"/>
      <c r="E273" s="1"/>
      <c r="H273" s="1"/>
      <c r="K273" s="1"/>
      <c r="M273" s="1"/>
      <c r="N273" s="1"/>
      <c r="O273" s="1"/>
      <c r="T273" s="1"/>
    </row>
    <row r="274" spans="1:20" x14ac:dyDescent="0.3">
      <c r="A274" s="1" t="s">
        <v>177</v>
      </c>
      <c r="B274" s="1"/>
      <c r="C274" s="2"/>
      <c r="D274" s="1"/>
      <c r="E274" s="1"/>
      <c r="H274" s="1"/>
      <c r="K274" s="1"/>
      <c r="M274" s="1"/>
      <c r="N274" s="1"/>
      <c r="O274" s="1"/>
      <c r="T274" s="1"/>
    </row>
    <row r="275" spans="1:20" x14ac:dyDescent="0.3">
      <c r="A275" s="1" t="s">
        <v>177</v>
      </c>
      <c r="B275" s="1"/>
      <c r="C275" s="2"/>
      <c r="D275" s="1"/>
      <c r="E275" s="1"/>
      <c r="H275" s="1"/>
      <c r="K275" s="1"/>
      <c r="M275" s="1"/>
      <c r="N275" s="1"/>
      <c r="O275" s="1"/>
      <c r="T275" s="1"/>
    </row>
    <row r="276" spans="1:20" x14ac:dyDescent="0.3">
      <c r="A276" s="1" t="s">
        <v>177</v>
      </c>
      <c r="B276" s="1"/>
      <c r="C276" s="2"/>
      <c r="D276" s="1"/>
      <c r="E276" s="1"/>
      <c r="H276" s="1"/>
      <c r="K276" s="1"/>
      <c r="M276" s="1"/>
      <c r="N276" s="1"/>
      <c r="O276" s="1"/>
      <c r="T276" s="1"/>
    </row>
    <row r="277" spans="1:20" x14ac:dyDescent="0.3">
      <c r="A277" s="1" t="s">
        <v>177</v>
      </c>
      <c r="B277" s="1"/>
      <c r="C277" s="2"/>
      <c r="D277" s="1"/>
      <c r="E277" s="1"/>
      <c r="H277" s="1"/>
      <c r="K277" s="1"/>
      <c r="M277" s="1"/>
      <c r="N277" s="1"/>
      <c r="O277" s="1"/>
      <c r="T277" s="1"/>
    </row>
    <row r="278" spans="1:20" x14ac:dyDescent="0.3">
      <c r="A278" s="1" t="s">
        <v>177</v>
      </c>
      <c r="B278" s="1"/>
      <c r="C278" s="2"/>
      <c r="D278" s="1"/>
      <c r="E278" s="1"/>
      <c r="H278" s="1"/>
      <c r="K278" s="1"/>
      <c r="M278" s="1"/>
      <c r="N278" s="1"/>
      <c r="O278" s="1"/>
      <c r="T278" s="1"/>
    </row>
    <row r="279" spans="1:20" x14ac:dyDescent="0.3">
      <c r="A279" s="1" t="s">
        <v>177</v>
      </c>
      <c r="B279" s="1"/>
      <c r="C279" s="2"/>
      <c r="D279" s="1"/>
      <c r="E279" s="1"/>
      <c r="H279" s="1"/>
      <c r="K279" s="1"/>
      <c r="M279" s="1"/>
      <c r="N279" s="1"/>
      <c r="O279" s="1"/>
      <c r="T279" s="1"/>
    </row>
    <row r="280" spans="1:20" x14ac:dyDescent="0.3">
      <c r="A280" s="1" t="s">
        <v>177</v>
      </c>
      <c r="B280" s="1"/>
      <c r="C280" s="2"/>
      <c r="D280" s="1"/>
      <c r="E280" s="1"/>
      <c r="H280" s="1"/>
      <c r="K280" s="1"/>
      <c r="M280" s="1"/>
      <c r="N280" s="1"/>
      <c r="O280" s="1"/>
      <c r="T280" s="1"/>
    </row>
    <row r="281" spans="1:20" x14ac:dyDescent="0.3">
      <c r="A281" s="1" t="s">
        <v>177</v>
      </c>
      <c r="B281" s="1"/>
      <c r="C281" s="2"/>
      <c r="D281" s="1"/>
      <c r="E281" s="1"/>
      <c r="H281" s="1"/>
      <c r="K281" s="1"/>
      <c r="M281" s="1"/>
      <c r="N281" s="1"/>
      <c r="O281" s="1"/>
      <c r="T281" s="1"/>
    </row>
    <row r="282" spans="1:20" x14ac:dyDescent="0.3">
      <c r="A282" s="1" t="s">
        <v>177</v>
      </c>
      <c r="B282" s="1"/>
      <c r="C282" s="2"/>
      <c r="D282" s="1"/>
      <c r="E282" s="1"/>
      <c r="H282" s="1"/>
      <c r="K282" s="1"/>
      <c r="M282" s="1"/>
      <c r="N282" s="1"/>
      <c r="O282" s="1"/>
      <c r="T282" s="1"/>
    </row>
    <row r="283" spans="1:20" x14ac:dyDescent="0.3">
      <c r="A283" s="1" t="s">
        <v>177</v>
      </c>
      <c r="B283" s="1"/>
      <c r="C283" s="2"/>
      <c r="D283" s="1"/>
      <c r="E283" s="1"/>
      <c r="H283" s="1"/>
      <c r="K283" s="1"/>
      <c r="M283" s="1"/>
      <c r="N283" s="1"/>
      <c r="O283" s="1"/>
      <c r="T283" s="1"/>
    </row>
    <row r="284" spans="1:20" x14ac:dyDescent="0.3">
      <c r="A284" s="1" t="s">
        <v>177</v>
      </c>
      <c r="B284" s="1"/>
      <c r="C284" s="2"/>
      <c r="D284" s="1"/>
      <c r="E284" s="1"/>
      <c r="H284" s="1"/>
      <c r="K284" s="1"/>
      <c r="M284" s="1"/>
      <c r="N284" s="1"/>
      <c r="O284" s="1"/>
      <c r="T284" s="1"/>
    </row>
    <row r="285" spans="1:20" x14ac:dyDescent="0.3">
      <c r="A285" s="1" t="s">
        <v>177</v>
      </c>
      <c r="B285" s="1"/>
      <c r="C285" s="2"/>
      <c r="D285" s="1"/>
      <c r="E285" s="1"/>
      <c r="H285" s="1"/>
      <c r="K285" s="1"/>
      <c r="M285" s="1"/>
      <c r="N285" s="1"/>
      <c r="O285" s="1"/>
      <c r="T285" s="1"/>
    </row>
    <row r="286" spans="1:20" x14ac:dyDescent="0.3">
      <c r="A286" s="1" t="s">
        <v>177</v>
      </c>
      <c r="B286" s="1"/>
      <c r="C286" s="2"/>
      <c r="D286" s="1"/>
      <c r="E286" s="1"/>
      <c r="H286" s="1"/>
      <c r="K286" s="1"/>
      <c r="M286" s="1"/>
      <c r="N286" s="1"/>
      <c r="O286" s="1"/>
      <c r="T286" s="1"/>
    </row>
    <row r="287" spans="1:20" x14ac:dyDescent="0.3">
      <c r="A287" s="1" t="s">
        <v>177</v>
      </c>
      <c r="B287" s="1"/>
      <c r="C287" s="2"/>
      <c r="D287" s="1"/>
      <c r="E287" s="1"/>
      <c r="H287" s="1"/>
      <c r="K287" s="1"/>
      <c r="M287" s="1"/>
      <c r="N287" s="1"/>
      <c r="O287" s="1"/>
      <c r="T287" s="1"/>
    </row>
    <row r="288" spans="1:20" x14ac:dyDescent="0.3">
      <c r="A288" s="1" t="s">
        <v>177</v>
      </c>
      <c r="B288" s="1"/>
      <c r="C288" s="2"/>
      <c r="D288" s="1"/>
      <c r="E288" s="1"/>
      <c r="H288" s="1"/>
      <c r="K288" s="1"/>
      <c r="M288" s="1"/>
      <c r="N288" s="1"/>
      <c r="O288" s="1"/>
      <c r="T288" s="1"/>
    </row>
    <row r="289" spans="1:20" x14ac:dyDescent="0.3">
      <c r="A289" s="1" t="s">
        <v>177</v>
      </c>
      <c r="B289" s="1"/>
      <c r="C289" s="2"/>
      <c r="D289" s="1"/>
      <c r="E289" s="1"/>
      <c r="H289" s="1"/>
      <c r="K289" s="1"/>
      <c r="M289" s="1"/>
      <c r="N289" s="1"/>
      <c r="O289" s="1"/>
      <c r="T289" s="1"/>
    </row>
    <row r="290" spans="1:20" x14ac:dyDescent="0.3">
      <c r="A290" s="1" t="s">
        <v>177</v>
      </c>
      <c r="B290" s="1"/>
      <c r="C290" s="2"/>
      <c r="D290" s="1"/>
      <c r="E290" s="1"/>
      <c r="H290" s="1"/>
      <c r="K290" s="1"/>
      <c r="M290" s="1"/>
      <c r="N290" s="1"/>
      <c r="O290" s="1"/>
      <c r="T290" s="1"/>
    </row>
    <row r="291" spans="1:20" x14ac:dyDescent="0.3">
      <c r="A291" s="1" t="s">
        <v>177</v>
      </c>
      <c r="B291" s="1"/>
      <c r="C291" s="2"/>
      <c r="D291" s="1"/>
      <c r="E291" s="1"/>
      <c r="H291" s="1"/>
      <c r="K291" s="1"/>
      <c r="M291" s="1"/>
      <c r="N291" s="1"/>
      <c r="O291" s="1"/>
      <c r="T291" s="1"/>
    </row>
    <row r="292" spans="1:20" x14ac:dyDescent="0.3">
      <c r="A292" s="1" t="s">
        <v>177</v>
      </c>
      <c r="B292" s="1"/>
      <c r="C292" s="2"/>
      <c r="D292" s="1"/>
      <c r="E292" s="1"/>
      <c r="H292" s="1"/>
      <c r="K292" s="1"/>
      <c r="M292" s="1"/>
      <c r="N292" s="1"/>
      <c r="O292" s="1"/>
      <c r="T292" s="1"/>
    </row>
    <row r="293" spans="1:20" x14ac:dyDescent="0.3">
      <c r="A293" s="1" t="s">
        <v>177</v>
      </c>
      <c r="B293" s="1"/>
      <c r="C293" s="2"/>
      <c r="D293" s="1"/>
      <c r="E293" s="1"/>
      <c r="H293" s="1"/>
      <c r="K293" s="1"/>
      <c r="M293" s="1"/>
      <c r="N293" s="1"/>
      <c r="O293" s="1"/>
      <c r="T293" s="1"/>
    </row>
    <row r="294" spans="1:20" x14ac:dyDescent="0.3">
      <c r="A294" s="1" t="s">
        <v>177</v>
      </c>
      <c r="B294" s="1"/>
      <c r="C294" s="2"/>
      <c r="D294" s="1"/>
      <c r="E294" s="1"/>
      <c r="H294" s="1"/>
      <c r="K294" s="1"/>
      <c r="M294" s="1"/>
      <c r="N294" s="1"/>
      <c r="O294" s="1"/>
      <c r="T294" s="1"/>
    </row>
    <row r="295" spans="1:20" x14ac:dyDescent="0.3">
      <c r="A295" s="1" t="s">
        <v>177</v>
      </c>
      <c r="B295" s="1"/>
      <c r="C295" s="2"/>
      <c r="D295" s="1"/>
      <c r="E295" s="1"/>
      <c r="H295" s="1"/>
      <c r="K295" s="1"/>
      <c r="M295" s="1"/>
      <c r="N295" s="1"/>
      <c r="O295" s="1"/>
      <c r="T295" s="1"/>
    </row>
    <row r="296" spans="1:20" x14ac:dyDescent="0.3">
      <c r="A296" s="1" t="s">
        <v>177</v>
      </c>
      <c r="B296" s="1"/>
      <c r="C296" s="2"/>
      <c r="D296" s="1"/>
      <c r="E296" s="1"/>
      <c r="H296" s="1"/>
      <c r="K296" s="1"/>
      <c r="M296" s="1"/>
      <c r="N296" s="1"/>
      <c r="O296" s="1"/>
      <c r="T296" s="1"/>
    </row>
    <row r="297" spans="1:20" x14ac:dyDescent="0.3">
      <c r="A297" s="1" t="s">
        <v>177</v>
      </c>
      <c r="B297" s="1"/>
      <c r="C297" s="2"/>
      <c r="D297" s="1"/>
      <c r="E297" s="1"/>
      <c r="H297" s="1"/>
      <c r="K297" s="1"/>
      <c r="M297" s="1"/>
      <c r="N297" s="1"/>
      <c r="O297" s="1"/>
      <c r="T297" s="1"/>
    </row>
    <row r="298" spans="1:20" x14ac:dyDescent="0.3">
      <c r="A298" s="1" t="s">
        <v>177</v>
      </c>
      <c r="B298" s="1"/>
      <c r="C298" s="2"/>
      <c r="D298" s="1"/>
      <c r="E298" s="1"/>
      <c r="H298" s="1"/>
      <c r="K298" s="1"/>
      <c r="M298" s="1"/>
      <c r="N298" s="1"/>
      <c r="O298" s="1"/>
      <c r="T298" s="1"/>
    </row>
    <row r="299" spans="1:20" x14ac:dyDescent="0.3">
      <c r="A299" s="1" t="s">
        <v>177</v>
      </c>
      <c r="B299" s="1"/>
      <c r="C299" s="2"/>
      <c r="D299" s="1"/>
      <c r="E299" s="1"/>
      <c r="H299" s="1"/>
      <c r="K299" s="1"/>
      <c r="M299" s="1"/>
      <c r="N299" s="1"/>
      <c r="O299" s="1"/>
      <c r="T299" s="1"/>
    </row>
    <row r="300" spans="1:20" x14ac:dyDescent="0.3">
      <c r="A300" s="1" t="s">
        <v>177</v>
      </c>
      <c r="B300" s="1"/>
      <c r="C300" s="2"/>
      <c r="D300" s="1"/>
      <c r="E300" s="1"/>
      <c r="H300" s="1"/>
      <c r="K300" s="1"/>
      <c r="M300" s="1"/>
      <c r="N300" s="1"/>
      <c r="O300" s="1"/>
      <c r="T300" s="1"/>
    </row>
    <row r="301" spans="1:20" x14ac:dyDescent="0.3">
      <c r="A301" s="1" t="s">
        <v>177</v>
      </c>
      <c r="B301" s="1"/>
      <c r="C301" s="2"/>
      <c r="D301" s="1"/>
      <c r="E301" s="1"/>
      <c r="H301" s="1"/>
      <c r="K301" s="1"/>
      <c r="M301" s="1"/>
      <c r="N301" s="1"/>
      <c r="O301" s="1"/>
      <c r="T301" s="1"/>
    </row>
    <row r="302" spans="1:20" x14ac:dyDescent="0.3">
      <c r="A302" s="1" t="s">
        <v>177</v>
      </c>
      <c r="B302" s="1"/>
      <c r="C302" s="2"/>
      <c r="D302" s="1"/>
      <c r="E302" s="1"/>
      <c r="H302" s="1"/>
      <c r="K302" s="1"/>
      <c r="M302" s="1"/>
      <c r="N302" s="1"/>
      <c r="O302" s="1"/>
      <c r="T302" s="1"/>
    </row>
    <row r="303" spans="1:20" x14ac:dyDescent="0.3">
      <c r="A303" s="1" t="s">
        <v>177</v>
      </c>
      <c r="B303" s="1"/>
      <c r="C303" s="2"/>
      <c r="D303" s="1"/>
      <c r="E303" s="1"/>
      <c r="H303" s="1"/>
      <c r="K303" s="1"/>
      <c r="M303" s="1"/>
      <c r="N303" s="1"/>
      <c r="O303" s="1"/>
      <c r="T303" s="1"/>
    </row>
    <row r="304" spans="1:20" x14ac:dyDescent="0.3">
      <c r="A304" s="1" t="s">
        <v>177</v>
      </c>
      <c r="B304" s="1"/>
      <c r="C304" s="2"/>
      <c r="D304" s="1"/>
      <c r="E304" s="1"/>
      <c r="H304" s="1"/>
      <c r="K304" s="1"/>
      <c r="M304" s="1"/>
      <c r="N304" s="1"/>
      <c r="O304" s="1"/>
      <c r="T304" s="1"/>
    </row>
    <row r="305" spans="1:20" x14ac:dyDescent="0.3">
      <c r="A305" s="1" t="s">
        <v>177</v>
      </c>
      <c r="B305" s="1"/>
      <c r="C305" s="2"/>
      <c r="D305" s="1"/>
      <c r="E305" s="1"/>
      <c r="H305" s="1"/>
      <c r="K305" s="1"/>
      <c r="M305" s="1"/>
      <c r="N305" s="1"/>
      <c r="O305" s="1"/>
      <c r="T305" s="1"/>
    </row>
    <row r="306" spans="1:20" x14ac:dyDescent="0.3">
      <c r="A306" s="1" t="s">
        <v>177</v>
      </c>
      <c r="B306" s="1"/>
      <c r="C306" s="2"/>
      <c r="D306" s="1"/>
      <c r="E306" s="1"/>
      <c r="H306" s="1"/>
      <c r="K306" s="1"/>
      <c r="M306" s="1"/>
      <c r="N306" s="1"/>
      <c r="O306" s="1"/>
      <c r="T306" s="1"/>
    </row>
    <row r="307" spans="1:20" x14ac:dyDescent="0.3">
      <c r="A307" s="1" t="s">
        <v>177</v>
      </c>
      <c r="B307" s="1"/>
      <c r="C307" s="2"/>
      <c r="D307" s="1"/>
      <c r="E307" s="1"/>
      <c r="H307" s="1"/>
      <c r="K307" s="1"/>
      <c r="M307" s="1"/>
      <c r="N307" s="1"/>
      <c r="O307" s="1"/>
      <c r="T307" s="1"/>
    </row>
    <row r="308" spans="1:20" x14ac:dyDescent="0.3">
      <c r="A308" s="1" t="s">
        <v>177</v>
      </c>
      <c r="B308" s="1"/>
      <c r="C308" s="2"/>
      <c r="D308" s="1"/>
      <c r="E308" s="1"/>
      <c r="H308" s="1"/>
      <c r="K308" s="1"/>
      <c r="M308" s="1"/>
      <c r="N308" s="1"/>
      <c r="O308" s="1"/>
      <c r="T308" s="1"/>
    </row>
    <row r="309" spans="1:20" x14ac:dyDescent="0.3">
      <c r="A309" s="1" t="s">
        <v>177</v>
      </c>
      <c r="B309" s="1"/>
      <c r="C309" s="2"/>
      <c r="D309" s="1"/>
      <c r="E309" s="1"/>
      <c r="H309" s="1"/>
      <c r="K309" s="1"/>
      <c r="M309" s="1"/>
      <c r="N309" s="1"/>
      <c r="O309" s="1"/>
      <c r="T309" s="1"/>
    </row>
    <row r="310" spans="1:20" x14ac:dyDescent="0.3">
      <c r="A310" s="1" t="s">
        <v>177</v>
      </c>
      <c r="B310" s="1"/>
      <c r="C310" s="2"/>
      <c r="D310" s="1"/>
      <c r="E310" s="1"/>
      <c r="H310" s="1"/>
      <c r="K310" s="1"/>
      <c r="M310" s="1"/>
      <c r="N310" s="1"/>
      <c r="O310" s="1"/>
      <c r="T310" s="1"/>
    </row>
    <row r="311" spans="1:20" x14ac:dyDescent="0.3">
      <c r="A311" s="1" t="s">
        <v>177</v>
      </c>
      <c r="B311" s="1"/>
      <c r="C311" s="2"/>
      <c r="D311" s="1"/>
      <c r="E311" s="1"/>
      <c r="H311" s="1"/>
      <c r="K311" s="1"/>
      <c r="M311" s="1"/>
      <c r="N311" s="1"/>
      <c r="O311" s="1"/>
      <c r="T311" s="1"/>
    </row>
    <row r="312" spans="1:20" x14ac:dyDescent="0.3">
      <c r="A312" s="1" t="s">
        <v>177</v>
      </c>
      <c r="B312" s="1"/>
      <c r="C312" s="2"/>
      <c r="D312" s="1"/>
      <c r="E312" s="1"/>
      <c r="H312" s="1"/>
      <c r="K312" s="1"/>
      <c r="M312" s="1"/>
      <c r="N312" s="1"/>
      <c r="O312" s="1"/>
      <c r="T312" s="1"/>
    </row>
    <row r="313" spans="1:20" x14ac:dyDescent="0.3">
      <c r="A313" s="1" t="s">
        <v>177</v>
      </c>
      <c r="B313" s="1"/>
      <c r="C313" s="2"/>
      <c r="D313" s="1"/>
      <c r="E313" s="1"/>
      <c r="H313" s="1"/>
      <c r="K313" s="1"/>
      <c r="M313" s="1"/>
      <c r="N313" s="1"/>
      <c r="O313" s="1"/>
      <c r="T313" s="1"/>
    </row>
    <row r="314" spans="1:20" x14ac:dyDescent="0.3">
      <c r="A314" s="1" t="s">
        <v>177</v>
      </c>
      <c r="B314" s="1"/>
      <c r="C314" s="2"/>
      <c r="D314" s="1"/>
      <c r="E314" s="1"/>
      <c r="H314" s="1"/>
      <c r="K314" s="1"/>
      <c r="M314" s="1"/>
      <c r="N314" s="1"/>
      <c r="O314" s="1"/>
      <c r="T314" s="1"/>
    </row>
    <row r="315" spans="1:20" x14ac:dyDescent="0.3">
      <c r="A315" s="1" t="s">
        <v>177</v>
      </c>
      <c r="B315" s="1"/>
      <c r="C315" s="2"/>
      <c r="D315" s="1"/>
      <c r="E315" s="1"/>
      <c r="H315" s="1"/>
      <c r="K315" s="1"/>
      <c r="M315" s="1"/>
      <c r="N315" s="1"/>
      <c r="O315" s="1"/>
      <c r="T315" s="1"/>
    </row>
    <row r="316" spans="1:20" x14ac:dyDescent="0.3">
      <c r="A316" s="1" t="s">
        <v>177</v>
      </c>
      <c r="B316" s="1"/>
      <c r="C316" s="2"/>
      <c r="D316" s="1"/>
      <c r="E316" s="1"/>
      <c r="H316" s="1"/>
      <c r="K316" s="1"/>
      <c r="M316" s="1"/>
      <c r="N316" s="1"/>
      <c r="O316" s="1"/>
      <c r="T316" s="1"/>
    </row>
    <row r="317" spans="1:20" x14ac:dyDescent="0.3">
      <c r="A317" s="1" t="s">
        <v>177</v>
      </c>
      <c r="B317" s="1"/>
      <c r="C317" s="2"/>
      <c r="D317" s="1"/>
      <c r="E317" s="1"/>
      <c r="H317" s="1"/>
      <c r="K317" s="1"/>
      <c r="M317" s="1"/>
      <c r="N317" s="1"/>
      <c r="O317" s="1"/>
      <c r="T317" s="1"/>
    </row>
    <row r="318" spans="1:20" x14ac:dyDescent="0.3">
      <c r="A318" s="1" t="s">
        <v>177</v>
      </c>
      <c r="B318" s="1"/>
      <c r="C318" s="2"/>
      <c r="D318" s="1"/>
      <c r="E318" s="1"/>
      <c r="H318" s="1"/>
      <c r="K318" s="1"/>
      <c r="M318" s="1"/>
      <c r="N318" s="1"/>
      <c r="O318" s="1"/>
      <c r="T318" s="1"/>
    </row>
    <row r="319" spans="1:20" x14ac:dyDescent="0.3">
      <c r="A319" s="1" t="s">
        <v>177</v>
      </c>
      <c r="B319" s="1"/>
      <c r="C319" s="2"/>
      <c r="D319" s="1"/>
      <c r="E319" s="1"/>
      <c r="H319" s="1"/>
      <c r="K319" s="1"/>
      <c r="M319" s="1"/>
      <c r="N319" s="1"/>
      <c r="O319" s="1"/>
      <c r="T319" s="1"/>
    </row>
    <row r="320" spans="1:20" x14ac:dyDescent="0.3">
      <c r="A320" s="1" t="s">
        <v>177</v>
      </c>
      <c r="B320" s="1"/>
      <c r="C320" s="2"/>
      <c r="D320" s="1"/>
      <c r="E320" s="1"/>
      <c r="H320" s="1"/>
      <c r="K320" s="1"/>
      <c r="M320" s="1"/>
      <c r="N320" s="1"/>
      <c r="O320" s="1"/>
      <c r="T320" s="1"/>
    </row>
    <row r="321" spans="1:20" x14ac:dyDescent="0.3">
      <c r="A321" s="1" t="s">
        <v>177</v>
      </c>
      <c r="B321" s="1"/>
      <c r="C321" s="2"/>
      <c r="D321" s="1"/>
      <c r="E321" s="1"/>
      <c r="H321" s="1"/>
      <c r="K321" s="1"/>
      <c r="M321" s="1"/>
      <c r="N321" s="1"/>
      <c r="O321" s="1"/>
      <c r="T321" s="1"/>
    </row>
    <row r="322" spans="1:20" x14ac:dyDescent="0.3">
      <c r="A322" s="1" t="s">
        <v>177</v>
      </c>
      <c r="B322" s="1"/>
      <c r="C322" s="2"/>
      <c r="D322" s="1"/>
      <c r="E322" s="1"/>
      <c r="H322" s="1"/>
      <c r="K322" s="1"/>
      <c r="M322" s="1"/>
      <c r="N322" s="1"/>
      <c r="O322" s="1"/>
      <c r="T322" s="1"/>
    </row>
    <row r="323" spans="1:20" x14ac:dyDescent="0.3">
      <c r="A323" s="1" t="s">
        <v>177</v>
      </c>
      <c r="B323" s="1"/>
      <c r="C323" s="2"/>
      <c r="D323" s="1"/>
      <c r="E323" s="1"/>
      <c r="H323" s="1"/>
      <c r="K323" s="1"/>
      <c r="M323" s="1"/>
      <c r="N323" s="1"/>
      <c r="O323" s="1"/>
      <c r="T323" s="1"/>
    </row>
    <row r="324" spans="1:20" x14ac:dyDescent="0.3">
      <c r="A324" s="1" t="s">
        <v>177</v>
      </c>
      <c r="B324" s="1"/>
      <c r="C324" s="2"/>
      <c r="D324" s="1"/>
      <c r="E324" s="1"/>
      <c r="H324" s="1"/>
      <c r="K324" s="1"/>
      <c r="M324" s="1"/>
      <c r="N324" s="1"/>
      <c r="O324" s="1"/>
      <c r="T324" s="1"/>
    </row>
    <row r="325" spans="1:20" x14ac:dyDescent="0.3">
      <c r="A325" s="1" t="s">
        <v>177</v>
      </c>
      <c r="B325" s="1"/>
      <c r="C325" s="2"/>
      <c r="D325" s="1"/>
      <c r="E325" s="1"/>
      <c r="H325" s="1"/>
      <c r="K325" s="1"/>
      <c r="M325" s="1"/>
      <c r="N325" s="1"/>
      <c r="O325" s="1"/>
      <c r="T325" s="1"/>
    </row>
    <row r="326" spans="1:20" x14ac:dyDescent="0.3">
      <c r="A326" s="1" t="s">
        <v>177</v>
      </c>
      <c r="B326" s="1"/>
      <c r="C326" s="2"/>
      <c r="D326" s="1"/>
      <c r="E326" s="1"/>
      <c r="H326" s="1"/>
      <c r="K326" s="1"/>
      <c r="M326" s="1"/>
      <c r="N326" s="1"/>
      <c r="O326" s="1"/>
      <c r="T326" s="1"/>
    </row>
    <row r="327" spans="1:20" x14ac:dyDescent="0.3">
      <c r="A327" s="1" t="s">
        <v>177</v>
      </c>
      <c r="B327" s="1"/>
      <c r="C327" s="2"/>
      <c r="D327" s="1"/>
      <c r="E327" s="1"/>
      <c r="H327" s="1"/>
      <c r="K327" s="1"/>
      <c r="M327" s="1"/>
      <c r="N327" s="1"/>
      <c r="O327" s="1"/>
      <c r="T327" s="1"/>
    </row>
    <row r="328" spans="1:20" x14ac:dyDescent="0.3">
      <c r="A328" s="1" t="s">
        <v>177</v>
      </c>
      <c r="B328" s="1"/>
      <c r="C328" s="2"/>
      <c r="D328" s="1"/>
      <c r="E328" s="1"/>
      <c r="H328" s="1"/>
      <c r="K328" s="1"/>
      <c r="M328" s="1"/>
      <c r="N328" s="1"/>
      <c r="O328" s="1"/>
      <c r="T328" s="1"/>
    </row>
    <row r="329" spans="1:20" x14ac:dyDescent="0.3">
      <c r="A329" s="1" t="s">
        <v>177</v>
      </c>
      <c r="B329" s="1"/>
      <c r="C329" s="2"/>
      <c r="D329" s="1"/>
      <c r="E329" s="1"/>
      <c r="H329" s="1"/>
      <c r="K329" s="1"/>
      <c r="M329" s="1"/>
      <c r="N329" s="1"/>
      <c r="O329" s="1"/>
      <c r="T329" s="1"/>
    </row>
    <row r="330" spans="1:20" x14ac:dyDescent="0.3">
      <c r="A330" s="1" t="s">
        <v>177</v>
      </c>
      <c r="B330" s="1"/>
      <c r="C330" s="2"/>
      <c r="D330" s="1"/>
      <c r="E330" s="1"/>
      <c r="H330" s="1"/>
      <c r="K330" s="1"/>
      <c r="M330" s="1"/>
      <c r="N330" s="1"/>
      <c r="O330" s="1"/>
      <c r="T330" s="1"/>
    </row>
    <row r="331" spans="1:20" x14ac:dyDescent="0.3">
      <c r="A331" s="1" t="s">
        <v>177</v>
      </c>
      <c r="B331" s="1"/>
      <c r="C331" s="2"/>
      <c r="D331" s="1"/>
      <c r="E331" s="1"/>
      <c r="H331" s="1"/>
      <c r="K331" s="1"/>
      <c r="M331" s="1"/>
      <c r="N331" s="1"/>
      <c r="O331" s="1"/>
      <c r="T331" s="1"/>
    </row>
    <row r="332" spans="1:20" x14ac:dyDescent="0.3">
      <c r="A332" s="1" t="s">
        <v>177</v>
      </c>
      <c r="B332" s="1"/>
      <c r="C332" s="2"/>
      <c r="D332" s="1"/>
      <c r="E332" s="1"/>
      <c r="H332" s="1"/>
      <c r="K332" s="1"/>
      <c r="M332" s="1"/>
      <c r="N332" s="1"/>
      <c r="O332" s="1"/>
      <c r="T332" s="1"/>
    </row>
    <row r="333" spans="1:20" x14ac:dyDescent="0.3">
      <c r="A333" s="1" t="s">
        <v>177</v>
      </c>
      <c r="B333" s="1"/>
      <c r="C333" s="2"/>
      <c r="D333" s="1"/>
      <c r="E333" s="1"/>
      <c r="H333" s="1"/>
      <c r="K333" s="1"/>
      <c r="M333" s="1"/>
      <c r="N333" s="1"/>
      <c r="O333" s="1"/>
      <c r="T333" s="1"/>
    </row>
    <row r="334" spans="1:20" x14ac:dyDescent="0.3">
      <c r="A334" s="1" t="s">
        <v>177</v>
      </c>
      <c r="B334" s="1"/>
      <c r="C334" s="2"/>
      <c r="D334" s="1"/>
      <c r="E334" s="1"/>
      <c r="H334" s="1"/>
      <c r="K334" s="1"/>
      <c r="M334" s="1"/>
      <c r="N334" s="1"/>
      <c r="O334" s="1"/>
      <c r="T334" s="1"/>
    </row>
    <row r="335" spans="1:20" x14ac:dyDescent="0.3">
      <c r="A335" s="1" t="s">
        <v>177</v>
      </c>
      <c r="B335" s="1"/>
      <c r="C335" s="2"/>
      <c r="D335" s="1"/>
      <c r="E335" s="1"/>
      <c r="H335" s="1"/>
      <c r="K335" s="1"/>
      <c r="M335" s="1"/>
      <c r="N335" s="1"/>
      <c r="O335" s="1"/>
      <c r="T335" s="1"/>
    </row>
    <row r="336" spans="1:20" x14ac:dyDescent="0.3">
      <c r="A336" s="1" t="s">
        <v>177</v>
      </c>
      <c r="B336" s="1"/>
      <c r="C336" s="2"/>
      <c r="D336" s="1"/>
      <c r="E336" s="1"/>
      <c r="H336" s="1"/>
      <c r="K336" s="1"/>
      <c r="M336" s="1"/>
      <c r="N336" s="1"/>
      <c r="O336" s="1"/>
      <c r="T336" s="1"/>
    </row>
    <row r="337" spans="1:20" x14ac:dyDescent="0.3">
      <c r="A337" s="1" t="s">
        <v>177</v>
      </c>
      <c r="B337" s="1"/>
      <c r="C337" s="2"/>
      <c r="D337" s="1"/>
      <c r="E337" s="1"/>
      <c r="H337" s="1"/>
      <c r="K337" s="1"/>
      <c r="M337" s="1"/>
      <c r="N337" s="1"/>
      <c r="O337" s="1"/>
      <c r="T337" s="1"/>
    </row>
    <row r="338" spans="1:20" x14ac:dyDescent="0.3">
      <c r="A338" s="1" t="s">
        <v>177</v>
      </c>
      <c r="B338" s="1"/>
      <c r="C338" s="2"/>
      <c r="D338" s="1"/>
      <c r="E338" s="1"/>
      <c r="H338" s="1"/>
      <c r="K338" s="1"/>
      <c r="M338" s="1"/>
      <c r="N338" s="1"/>
      <c r="O338" s="1"/>
      <c r="T338" s="1"/>
    </row>
    <row r="339" spans="1:20" x14ac:dyDescent="0.3">
      <c r="A339" s="1" t="s">
        <v>177</v>
      </c>
      <c r="B339" s="1"/>
      <c r="C339" s="2"/>
      <c r="D339" s="1"/>
      <c r="E339" s="1"/>
      <c r="H339" s="1"/>
      <c r="K339" s="1"/>
      <c r="M339" s="1"/>
      <c r="N339" s="1"/>
      <c r="O339" s="1"/>
      <c r="T339" s="1"/>
    </row>
    <row r="340" spans="1:20" x14ac:dyDescent="0.3">
      <c r="A340" s="1" t="s">
        <v>177</v>
      </c>
      <c r="B340" s="1"/>
      <c r="C340" s="2"/>
      <c r="D340" s="1"/>
      <c r="E340" s="1"/>
      <c r="H340" s="1"/>
      <c r="K340" s="1"/>
      <c r="M340" s="1"/>
      <c r="N340" s="1"/>
      <c r="O340" s="1"/>
      <c r="T340" s="1"/>
    </row>
    <row r="341" spans="1:20" x14ac:dyDescent="0.3">
      <c r="A341" s="1" t="s">
        <v>177</v>
      </c>
      <c r="B341" s="1"/>
      <c r="C341" s="2"/>
      <c r="D341" s="1"/>
      <c r="E341" s="1"/>
      <c r="H341" s="1"/>
      <c r="K341" s="1"/>
      <c r="M341" s="1"/>
      <c r="N341" s="1"/>
      <c r="O341" s="1"/>
      <c r="T341" s="1"/>
    </row>
    <row r="342" spans="1:20" x14ac:dyDescent="0.3">
      <c r="A342" s="1" t="s">
        <v>177</v>
      </c>
      <c r="B342" s="1"/>
      <c r="C342" s="2"/>
      <c r="D342" s="1"/>
      <c r="E342" s="1"/>
      <c r="H342" s="1"/>
      <c r="K342" s="1"/>
      <c r="M342" s="1"/>
      <c r="N342" s="1"/>
      <c r="O342" s="1"/>
      <c r="T342" s="1"/>
    </row>
    <row r="343" spans="1:20" x14ac:dyDescent="0.3">
      <c r="A343" s="1" t="s">
        <v>177</v>
      </c>
      <c r="B343" s="1"/>
      <c r="C343" s="2"/>
      <c r="D343" s="1"/>
      <c r="E343" s="1"/>
      <c r="H343" s="1"/>
      <c r="K343" s="1"/>
      <c r="M343" s="1"/>
      <c r="N343" s="1"/>
      <c r="O343" s="1"/>
      <c r="T343" s="1"/>
    </row>
    <row r="344" spans="1:20" x14ac:dyDescent="0.3">
      <c r="A344" s="1" t="s">
        <v>177</v>
      </c>
      <c r="B344" s="1"/>
      <c r="C344" s="2"/>
      <c r="D344" s="1"/>
      <c r="E344" s="1"/>
      <c r="H344" s="1"/>
      <c r="K344" s="1"/>
      <c r="M344" s="1"/>
      <c r="N344" s="1"/>
      <c r="O344" s="1"/>
      <c r="T344" s="1"/>
    </row>
    <row r="345" spans="1:20" x14ac:dyDescent="0.3">
      <c r="A345" s="1" t="s">
        <v>177</v>
      </c>
      <c r="B345" s="1"/>
      <c r="C345" s="2"/>
      <c r="D345" s="1"/>
      <c r="E345" s="1"/>
      <c r="H345" s="1"/>
      <c r="K345" s="1"/>
      <c r="M345" s="1"/>
      <c r="N345" s="1"/>
      <c r="O345" s="1"/>
      <c r="T345" s="1"/>
    </row>
    <row r="346" spans="1:20" x14ac:dyDescent="0.3">
      <c r="A346" s="1" t="s">
        <v>177</v>
      </c>
      <c r="B346" s="1"/>
      <c r="C346" s="2"/>
      <c r="D346" s="1"/>
      <c r="E346" s="1"/>
      <c r="H346" s="1"/>
      <c r="K346" s="1"/>
      <c r="M346" s="1"/>
      <c r="N346" s="1"/>
      <c r="O346" s="1"/>
      <c r="T346" s="1"/>
    </row>
    <row r="347" spans="1:20" x14ac:dyDescent="0.3">
      <c r="A347" s="1" t="s">
        <v>177</v>
      </c>
      <c r="B347" s="1"/>
      <c r="C347" s="2"/>
      <c r="D347" s="1"/>
      <c r="E347" s="1"/>
      <c r="H347" s="1"/>
      <c r="K347" s="1"/>
      <c r="M347" s="1"/>
      <c r="N347" s="1"/>
      <c r="O347" s="1"/>
      <c r="T347" s="1"/>
    </row>
    <row r="348" spans="1:20" x14ac:dyDescent="0.3">
      <c r="A348" s="1" t="s">
        <v>177</v>
      </c>
      <c r="B348" s="1"/>
      <c r="C348" s="2"/>
      <c r="D348" s="1"/>
      <c r="E348" s="1"/>
      <c r="H348" s="1"/>
      <c r="K348" s="1"/>
      <c r="M348" s="1"/>
      <c r="N348" s="1"/>
      <c r="O348" s="1"/>
      <c r="T348" s="1"/>
    </row>
    <row r="349" spans="1:20" x14ac:dyDescent="0.3">
      <c r="A349" s="1" t="s">
        <v>177</v>
      </c>
      <c r="B349" s="1"/>
      <c r="C349" s="2"/>
      <c r="D349" s="1"/>
      <c r="E349" s="1"/>
      <c r="H349" s="1"/>
      <c r="K349" s="1"/>
      <c r="M349" s="1"/>
      <c r="N349" s="1"/>
      <c r="O349" s="1"/>
      <c r="T349" s="1"/>
    </row>
    <row r="350" spans="1:20" x14ac:dyDescent="0.3">
      <c r="A350" s="1" t="s">
        <v>177</v>
      </c>
      <c r="B350" s="1"/>
      <c r="C350" s="2"/>
      <c r="D350" s="1"/>
      <c r="E350" s="1"/>
      <c r="H350" s="1"/>
      <c r="K350" s="1"/>
      <c r="M350" s="1"/>
      <c r="N350" s="1"/>
      <c r="O350" s="1"/>
      <c r="T350" s="1"/>
    </row>
    <row r="351" spans="1:20" x14ac:dyDescent="0.3">
      <c r="A351" s="1" t="s">
        <v>177</v>
      </c>
      <c r="B351" s="1"/>
      <c r="C351" s="2"/>
      <c r="D351" s="1"/>
      <c r="E351" s="1"/>
      <c r="H351" s="1"/>
      <c r="K351" s="1"/>
      <c r="M351" s="1"/>
      <c r="N351" s="1"/>
      <c r="O351" s="1"/>
      <c r="T351" s="1"/>
    </row>
    <row r="352" spans="1:20" x14ac:dyDescent="0.3">
      <c r="A352" s="1" t="s">
        <v>177</v>
      </c>
      <c r="B352" s="1"/>
      <c r="C352" s="2"/>
      <c r="D352" s="1"/>
      <c r="E352" s="1"/>
      <c r="H352" s="1"/>
      <c r="K352" s="1"/>
      <c r="M352" s="1"/>
      <c r="N352" s="1"/>
      <c r="O352" s="1"/>
      <c r="T352" s="1"/>
    </row>
    <row r="353" spans="1:20" x14ac:dyDescent="0.3">
      <c r="A353" s="1" t="s">
        <v>177</v>
      </c>
      <c r="B353" s="1"/>
      <c r="C353" s="2"/>
      <c r="D353" s="1"/>
      <c r="E353" s="1"/>
      <c r="H353" s="1"/>
      <c r="K353" s="1"/>
      <c r="M353" s="1"/>
      <c r="N353" s="1"/>
      <c r="O353" s="1"/>
      <c r="T353" s="1"/>
    </row>
    <row r="354" spans="1:20" x14ac:dyDescent="0.3">
      <c r="A354" s="1" t="s">
        <v>177</v>
      </c>
      <c r="B354" s="1"/>
      <c r="C354" s="2"/>
      <c r="D354" s="1"/>
      <c r="E354" s="1"/>
      <c r="H354" s="1"/>
      <c r="K354" s="1"/>
      <c r="M354" s="1"/>
      <c r="N354" s="1"/>
      <c r="O354" s="1"/>
      <c r="T354" s="1"/>
    </row>
    <row r="355" spans="1:20" x14ac:dyDescent="0.3">
      <c r="A355" s="1" t="s">
        <v>177</v>
      </c>
      <c r="B355" s="1"/>
      <c r="C355" s="2"/>
      <c r="D355" s="1"/>
      <c r="E355" s="1"/>
      <c r="H355" s="1"/>
      <c r="K355" s="1"/>
      <c r="M355" s="1"/>
      <c r="N355" s="1"/>
      <c r="O355" s="1"/>
      <c r="T355" s="1"/>
    </row>
    <row r="356" spans="1:20" x14ac:dyDescent="0.3">
      <c r="A356" s="1" t="s">
        <v>177</v>
      </c>
      <c r="B356" s="1"/>
      <c r="C356" s="2"/>
      <c r="D356" s="1"/>
      <c r="E356" s="1"/>
      <c r="H356" s="1"/>
      <c r="K356" s="1"/>
      <c r="M356" s="1"/>
      <c r="N356" s="1"/>
      <c r="O356" s="1"/>
      <c r="T356" s="1"/>
    </row>
    <row r="357" spans="1:20" x14ac:dyDescent="0.3">
      <c r="A357" s="1" t="s">
        <v>177</v>
      </c>
      <c r="B357" s="1"/>
      <c r="C357" s="2"/>
      <c r="D357" s="1"/>
      <c r="E357" s="1"/>
      <c r="H357" s="1"/>
      <c r="K357" s="1"/>
      <c r="M357" s="1"/>
      <c r="N357" s="1"/>
      <c r="O357" s="1"/>
      <c r="T357" s="1"/>
    </row>
    <row r="358" spans="1:20" x14ac:dyDescent="0.3">
      <c r="A358" s="1" t="s">
        <v>177</v>
      </c>
      <c r="B358" s="1"/>
      <c r="C358" s="2"/>
      <c r="D358" s="1"/>
      <c r="E358" s="1"/>
      <c r="H358" s="1"/>
      <c r="K358" s="1"/>
      <c r="M358" s="1"/>
      <c r="N358" s="1"/>
      <c r="O358" s="1"/>
      <c r="T358" s="1"/>
    </row>
    <row r="359" spans="1:20" x14ac:dyDescent="0.3">
      <c r="A359" s="1" t="s">
        <v>177</v>
      </c>
      <c r="B359" s="1"/>
      <c r="C359" s="2"/>
      <c r="D359" s="1"/>
      <c r="E359" s="1"/>
      <c r="H359" s="1"/>
      <c r="K359" s="1"/>
      <c r="M359" s="1"/>
      <c r="N359" s="1"/>
      <c r="O359" s="1"/>
      <c r="T359" s="1"/>
    </row>
    <row r="360" spans="1:20" x14ac:dyDescent="0.3">
      <c r="A360" s="1" t="s">
        <v>177</v>
      </c>
      <c r="B360" s="1"/>
      <c r="C360" s="2"/>
      <c r="D360" s="1"/>
      <c r="E360" s="1"/>
      <c r="H360" s="1"/>
      <c r="K360" s="1"/>
      <c r="M360" s="1"/>
      <c r="N360" s="1"/>
      <c r="O360" s="1"/>
      <c r="T360" s="1"/>
    </row>
    <row r="361" spans="1:20" x14ac:dyDescent="0.3">
      <c r="A361" s="1" t="s">
        <v>177</v>
      </c>
      <c r="B361" s="1"/>
      <c r="C361" s="2"/>
      <c r="D361" s="1"/>
      <c r="E361" s="1"/>
      <c r="H361" s="1"/>
      <c r="K361" s="1"/>
      <c r="M361" s="1"/>
      <c r="N361" s="1"/>
      <c r="O361" s="1"/>
      <c r="T361" s="1"/>
    </row>
    <row r="362" spans="1:20" x14ac:dyDescent="0.3">
      <c r="A362" s="1" t="s">
        <v>177</v>
      </c>
      <c r="B362" s="1"/>
      <c r="C362" s="2"/>
      <c r="D362" s="1"/>
      <c r="E362" s="1"/>
      <c r="H362" s="1"/>
      <c r="K362" s="1"/>
      <c r="M362" s="1"/>
      <c r="N362" s="1"/>
      <c r="O362" s="1"/>
      <c r="T362" s="1"/>
    </row>
    <row r="363" spans="1:20" x14ac:dyDescent="0.3">
      <c r="A363" s="1" t="s">
        <v>177</v>
      </c>
      <c r="B363" s="1"/>
      <c r="C363" s="2"/>
      <c r="D363" s="1"/>
      <c r="E363" s="1"/>
      <c r="H363" s="1"/>
      <c r="K363" s="1"/>
      <c r="M363" s="1"/>
      <c r="N363" s="1"/>
      <c r="O363" s="1"/>
      <c r="T363" s="1"/>
    </row>
    <row r="364" spans="1:20" x14ac:dyDescent="0.3">
      <c r="A364" s="1" t="s">
        <v>177</v>
      </c>
      <c r="B364" s="1"/>
      <c r="C364" s="2"/>
      <c r="D364" s="1"/>
      <c r="E364" s="1"/>
      <c r="H364" s="1"/>
      <c r="K364" s="1"/>
      <c r="M364" s="1"/>
      <c r="N364" s="1"/>
      <c r="O364" s="1"/>
      <c r="T364" s="1"/>
    </row>
    <row r="365" spans="1:20" x14ac:dyDescent="0.3">
      <c r="A365" s="1" t="s">
        <v>177</v>
      </c>
      <c r="B365" s="1"/>
      <c r="C365" s="2"/>
      <c r="D365" s="1"/>
      <c r="E365" s="1"/>
      <c r="H365" s="1"/>
      <c r="K365" s="1"/>
      <c r="M365" s="1"/>
      <c r="N365" s="1"/>
      <c r="O365" s="1"/>
      <c r="T365" s="1"/>
    </row>
    <row r="366" spans="1:20" x14ac:dyDescent="0.3">
      <c r="A366" s="1" t="s">
        <v>177</v>
      </c>
      <c r="B366" s="1"/>
      <c r="C366" s="2"/>
      <c r="D366" s="1"/>
      <c r="E366" s="1"/>
      <c r="H366" s="1"/>
      <c r="K366" s="1"/>
      <c r="M366" s="1"/>
      <c r="N366" s="1"/>
      <c r="O366" s="1"/>
      <c r="T366" s="1"/>
    </row>
    <row r="367" spans="1:20" x14ac:dyDescent="0.3">
      <c r="A367" s="1" t="s">
        <v>177</v>
      </c>
      <c r="B367" s="1"/>
      <c r="C367" s="2"/>
      <c r="D367" s="1"/>
      <c r="E367" s="1"/>
      <c r="H367" s="1"/>
      <c r="K367" s="1"/>
      <c r="M367" s="1"/>
      <c r="N367" s="1"/>
      <c r="O367" s="1"/>
      <c r="T367" s="1"/>
    </row>
    <row r="368" spans="1:20" x14ac:dyDescent="0.3">
      <c r="A368" s="1" t="s">
        <v>177</v>
      </c>
      <c r="B368" s="1"/>
      <c r="C368" s="2"/>
      <c r="D368" s="1"/>
      <c r="E368" s="1"/>
      <c r="H368" s="1"/>
      <c r="K368" s="1"/>
      <c r="M368" s="1"/>
      <c r="N368" s="1"/>
      <c r="O368" s="1"/>
      <c r="T368" s="1"/>
    </row>
    <row r="369" spans="1:20" x14ac:dyDescent="0.3">
      <c r="A369" s="1" t="s">
        <v>177</v>
      </c>
      <c r="B369" s="1"/>
      <c r="C369" s="2"/>
      <c r="D369" s="1"/>
      <c r="E369" s="1"/>
      <c r="H369" s="1"/>
      <c r="K369" s="1"/>
      <c r="M369" s="1"/>
      <c r="N369" s="1"/>
      <c r="O369" s="1"/>
      <c r="T369" s="1"/>
    </row>
    <row r="370" spans="1:20" x14ac:dyDescent="0.3">
      <c r="A370" s="1" t="s">
        <v>177</v>
      </c>
      <c r="B370" s="1"/>
      <c r="C370" s="2"/>
      <c r="D370" s="1"/>
      <c r="E370" s="1"/>
      <c r="H370" s="1"/>
      <c r="K370" s="1"/>
      <c r="M370" s="1"/>
      <c r="N370" s="1"/>
      <c r="O370" s="1"/>
      <c r="T370" s="1"/>
    </row>
    <row r="371" spans="1:20" x14ac:dyDescent="0.3">
      <c r="A371" s="1" t="s">
        <v>177</v>
      </c>
      <c r="B371" s="1"/>
      <c r="C371" s="2"/>
      <c r="D371" s="1"/>
      <c r="E371" s="1"/>
      <c r="H371" s="1"/>
      <c r="K371" s="1"/>
      <c r="M371" s="1"/>
      <c r="N371" s="1"/>
      <c r="O371" s="1"/>
      <c r="T371" s="1"/>
    </row>
    <row r="372" spans="1:20" x14ac:dyDescent="0.3">
      <c r="A372" s="1" t="s">
        <v>177</v>
      </c>
      <c r="B372" s="1"/>
      <c r="C372" s="2"/>
      <c r="D372" s="1"/>
      <c r="E372" s="1"/>
      <c r="H372" s="1"/>
      <c r="K372" s="1"/>
      <c r="M372" s="1"/>
      <c r="N372" s="1"/>
      <c r="O372" s="1"/>
      <c r="T372" s="1"/>
    </row>
    <row r="373" spans="1:20" x14ac:dyDescent="0.3">
      <c r="A373" s="1" t="s">
        <v>177</v>
      </c>
      <c r="B373" s="1"/>
      <c r="C373" s="2"/>
      <c r="D373" s="1"/>
      <c r="E373" s="1"/>
      <c r="H373" s="1"/>
      <c r="K373" s="1"/>
      <c r="M373" s="1"/>
      <c r="N373" s="1"/>
      <c r="O373" s="1"/>
      <c r="T373" s="1"/>
    </row>
    <row r="374" spans="1:20" x14ac:dyDescent="0.3">
      <c r="A374" s="1" t="s">
        <v>177</v>
      </c>
      <c r="B374" s="1"/>
      <c r="C374" s="2"/>
      <c r="D374" s="1"/>
      <c r="E374" s="1"/>
      <c r="H374" s="1"/>
      <c r="K374" s="1"/>
      <c r="M374" s="1"/>
      <c r="N374" s="1"/>
      <c r="O374" s="1"/>
      <c r="T374" s="1"/>
    </row>
    <row r="375" spans="1:20" x14ac:dyDescent="0.3">
      <c r="A375" s="1" t="s">
        <v>177</v>
      </c>
      <c r="B375" s="1"/>
      <c r="C375" s="2"/>
      <c r="D375" s="1"/>
      <c r="E375" s="1"/>
      <c r="H375" s="1"/>
      <c r="K375" s="1"/>
      <c r="M375" s="1"/>
      <c r="N375" s="1"/>
      <c r="O375" s="1"/>
      <c r="T375" s="1"/>
    </row>
    <row r="376" spans="1:20" x14ac:dyDescent="0.3">
      <c r="A376" s="1" t="s">
        <v>177</v>
      </c>
      <c r="B376" s="1"/>
      <c r="C376" s="2"/>
      <c r="D376" s="1"/>
      <c r="E376" s="1"/>
      <c r="H376" s="1"/>
      <c r="K376" s="1"/>
      <c r="M376" s="1"/>
      <c r="N376" s="1"/>
      <c r="O376" s="1"/>
      <c r="T376" s="1"/>
    </row>
    <row r="377" spans="1:20" x14ac:dyDescent="0.3">
      <c r="A377" s="1" t="s">
        <v>177</v>
      </c>
      <c r="B377" s="1"/>
      <c r="C377" s="2"/>
      <c r="D377" s="1"/>
      <c r="E377" s="1"/>
      <c r="H377" s="1"/>
      <c r="K377" s="1"/>
      <c r="M377" s="1"/>
      <c r="N377" s="1"/>
      <c r="O377" s="1"/>
      <c r="T377" s="1"/>
    </row>
    <row r="378" spans="1:20" x14ac:dyDescent="0.3">
      <c r="A378" s="1" t="s">
        <v>177</v>
      </c>
      <c r="B378" s="1"/>
      <c r="C378" s="2"/>
      <c r="D378" s="1"/>
      <c r="E378" s="1"/>
      <c r="H378" s="1"/>
      <c r="K378" s="1"/>
      <c r="M378" s="1"/>
      <c r="N378" s="1"/>
      <c r="O378" s="1"/>
      <c r="T378" s="1"/>
    </row>
    <row r="379" spans="1:20" x14ac:dyDescent="0.3">
      <c r="A379" s="1" t="s">
        <v>177</v>
      </c>
      <c r="B379" s="1"/>
      <c r="C379" s="2"/>
      <c r="D379" s="1"/>
      <c r="E379" s="1"/>
      <c r="H379" s="1"/>
      <c r="K379" s="1"/>
      <c r="M379" s="1"/>
      <c r="N379" s="1"/>
      <c r="O379" s="1"/>
      <c r="T379" s="1"/>
    </row>
    <row r="380" spans="1:20" x14ac:dyDescent="0.3">
      <c r="A380" s="1" t="s">
        <v>177</v>
      </c>
      <c r="B380" s="1"/>
      <c r="C380" s="2"/>
      <c r="D380" s="1"/>
      <c r="E380" s="1"/>
      <c r="H380" s="1"/>
      <c r="K380" s="1"/>
      <c r="M380" s="1"/>
      <c r="N380" s="1"/>
      <c r="O380" s="1"/>
      <c r="T380" s="1"/>
    </row>
    <row r="381" spans="1:20" x14ac:dyDescent="0.3">
      <c r="A381" s="1" t="s">
        <v>177</v>
      </c>
      <c r="B381" s="1"/>
      <c r="C381" s="2"/>
      <c r="D381" s="1"/>
      <c r="E381" s="1"/>
      <c r="H381" s="1"/>
      <c r="K381" s="1"/>
      <c r="M381" s="1"/>
      <c r="N381" s="1"/>
      <c r="O381" s="1"/>
      <c r="T381" s="1"/>
    </row>
    <row r="382" spans="1:20" x14ac:dyDescent="0.3">
      <c r="A382" s="1" t="s">
        <v>177</v>
      </c>
      <c r="B382" s="1"/>
      <c r="C382" s="2"/>
      <c r="D382" s="1"/>
      <c r="E382" s="1"/>
      <c r="H382" s="1"/>
      <c r="K382" s="1"/>
      <c r="M382" s="1"/>
      <c r="N382" s="1"/>
      <c r="O382" s="1"/>
      <c r="T382" s="1"/>
    </row>
    <row r="383" spans="1:20" x14ac:dyDescent="0.3">
      <c r="A383" s="1" t="s">
        <v>177</v>
      </c>
      <c r="B383" s="1"/>
      <c r="C383" s="2"/>
      <c r="D383" s="1"/>
      <c r="E383" s="1"/>
      <c r="H383" s="1"/>
      <c r="K383" s="1"/>
      <c r="M383" s="1"/>
      <c r="N383" s="1"/>
      <c r="O383" s="1"/>
      <c r="T383" s="1"/>
    </row>
    <row r="384" spans="1:20" x14ac:dyDescent="0.3">
      <c r="A384" s="1" t="s">
        <v>177</v>
      </c>
      <c r="B384" s="1"/>
      <c r="C384" s="2"/>
      <c r="D384" s="1"/>
      <c r="E384" s="1"/>
      <c r="H384" s="1"/>
      <c r="K384" s="1"/>
      <c r="M384" s="1"/>
      <c r="N384" s="1"/>
      <c r="O384" s="1"/>
      <c r="T384" s="1"/>
    </row>
    <row r="385" spans="1:20" x14ac:dyDescent="0.3">
      <c r="A385" s="1" t="s">
        <v>177</v>
      </c>
      <c r="B385" s="1"/>
      <c r="C385" s="2"/>
      <c r="D385" s="1"/>
      <c r="E385" s="1"/>
      <c r="H385" s="1"/>
      <c r="K385" s="1"/>
      <c r="M385" s="1"/>
      <c r="N385" s="1"/>
      <c r="O385" s="1"/>
      <c r="T385" s="1"/>
    </row>
    <row r="386" spans="1:20" x14ac:dyDescent="0.3">
      <c r="A386" s="1" t="s">
        <v>177</v>
      </c>
      <c r="B386" s="1"/>
      <c r="C386" s="2"/>
      <c r="D386" s="1"/>
      <c r="E386" s="1"/>
      <c r="H386" s="1"/>
      <c r="K386" s="1"/>
      <c r="M386" s="1"/>
      <c r="N386" s="1"/>
      <c r="O386" s="1"/>
      <c r="T386" s="1"/>
    </row>
    <row r="387" spans="1:20" x14ac:dyDescent="0.3">
      <c r="A387" s="1" t="s">
        <v>177</v>
      </c>
      <c r="B387" s="1"/>
      <c r="C387" s="2"/>
      <c r="D387" s="1"/>
      <c r="E387" s="1"/>
      <c r="H387" s="1"/>
      <c r="K387" s="1"/>
      <c r="M387" s="1"/>
      <c r="N387" s="1"/>
      <c r="O387" s="1"/>
      <c r="T387" s="1"/>
    </row>
    <row r="388" spans="1:20" x14ac:dyDescent="0.3">
      <c r="A388" s="1" t="s">
        <v>177</v>
      </c>
      <c r="B388" s="1"/>
      <c r="C388" s="2"/>
      <c r="D388" s="1"/>
      <c r="E388" s="1"/>
      <c r="H388" s="1"/>
      <c r="K388" s="1"/>
      <c r="M388" s="1"/>
      <c r="N388" s="1"/>
      <c r="O388" s="1"/>
      <c r="T388" s="1"/>
    </row>
    <row r="389" spans="1:20" x14ac:dyDescent="0.3">
      <c r="A389" s="1" t="s">
        <v>177</v>
      </c>
      <c r="B389" s="1"/>
      <c r="C389" s="2"/>
      <c r="D389" s="1"/>
      <c r="E389" s="1"/>
      <c r="H389" s="1"/>
      <c r="K389" s="1"/>
      <c r="M389" s="1"/>
      <c r="N389" s="1"/>
      <c r="O389" s="1"/>
      <c r="T389" s="1"/>
    </row>
    <row r="390" spans="1:20" x14ac:dyDescent="0.3">
      <c r="A390" s="1" t="s">
        <v>177</v>
      </c>
      <c r="B390" s="1"/>
      <c r="C390" s="2"/>
      <c r="D390" s="1"/>
      <c r="E390" s="1"/>
      <c r="H390" s="1"/>
      <c r="K390" s="1"/>
      <c r="M390" s="1"/>
      <c r="N390" s="1"/>
      <c r="O390" s="1"/>
      <c r="T390" s="1"/>
    </row>
    <row r="391" spans="1:20" x14ac:dyDescent="0.3">
      <c r="A391" s="1" t="s">
        <v>177</v>
      </c>
      <c r="B391" s="1"/>
      <c r="C391" s="2"/>
      <c r="D391" s="1"/>
      <c r="E391" s="1"/>
      <c r="H391" s="1"/>
      <c r="K391" s="1"/>
      <c r="M391" s="1"/>
      <c r="N391" s="1"/>
      <c r="O391" s="1"/>
      <c r="T391" s="1"/>
    </row>
    <row r="392" spans="1:20" x14ac:dyDescent="0.3">
      <c r="A392" s="1" t="s">
        <v>177</v>
      </c>
      <c r="B392" s="1"/>
      <c r="C392" s="2"/>
      <c r="D392" s="1"/>
      <c r="E392" s="1"/>
      <c r="H392" s="1"/>
      <c r="K392" s="1"/>
      <c r="M392" s="1"/>
      <c r="N392" s="1"/>
      <c r="O392" s="1"/>
      <c r="T392" s="1"/>
    </row>
    <row r="393" spans="1:20" x14ac:dyDescent="0.3">
      <c r="A393" s="1" t="s">
        <v>177</v>
      </c>
      <c r="B393" s="1"/>
      <c r="C393" s="2"/>
      <c r="D393" s="1"/>
      <c r="E393" s="1"/>
      <c r="H393" s="1"/>
      <c r="K393" s="1"/>
      <c r="M393" s="1"/>
      <c r="N393" s="1"/>
      <c r="O393" s="1"/>
      <c r="T393" s="1"/>
    </row>
    <row r="394" spans="1:20" x14ac:dyDescent="0.3">
      <c r="A394" s="1" t="s">
        <v>177</v>
      </c>
      <c r="B394" s="1"/>
      <c r="C394" s="2"/>
      <c r="D394" s="1"/>
      <c r="E394" s="1"/>
      <c r="H394" s="1"/>
      <c r="K394" s="1"/>
      <c r="M394" s="1"/>
      <c r="N394" s="1"/>
      <c r="O394" s="1"/>
      <c r="T394" s="1"/>
    </row>
    <row r="395" spans="1:20" x14ac:dyDescent="0.3">
      <c r="A395" s="1" t="s">
        <v>177</v>
      </c>
      <c r="B395" s="1"/>
      <c r="C395" s="2"/>
      <c r="D395" s="1"/>
      <c r="E395" s="1"/>
      <c r="H395" s="1"/>
      <c r="K395" s="1"/>
      <c r="M395" s="1"/>
      <c r="N395" s="1"/>
      <c r="O395" s="1"/>
      <c r="T395" s="1"/>
    </row>
    <row r="396" spans="1:20" x14ac:dyDescent="0.3">
      <c r="A396" s="1" t="s">
        <v>177</v>
      </c>
      <c r="B396" s="1"/>
      <c r="C396" s="2"/>
      <c r="D396" s="1"/>
      <c r="E396" s="1"/>
      <c r="H396" s="1"/>
      <c r="K396" s="1"/>
      <c r="M396" s="1"/>
      <c r="N396" s="1"/>
      <c r="O396" s="1"/>
      <c r="T396" s="1"/>
    </row>
    <row r="397" spans="1:20" x14ac:dyDescent="0.3">
      <c r="A397" s="1" t="s">
        <v>177</v>
      </c>
      <c r="B397" s="1"/>
      <c r="C397" s="2"/>
      <c r="D397" s="1"/>
      <c r="E397" s="1"/>
      <c r="H397" s="1"/>
      <c r="K397" s="1"/>
      <c r="M397" s="1"/>
      <c r="N397" s="1"/>
      <c r="O397" s="1"/>
      <c r="T397" s="1"/>
    </row>
    <row r="398" spans="1:20" x14ac:dyDescent="0.3">
      <c r="A398" s="1" t="s">
        <v>177</v>
      </c>
      <c r="B398" s="1"/>
      <c r="C398" s="2"/>
      <c r="D398" s="1"/>
      <c r="E398" s="1"/>
      <c r="H398" s="1"/>
      <c r="K398" s="1"/>
      <c r="M398" s="1"/>
      <c r="N398" s="1"/>
      <c r="O398" s="1"/>
      <c r="T398" s="1"/>
    </row>
    <row r="399" spans="1:20" x14ac:dyDescent="0.3">
      <c r="A399" s="1" t="s">
        <v>177</v>
      </c>
      <c r="B399" s="1"/>
      <c r="C399" s="2"/>
      <c r="D399" s="1"/>
      <c r="E399" s="1"/>
      <c r="H399" s="1"/>
      <c r="K399" s="1"/>
      <c r="M399" s="1"/>
      <c r="N399" s="1"/>
      <c r="O399" s="1"/>
      <c r="T399" s="1"/>
    </row>
    <row r="400" spans="1:20" x14ac:dyDescent="0.3">
      <c r="A400" s="1" t="s">
        <v>177</v>
      </c>
      <c r="B400" s="1"/>
      <c r="C400" s="2"/>
      <c r="D400" s="1"/>
      <c r="E400" s="1"/>
      <c r="H400" s="1"/>
      <c r="K400" s="1"/>
      <c r="M400" s="1"/>
      <c r="N400" s="1"/>
      <c r="O400" s="1"/>
      <c r="T400" s="1"/>
    </row>
    <row r="401" spans="1:20" x14ac:dyDescent="0.3">
      <c r="A401" s="1" t="s">
        <v>177</v>
      </c>
      <c r="B401" s="1"/>
      <c r="C401" s="2"/>
      <c r="D401" s="1"/>
      <c r="E401" s="1"/>
      <c r="H401" s="1"/>
      <c r="K401" s="1"/>
      <c r="M401" s="1"/>
      <c r="N401" s="1"/>
      <c r="O401" s="1"/>
      <c r="T401" s="1"/>
    </row>
    <row r="402" spans="1:20" x14ac:dyDescent="0.3">
      <c r="A402" s="1" t="s">
        <v>177</v>
      </c>
      <c r="B402" s="1"/>
      <c r="C402" s="2"/>
      <c r="D402" s="1"/>
      <c r="E402" s="1"/>
      <c r="H402" s="1"/>
      <c r="K402" s="1"/>
      <c r="M402" s="1"/>
      <c r="N402" s="1"/>
      <c r="O402" s="1"/>
      <c r="T402" s="1"/>
    </row>
    <row r="403" spans="1:20" x14ac:dyDescent="0.3">
      <c r="A403" s="1" t="s">
        <v>177</v>
      </c>
      <c r="B403" s="1"/>
      <c r="C403" s="2"/>
      <c r="D403" s="1"/>
      <c r="E403" s="1"/>
      <c r="H403" s="1"/>
      <c r="K403" s="1"/>
      <c r="M403" s="1"/>
      <c r="N403" s="1"/>
      <c r="O403" s="1"/>
      <c r="T403" s="1"/>
    </row>
    <row r="404" spans="1:20" x14ac:dyDescent="0.3">
      <c r="A404" s="1" t="s">
        <v>177</v>
      </c>
      <c r="B404" s="1"/>
      <c r="C404" s="2"/>
      <c r="D404" s="1"/>
      <c r="E404" s="1"/>
      <c r="H404" s="1"/>
      <c r="K404" s="1"/>
      <c r="M404" s="1"/>
      <c r="N404" s="1"/>
      <c r="O404" s="1"/>
      <c r="T404" s="1"/>
    </row>
    <row r="405" spans="1:20" x14ac:dyDescent="0.3">
      <c r="A405" s="1" t="s">
        <v>177</v>
      </c>
      <c r="B405" s="1"/>
      <c r="C405" s="2"/>
      <c r="D405" s="1"/>
      <c r="E405" s="1"/>
      <c r="H405" s="1"/>
      <c r="K405" s="1"/>
      <c r="M405" s="1"/>
      <c r="N405" s="1"/>
      <c r="O405" s="1"/>
      <c r="T405" s="1"/>
    </row>
    <row r="406" spans="1:20" x14ac:dyDescent="0.3">
      <c r="A406" s="1" t="s">
        <v>177</v>
      </c>
      <c r="B406" s="1"/>
      <c r="C406" s="2"/>
      <c r="D406" s="1"/>
      <c r="E406" s="1"/>
      <c r="H406" s="1"/>
      <c r="K406" s="1"/>
      <c r="M406" s="1"/>
      <c r="N406" s="1"/>
      <c r="O406" s="1"/>
      <c r="T406" s="1"/>
    </row>
    <row r="407" spans="1:20" x14ac:dyDescent="0.3">
      <c r="A407" s="1" t="s">
        <v>177</v>
      </c>
      <c r="B407" s="1"/>
      <c r="C407" s="2"/>
      <c r="D407" s="1"/>
      <c r="E407" s="1"/>
      <c r="H407" s="1"/>
      <c r="K407" s="1"/>
      <c r="M407" s="1"/>
      <c r="N407" s="1"/>
      <c r="O407" s="1"/>
      <c r="T407" s="1"/>
    </row>
    <row r="408" spans="1:20" x14ac:dyDescent="0.3">
      <c r="A408" s="1" t="s">
        <v>177</v>
      </c>
      <c r="B408" s="1"/>
      <c r="C408" s="2"/>
      <c r="D408" s="1"/>
      <c r="E408" s="1"/>
      <c r="H408" s="1"/>
      <c r="K408" s="1"/>
      <c r="M408" s="1"/>
      <c r="N408" s="1"/>
      <c r="O408" s="1"/>
      <c r="T408" s="1"/>
    </row>
    <row r="409" spans="1:20" x14ac:dyDescent="0.3">
      <c r="A409" s="1" t="s">
        <v>177</v>
      </c>
      <c r="B409" s="1"/>
      <c r="C409" s="2"/>
      <c r="D409" s="1"/>
      <c r="E409" s="1"/>
      <c r="H409" s="1"/>
      <c r="K409" s="1"/>
      <c r="M409" s="1"/>
      <c r="N409" s="1"/>
      <c r="O409" s="1"/>
      <c r="T409" s="1"/>
    </row>
    <row r="410" spans="1:20" x14ac:dyDescent="0.3">
      <c r="A410" s="1" t="s">
        <v>177</v>
      </c>
      <c r="B410" s="1"/>
      <c r="C410" s="2"/>
      <c r="D410" s="1"/>
      <c r="E410" s="1"/>
      <c r="H410" s="1"/>
      <c r="K410" s="1"/>
      <c r="M410" s="1"/>
      <c r="N410" s="1"/>
      <c r="O410" s="1"/>
      <c r="T410" s="1"/>
    </row>
    <row r="411" spans="1:20" x14ac:dyDescent="0.3">
      <c r="A411" s="1" t="s">
        <v>177</v>
      </c>
      <c r="B411" s="1"/>
      <c r="C411" s="2"/>
      <c r="D411" s="1"/>
      <c r="E411" s="1"/>
      <c r="H411" s="1"/>
      <c r="K411" s="1"/>
      <c r="M411" s="1"/>
      <c r="N411" s="1"/>
      <c r="O411" s="1"/>
      <c r="T411" s="1"/>
    </row>
    <row r="412" spans="1:20" x14ac:dyDescent="0.3">
      <c r="A412" s="1" t="s">
        <v>177</v>
      </c>
      <c r="B412" s="1"/>
      <c r="C412" s="2"/>
      <c r="D412" s="1"/>
      <c r="E412" s="1"/>
      <c r="H412" s="1"/>
      <c r="K412" s="1"/>
      <c r="M412" s="1"/>
      <c r="N412" s="1"/>
      <c r="O412" s="1"/>
      <c r="T412" s="1"/>
    </row>
    <row r="413" spans="1:20" x14ac:dyDescent="0.3">
      <c r="A413" s="1" t="s">
        <v>177</v>
      </c>
      <c r="B413" s="1"/>
      <c r="C413" s="2"/>
      <c r="D413" s="1"/>
      <c r="E413" s="1"/>
      <c r="H413" s="1"/>
      <c r="K413" s="1"/>
      <c r="M413" s="1"/>
      <c r="N413" s="1"/>
      <c r="O413" s="1"/>
      <c r="T413" s="1"/>
    </row>
    <row r="414" spans="1:20" x14ac:dyDescent="0.3">
      <c r="A414" s="1" t="s">
        <v>177</v>
      </c>
      <c r="B414" s="1"/>
      <c r="C414" s="2"/>
      <c r="D414" s="1"/>
      <c r="E414" s="1"/>
      <c r="H414" s="1"/>
      <c r="K414" s="1"/>
      <c r="M414" s="1"/>
      <c r="N414" s="1"/>
      <c r="O414" s="1"/>
      <c r="T414" s="1"/>
    </row>
    <row r="415" spans="1:20" x14ac:dyDescent="0.3">
      <c r="A415" s="1" t="s">
        <v>177</v>
      </c>
      <c r="B415" s="1"/>
      <c r="C415" s="2"/>
      <c r="D415" s="1"/>
      <c r="E415" s="1"/>
      <c r="H415" s="1"/>
      <c r="K415" s="1"/>
      <c r="M415" s="1"/>
      <c r="N415" s="1"/>
      <c r="O415" s="1"/>
      <c r="T415" s="1"/>
    </row>
    <row r="416" spans="1:20" x14ac:dyDescent="0.3">
      <c r="A416" s="1" t="s">
        <v>177</v>
      </c>
      <c r="B416" s="1"/>
      <c r="C416" s="2"/>
      <c r="D416" s="1"/>
      <c r="E416" s="1"/>
      <c r="H416" s="1"/>
      <c r="K416" s="1"/>
      <c r="M416" s="1"/>
      <c r="N416" s="1"/>
      <c r="O416" s="1"/>
      <c r="T416" s="1"/>
    </row>
    <row r="417" spans="1:20" x14ac:dyDescent="0.3">
      <c r="A417" s="1" t="s">
        <v>177</v>
      </c>
      <c r="B417" s="1"/>
      <c r="C417" s="2"/>
      <c r="D417" s="1"/>
      <c r="E417" s="1"/>
      <c r="H417" s="1"/>
      <c r="K417" s="1"/>
      <c r="M417" s="1"/>
      <c r="N417" s="1"/>
      <c r="O417" s="1"/>
      <c r="T417" s="1"/>
    </row>
    <row r="418" spans="1:20" x14ac:dyDescent="0.3">
      <c r="A418" s="1" t="s">
        <v>177</v>
      </c>
      <c r="B418" s="1"/>
      <c r="C418" s="2"/>
      <c r="D418" s="1"/>
      <c r="E418" s="1"/>
      <c r="H418" s="1"/>
      <c r="K418" s="1"/>
      <c r="M418" s="1"/>
      <c r="N418" s="1"/>
      <c r="O418" s="1"/>
      <c r="T418" s="1"/>
    </row>
    <row r="419" spans="1:20" x14ac:dyDescent="0.3">
      <c r="A419" s="1" t="s">
        <v>177</v>
      </c>
      <c r="B419" s="1"/>
      <c r="C419" s="2"/>
      <c r="D419" s="1"/>
      <c r="E419" s="1"/>
      <c r="H419" s="1"/>
      <c r="K419" s="1"/>
      <c r="M419" s="1"/>
      <c r="N419" s="1"/>
      <c r="O419" s="1"/>
      <c r="T419" s="1"/>
    </row>
    <row r="420" spans="1:20" x14ac:dyDescent="0.3">
      <c r="A420" s="1" t="s">
        <v>177</v>
      </c>
      <c r="B420" s="1"/>
      <c r="C420" s="2"/>
      <c r="D420" s="1"/>
      <c r="E420" s="1"/>
      <c r="H420" s="1"/>
      <c r="K420" s="1"/>
      <c r="M420" s="1"/>
      <c r="N420" s="1"/>
      <c r="O420" s="1"/>
      <c r="T420" s="1"/>
    </row>
    <row r="421" spans="1:20" x14ac:dyDescent="0.3">
      <c r="A421" s="1" t="s">
        <v>177</v>
      </c>
      <c r="B421" s="1"/>
      <c r="C421" s="2"/>
      <c r="D421" s="1"/>
      <c r="E421" s="1"/>
      <c r="H421" s="1"/>
      <c r="K421" s="1"/>
      <c r="M421" s="1"/>
      <c r="N421" s="1"/>
      <c r="O421" s="1"/>
      <c r="T421" s="1"/>
    </row>
    <row r="422" spans="1:20" x14ac:dyDescent="0.3">
      <c r="A422" s="1" t="s">
        <v>177</v>
      </c>
      <c r="B422" s="1"/>
      <c r="C422" s="2"/>
      <c r="D422" s="1"/>
      <c r="E422" s="1"/>
      <c r="H422" s="1"/>
      <c r="K422" s="1"/>
      <c r="M422" s="1"/>
      <c r="N422" s="1"/>
      <c r="O422" s="1"/>
      <c r="T422" s="1"/>
    </row>
    <row r="423" spans="1:20" x14ac:dyDescent="0.3">
      <c r="A423" s="1" t="s">
        <v>177</v>
      </c>
      <c r="B423" s="1"/>
      <c r="C423" s="2"/>
      <c r="D423" s="1"/>
      <c r="E423" s="1"/>
      <c r="H423" s="1"/>
      <c r="K423" s="1"/>
      <c r="M423" s="1"/>
      <c r="N423" s="1"/>
      <c r="O423" s="1"/>
      <c r="T423" s="1"/>
    </row>
    <row r="424" spans="1:20" x14ac:dyDescent="0.3">
      <c r="A424" s="1" t="s">
        <v>177</v>
      </c>
      <c r="B424" s="1"/>
      <c r="C424" s="2"/>
      <c r="D424" s="1"/>
      <c r="E424" s="1"/>
      <c r="H424" s="1"/>
      <c r="K424" s="1"/>
      <c r="M424" s="1"/>
      <c r="N424" s="1"/>
      <c r="O424" s="1"/>
      <c r="T424" s="1"/>
    </row>
    <row r="425" spans="1:20" x14ac:dyDescent="0.3">
      <c r="A425" s="1" t="s">
        <v>177</v>
      </c>
      <c r="B425" s="1"/>
      <c r="C425" s="2"/>
      <c r="D425" s="1"/>
      <c r="E425" s="1"/>
      <c r="H425" s="1"/>
      <c r="K425" s="1"/>
      <c r="M425" s="1"/>
      <c r="N425" s="1"/>
      <c r="O425" s="1"/>
      <c r="T425" s="1"/>
    </row>
    <row r="426" spans="1:20" x14ac:dyDescent="0.3">
      <c r="A426" s="1" t="s">
        <v>177</v>
      </c>
      <c r="B426" s="1"/>
      <c r="C426" s="2"/>
      <c r="D426" s="1"/>
      <c r="E426" s="1"/>
      <c r="H426" s="1"/>
      <c r="K426" s="1"/>
      <c r="M426" s="1"/>
      <c r="N426" s="1"/>
      <c r="O426" s="1"/>
      <c r="T426" s="1"/>
    </row>
    <row r="427" spans="1:20" x14ac:dyDescent="0.3">
      <c r="A427" s="1" t="s">
        <v>177</v>
      </c>
      <c r="B427" s="1"/>
      <c r="C427" s="2"/>
      <c r="D427" s="1"/>
      <c r="E427" s="1"/>
      <c r="H427" s="1"/>
      <c r="K427" s="1"/>
      <c r="M427" s="1"/>
      <c r="N427" s="1"/>
      <c r="O427" s="1"/>
      <c r="T427" s="1"/>
    </row>
    <row r="428" spans="1:20" x14ac:dyDescent="0.3">
      <c r="A428" s="1" t="s">
        <v>177</v>
      </c>
      <c r="B428" s="1"/>
      <c r="C428" s="2"/>
      <c r="D428" s="1"/>
      <c r="E428" s="1"/>
      <c r="H428" s="1"/>
      <c r="K428" s="1"/>
      <c r="M428" s="1"/>
      <c r="N428" s="1"/>
      <c r="O428" s="1"/>
      <c r="T428" s="1"/>
    </row>
    <row r="429" spans="1:20" x14ac:dyDescent="0.3">
      <c r="A429" s="1" t="s">
        <v>177</v>
      </c>
      <c r="B429" s="1"/>
      <c r="C429" s="2"/>
      <c r="D429" s="1"/>
      <c r="E429" s="1"/>
      <c r="H429" s="1"/>
      <c r="K429" s="1"/>
      <c r="M429" s="1"/>
      <c r="N429" s="1"/>
      <c r="O429" s="1"/>
      <c r="T429" s="1"/>
    </row>
    <row r="430" spans="1:20" x14ac:dyDescent="0.3">
      <c r="A430" s="1" t="s">
        <v>177</v>
      </c>
      <c r="B430" s="1"/>
      <c r="C430" s="2"/>
      <c r="D430" s="1"/>
      <c r="E430" s="1"/>
      <c r="H430" s="1"/>
      <c r="K430" s="1"/>
      <c r="M430" s="1"/>
      <c r="N430" s="1"/>
      <c r="O430" s="1"/>
      <c r="T430" s="1"/>
    </row>
    <row r="431" spans="1:20" x14ac:dyDescent="0.3">
      <c r="A431" s="1" t="s">
        <v>177</v>
      </c>
      <c r="B431" s="1"/>
      <c r="C431" s="2"/>
      <c r="D431" s="1"/>
      <c r="E431" s="1"/>
      <c r="H431" s="1"/>
      <c r="K431" s="1"/>
      <c r="M431" s="1"/>
      <c r="N431" s="1"/>
      <c r="O431" s="1"/>
      <c r="T431" s="1"/>
    </row>
    <row r="432" spans="1:20" x14ac:dyDescent="0.3">
      <c r="A432" s="1" t="s">
        <v>177</v>
      </c>
      <c r="B432" s="1"/>
      <c r="C432" s="2"/>
      <c r="D432" s="1"/>
      <c r="E432" s="1"/>
      <c r="H432" s="1"/>
      <c r="K432" s="1"/>
      <c r="M432" s="1"/>
      <c r="N432" s="1"/>
      <c r="O432" s="1"/>
      <c r="T432" s="1"/>
    </row>
    <row r="433" spans="1:20" x14ac:dyDescent="0.3">
      <c r="A433" s="1" t="s">
        <v>177</v>
      </c>
      <c r="B433" s="1"/>
      <c r="C433" s="2"/>
      <c r="D433" s="1"/>
      <c r="E433" s="1"/>
      <c r="H433" s="1"/>
      <c r="K433" s="1"/>
      <c r="M433" s="1"/>
      <c r="N433" s="1"/>
      <c r="O433" s="1"/>
      <c r="T433" s="1"/>
    </row>
    <row r="434" spans="1:20" x14ac:dyDescent="0.3">
      <c r="A434" s="1" t="s">
        <v>177</v>
      </c>
      <c r="B434" s="1"/>
      <c r="C434" s="2"/>
      <c r="D434" s="1"/>
      <c r="E434" s="1"/>
      <c r="H434" s="1"/>
      <c r="K434" s="1"/>
      <c r="M434" s="1"/>
      <c r="N434" s="1"/>
      <c r="O434" s="1"/>
      <c r="T434" s="1"/>
    </row>
    <row r="435" spans="1:20" x14ac:dyDescent="0.3">
      <c r="A435" s="1" t="s">
        <v>177</v>
      </c>
      <c r="B435" s="1"/>
      <c r="C435" s="2"/>
      <c r="D435" s="1"/>
      <c r="E435" s="1"/>
      <c r="H435" s="1"/>
      <c r="K435" s="1"/>
      <c r="M435" s="1"/>
      <c r="N435" s="1"/>
      <c r="O435" s="1"/>
      <c r="T435" s="1"/>
    </row>
    <row r="436" spans="1:20" x14ac:dyDescent="0.3">
      <c r="A436" s="1" t="s">
        <v>177</v>
      </c>
      <c r="B436" s="1"/>
      <c r="C436" s="2"/>
      <c r="D436" s="1"/>
      <c r="E436" s="1"/>
      <c r="H436" s="1"/>
      <c r="K436" s="1"/>
      <c r="M436" s="1"/>
      <c r="N436" s="1"/>
      <c r="O436" s="1"/>
      <c r="T436" s="1"/>
    </row>
    <row r="437" spans="1:20" x14ac:dyDescent="0.3">
      <c r="A437" s="1" t="s">
        <v>177</v>
      </c>
      <c r="B437" s="1"/>
      <c r="C437" s="2"/>
      <c r="D437" s="1"/>
      <c r="E437" s="1"/>
      <c r="H437" s="1"/>
      <c r="K437" s="1"/>
      <c r="M437" s="1"/>
      <c r="N437" s="1"/>
      <c r="O437" s="1"/>
      <c r="T437" s="1"/>
    </row>
    <row r="438" spans="1:20" x14ac:dyDescent="0.3">
      <c r="A438" s="1" t="s">
        <v>177</v>
      </c>
      <c r="B438" s="1"/>
      <c r="C438" s="2"/>
      <c r="D438" s="1"/>
      <c r="E438" s="1"/>
      <c r="H438" s="1"/>
      <c r="K438" s="1"/>
      <c r="M438" s="1"/>
      <c r="N438" s="1"/>
      <c r="O438" s="1"/>
      <c r="T438" s="1"/>
    </row>
    <row r="439" spans="1:20" x14ac:dyDescent="0.3">
      <c r="A439" s="1" t="s">
        <v>177</v>
      </c>
      <c r="B439" s="1"/>
      <c r="C439" s="2"/>
      <c r="D439" s="1"/>
      <c r="E439" s="1"/>
      <c r="H439" s="1"/>
      <c r="K439" s="1"/>
      <c r="M439" s="1"/>
      <c r="N439" s="1"/>
      <c r="O439" s="1"/>
      <c r="T439" s="1"/>
    </row>
    <row r="440" spans="1:20" x14ac:dyDescent="0.3">
      <c r="A440" s="1" t="s">
        <v>177</v>
      </c>
      <c r="B440" s="1"/>
      <c r="C440" s="2"/>
      <c r="D440" s="1"/>
      <c r="E440" s="1"/>
      <c r="H440" s="1"/>
      <c r="K440" s="1"/>
      <c r="M440" s="1"/>
      <c r="N440" s="1"/>
      <c r="O440" s="1"/>
      <c r="T440" s="1"/>
    </row>
    <row r="441" spans="1:20" x14ac:dyDescent="0.3">
      <c r="A441" s="1" t="s">
        <v>177</v>
      </c>
      <c r="B441" s="1"/>
      <c r="C441" s="2"/>
      <c r="D441" s="1"/>
      <c r="E441" s="1"/>
      <c r="H441" s="1"/>
      <c r="K441" s="1"/>
      <c r="M441" s="1"/>
      <c r="N441" s="1"/>
      <c r="O441" s="1"/>
      <c r="T441" s="1"/>
    </row>
    <row r="442" spans="1:20" x14ac:dyDescent="0.3">
      <c r="A442" s="1" t="s">
        <v>177</v>
      </c>
      <c r="B442" s="1"/>
      <c r="C442" s="2"/>
      <c r="D442" s="1"/>
      <c r="E442" s="1"/>
      <c r="H442" s="1"/>
      <c r="K442" s="1"/>
      <c r="M442" s="1"/>
      <c r="N442" s="1"/>
      <c r="O442" s="1"/>
      <c r="T442" s="1"/>
    </row>
    <row r="443" spans="1:20" x14ac:dyDescent="0.3">
      <c r="A443" s="1" t="s">
        <v>177</v>
      </c>
      <c r="B443" s="1"/>
      <c r="C443" s="2"/>
      <c r="D443" s="1"/>
      <c r="E443" s="1"/>
      <c r="H443" s="1"/>
      <c r="K443" s="1"/>
      <c r="M443" s="1"/>
      <c r="N443" s="1"/>
      <c r="O443" s="1"/>
      <c r="T443" s="1"/>
    </row>
    <row r="444" spans="1:20" x14ac:dyDescent="0.3">
      <c r="A444" s="1" t="s">
        <v>177</v>
      </c>
      <c r="B444" s="1"/>
      <c r="C444" s="2"/>
      <c r="D444" s="1"/>
      <c r="E444" s="1"/>
      <c r="H444" s="1"/>
      <c r="K444" s="1"/>
      <c r="M444" s="1"/>
      <c r="N444" s="1"/>
      <c r="O444" s="1"/>
      <c r="T444" s="1"/>
    </row>
    <row r="445" spans="1:20" x14ac:dyDescent="0.3">
      <c r="A445" s="1" t="s">
        <v>177</v>
      </c>
      <c r="B445" s="1"/>
      <c r="C445" s="2"/>
      <c r="D445" s="1"/>
      <c r="E445" s="1"/>
      <c r="H445" s="1"/>
      <c r="K445" s="1"/>
      <c r="M445" s="1"/>
      <c r="N445" s="1"/>
      <c r="O445" s="1"/>
      <c r="T445" s="1"/>
    </row>
    <row r="446" spans="1:20" x14ac:dyDescent="0.3">
      <c r="A446" s="1" t="s">
        <v>177</v>
      </c>
      <c r="B446" s="1"/>
      <c r="C446" s="2"/>
      <c r="D446" s="1"/>
      <c r="E446" s="1"/>
      <c r="H446" s="1"/>
      <c r="K446" s="1"/>
      <c r="M446" s="1"/>
      <c r="N446" s="1"/>
      <c r="O446" s="1"/>
      <c r="T446" s="1"/>
    </row>
    <row r="447" spans="1:20" x14ac:dyDescent="0.3">
      <c r="A447" s="1" t="s">
        <v>177</v>
      </c>
      <c r="B447" s="1"/>
      <c r="C447" s="2"/>
      <c r="D447" s="1"/>
      <c r="E447" s="1"/>
      <c r="H447" s="1"/>
      <c r="K447" s="1"/>
      <c r="M447" s="1"/>
      <c r="N447" s="1"/>
      <c r="O447" s="1"/>
      <c r="T447" s="1"/>
    </row>
    <row r="448" spans="1:20" x14ac:dyDescent="0.3">
      <c r="A448" s="1" t="s">
        <v>177</v>
      </c>
      <c r="B448" s="1"/>
      <c r="C448" s="2"/>
      <c r="D448" s="1"/>
      <c r="E448" s="1"/>
      <c r="H448" s="1"/>
      <c r="K448" s="1"/>
      <c r="M448" s="1"/>
      <c r="N448" s="1"/>
      <c r="O448" s="1"/>
      <c r="T448" s="1"/>
    </row>
    <row r="449" spans="1:20" x14ac:dyDescent="0.3">
      <c r="A449" s="1" t="s">
        <v>177</v>
      </c>
      <c r="B449" s="1"/>
      <c r="C449" s="2"/>
      <c r="D449" s="1"/>
      <c r="E449" s="1"/>
      <c r="H449" s="1"/>
      <c r="K449" s="1"/>
      <c r="M449" s="1"/>
      <c r="N449" s="1"/>
      <c r="O449" s="1"/>
      <c r="T449" s="1"/>
    </row>
    <row r="450" spans="1:20" x14ac:dyDescent="0.3">
      <c r="A450" s="1" t="s">
        <v>177</v>
      </c>
      <c r="B450" s="1"/>
      <c r="C450" s="2"/>
      <c r="D450" s="1"/>
      <c r="E450" s="1"/>
      <c r="H450" s="1"/>
      <c r="K450" s="1"/>
      <c r="M450" s="1"/>
      <c r="N450" s="1"/>
      <c r="O450" s="1"/>
      <c r="T450" s="1"/>
    </row>
    <row r="451" spans="1:20" x14ac:dyDescent="0.3">
      <c r="A451" s="1" t="s">
        <v>177</v>
      </c>
      <c r="B451" s="1"/>
      <c r="C451" s="2"/>
      <c r="D451" s="1"/>
      <c r="E451" s="1"/>
      <c r="H451" s="1"/>
      <c r="K451" s="1"/>
      <c r="M451" s="1"/>
      <c r="N451" s="1"/>
      <c r="O451" s="1"/>
      <c r="T451" s="1"/>
    </row>
    <row r="452" spans="1:20" x14ac:dyDescent="0.3">
      <c r="A452" s="1" t="s">
        <v>177</v>
      </c>
      <c r="B452" s="1"/>
      <c r="C452" s="2"/>
      <c r="D452" s="1"/>
      <c r="E452" s="1"/>
      <c r="H452" s="1"/>
      <c r="K452" s="1"/>
      <c r="M452" s="1"/>
      <c r="N452" s="1"/>
      <c r="O452" s="1"/>
      <c r="T452" s="1"/>
    </row>
    <row r="453" spans="1:20" x14ac:dyDescent="0.3">
      <c r="A453" s="1" t="s">
        <v>177</v>
      </c>
      <c r="B453" s="1"/>
      <c r="C453" s="2"/>
      <c r="D453" s="1"/>
      <c r="E453" s="1"/>
      <c r="H453" s="1"/>
      <c r="K453" s="1"/>
      <c r="M453" s="1"/>
      <c r="N453" s="1"/>
      <c r="O453" s="1"/>
      <c r="T453" s="1"/>
    </row>
    <row r="454" spans="1:20" x14ac:dyDescent="0.3">
      <c r="A454" s="1" t="s">
        <v>177</v>
      </c>
      <c r="B454" s="1"/>
      <c r="C454" s="2"/>
      <c r="D454" s="1"/>
      <c r="E454" s="1"/>
      <c r="H454" s="1"/>
      <c r="K454" s="1"/>
      <c r="M454" s="1"/>
      <c r="N454" s="1"/>
      <c r="O454" s="1"/>
      <c r="T454" s="1"/>
    </row>
    <row r="455" spans="1:20" x14ac:dyDescent="0.3">
      <c r="A455" s="1" t="s">
        <v>177</v>
      </c>
      <c r="B455" s="1"/>
      <c r="C455" s="2"/>
      <c r="D455" s="1"/>
      <c r="E455" s="1"/>
      <c r="H455" s="1"/>
      <c r="K455" s="1"/>
      <c r="M455" s="1"/>
      <c r="N455" s="1"/>
      <c r="O455" s="1"/>
      <c r="T455" s="1"/>
    </row>
    <row r="456" spans="1:20" x14ac:dyDescent="0.3">
      <c r="A456" s="1" t="s">
        <v>177</v>
      </c>
      <c r="B456" s="1"/>
      <c r="C456" s="2"/>
      <c r="D456" s="1"/>
      <c r="E456" s="1"/>
      <c r="H456" s="1"/>
      <c r="K456" s="1"/>
      <c r="M456" s="1"/>
      <c r="N456" s="1"/>
      <c r="O456" s="1"/>
      <c r="T456" s="1"/>
    </row>
    <row r="457" spans="1:20" x14ac:dyDescent="0.3">
      <c r="A457" s="1" t="s">
        <v>177</v>
      </c>
      <c r="B457" s="1"/>
      <c r="C457" s="2"/>
      <c r="D457" s="1"/>
      <c r="E457" s="1"/>
      <c r="H457" s="1"/>
      <c r="K457" s="1"/>
      <c r="M457" s="1"/>
      <c r="N457" s="1"/>
      <c r="O457" s="1"/>
      <c r="T457" s="1"/>
    </row>
    <row r="458" spans="1:20" x14ac:dyDescent="0.3">
      <c r="A458" s="1" t="s">
        <v>177</v>
      </c>
      <c r="B458" s="1"/>
      <c r="C458" s="2"/>
      <c r="D458" s="1"/>
      <c r="E458" s="1"/>
      <c r="H458" s="1"/>
      <c r="K458" s="1"/>
      <c r="M458" s="1"/>
      <c r="N458" s="1"/>
      <c r="O458" s="1"/>
      <c r="T458" s="1"/>
    </row>
    <row r="459" spans="1:20" x14ac:dyDescent="0.3">
      <c r="A459" s="1" t="s">
        <v>177</v>
      </c>
      <c r="B459" s="1"/>
      <c r="C459" s="2"/>
      <c r="D459" s="1"/>
      <c r="E459" s="1"/>
      <c r="H459" s="1"/>
      <c r="K459" s="1"/>
      <c r="M459" s="1"/>
      <c r="N459" s="1"/>
      <c r="O459" s="1"/>
      <c r="T459" s="1"/>
    </row>
    <row r="460" spans="1:20" x14ac:dyDescent="0.3">
      <c r="A460" s="1" t="s">
        <v>177</v>
      </c>
      <c r="B460" s="1"/>
      <c r="C460" s="2"/>
      <c r="D460" s="1"/>
      <c r="E460" s="1"/>
      <c r="H460" s="1"/>
      <c r="K460" s="1"/>
      <c r="M460" s="1"/>
      <c r="N460" s="1"/>
      <c r="O460" s="1"/>
      <c r="T460" s="1"/>
    </row>
    <row r="461" spans="1:20" x14ac:dyDescent="0.3">
      <c r="A461" s="1" t="s">
        <v>177</v>
      </c>
      <c r="B461" s="1"/>
      <c r="C461" s="2"/>
      <c r="D461" s="1"/>
      <c r="E461" s="1"/>
      <c r="H461" s="1"/>
      <c r="K461" s="1"/>
      <c r="M461" s="1"/>
      <c r="N461" s="1"/>
      <c r="O461" s="1"/>
      <c r="T461" s="1"/>
    </row>
    <row r="462" spans="1:20" x14ac:dyDescent="0.3">
      <c r="A462" s="1" t="s">
        <v>177</v>
      </c>
      <c r="B462" s="1"/>
      <c r="C462" s="2"/>
      <c r="D462" s="1"/>
      <c r="E462" s="1"/>
      <c r="H462" s="1"/>
      <c r="K462" s="1"/>
      <c r="M462" s="1"/>
      <c r="N462" s="1"/>
      <c r="O462" s="1"/>
      <c r="T462" s="1"/>
    </row>
    <row r="463" spans="1:20" x14ac:dyDescent="0.3">
      <c r="A463" s="1" t="s">
        <v>177</v>
      </c>
      <c r="B463" s="1"/>
      <c r="C463" s="2"/>
      <c r="D463" s="1"/>
      <c r="E463" s="1"/>
      <c r="H463" s="1"/>
      <c r="K463" s="1"/>
      <c r="M463" s="1"/>
      <c r="N463" s="1"/>
      <c r="O463" s="1"/>
      <c r="T463" s="1"/>
    </row>
    <row r="464" spans="1:20" x14ac:dyDescent="0.3">
      <c r="A464" s="1" t="s">
        <v>177</v>
      </c>
      <c r="B464" s="1"/>
      <c r="C464" s="2"/>
      <c r="D464" s="1"/>
      <c r="E464" s="1"/>
      <c r="H464" s="1"/>
      <c r="K464" s="1"/>
      <c r="M464" s="1"/>
      <c r="N464" s="1"/>
      <c r="O464" s="1"/>
      <c r="T464" s="1"/>
    </row>
    <row r="465" spans="1:20" x14ac:dyDescent="0.3">
      <c r="A465" s="1" t="s">
        <v>177</v>
      </c>
      <c r="B465" s="1"/>
      <c r="C465" s="2"/>
      <c r="D465" s="1"/>
      <c r="E465" s="1"/>
      <c r="H465" s="1"/>
      <c r="K465" s="1"/>
      <c r="M465" s="1"/>
      <c r="N465" s="1"/>
      <c r="O465" s="1"/>
      <c r="T465" s="1"/>
    </row>
    <row r="466" spans="1:20" x14ac:dyDescent="0.3">
      <c r="A466" s="1" t="s">
        <v>177</v>
      </c>
      <c r="B466" s="1"/>
      <c r="C466" s="2"/>
      <c r="D466" s="1"/>
      <c r="E466" s="1"/>
      <c r="H466" s="1"/>
      <c r="K466" s="1"/>
      <c r="M466" s="1"/>
      <c r="N466" s="1"/>
      <c r="O466" s="1"/>
      <c r="T466" s="1"/>
    </row>
    <row r="467" spans="1:20" x14ac:dyDescent="0.3">
      <c r="A467" s="1" t="s">
        <v>177</v>
      </c>
      <c r="B467" s="1"/>
      <c r="C467" s="2"/>
      <c r="D467" s="1"/>
      <c r="E467" s="1"/>
      <c r="H467" s="1"/>
      <c r="K467" s="1"/>
      <c r="M467" s="1"/>
      <c r="N467" s="1"/>
      <c r="O467" s="1"/>
      <c r="T467" s="1"/>
    </row>
    <row r="468" spans="1:20" x14ac:dyDescent="0.3">
      <c r="A468" s="1" t="s">
        <v>177</v>
      </c>
      <c r="B468" s="1"/>
      <c r="C468" s="2"/>
      <c r="D468" s="1"/>
      <c r="E468" s="1"/>
      <c r="H468" s="1"/>
      <c r="K468" s="1"/>
      <c r="M468" s="1"/>
      <c r="N468" s="1"/>
      <c r="O468" s="1"/>
      <c r="T468" s="1"/>
    </row>
    <row r="469" spans="1:20" x14ac:dyDescent="0.3">
      <c r="A469" s="1" t="s">
        <v>177</v>
      </c>
      <c r="B469" s="1"/>
      <c r="C469" s="2"/>
      <c r="D469" s="1"/>
      <c r="E469" s="1"/>
      <c r="H469" s="1"/>
      <c r="K469" s="1"/>
      <c r="M469" s="1"/>
      <c r="N469" s="1"/>
      <c r="O469" s="1"/>
      <c r="T469" s="1"/>
    </row>
    <row r="470" spans="1:20" x14ac:dyDescent="0.3">
      <c r="A470" s="1" t="s">
        <v>177</v>
      </c>
      <c r="B470" s="1"/>
      <c r="C470" s="2"/>
      <c r="D470" s="1"/>
      <c r="E470" s="1"/>
      <c r="H470" s="1"/>
      <c r="K470" s="1"/>
      <c r="M470" s="1"/>
      <c r="N470" s="1"/>
      <c r="O470" s="1"/>
      <c r="T470" s="1"/>
    </row>
    <row r="471" spans="1:20" x14ac:dyDescent="0.3">
      <c r="A471" s="1" t="s">
        <v>177</v>
      </c>
      <c r="B471" s="1"/>
      <c r="C471" s="2"/>
      <c r="D471" s="1"/>
      <c r="E471" s="1"/>
      <c r="H471" s="1"/>
      <c r="K471" s="1"/>
      <c r="M471" s="1"/>
      <c r="N471" s="1"/>
      <c r="O471" s="1"/>
      <c r="T471" s="1"/>
    </row>
    <row r="472" spans="1:20" x14ac:dyDescent="0.3">
      <c r="A472" s="1" t="s">
        <v>177</v>
      </c>
      <c r="B472" s="1"/>
      <c r="C472" s="2"/>
      <c r="D472" s="1"/>
      <c r="E472" s="1"/>
      <c r="H472" s="1"/>
      <c r="K472" s="1"/>
      <c r="M472" s="1"/>
      <c r="N472" s="1"/>
      <c r="O472" s="1"/>
      <c r="T472" s="1"/>
    </row>
    <row r="473" spans="1:20" x14ac:dyDescent="0.3">
      <c r="A473" s="1" t="s">
        <v>177</v>
      </c>
      <c r="B473" s="1"/>
      <c r="C473" s="2"/>
      <c r="D473" s="1"/>
      <c r="E473" s="1"/>
      <c r="H473" s="1"/>
      <c r="K473" s="1"/>
      <c r="M473" s="1"/>
      <c r="N473" s="1"/>
      <c r="O473" s="1"/>
      <c r="T473" s="1"/>
    </row>
    <row r="474" spans="1:20" x14ac:dyDescent="0.3">
      <c r="A474" s="1" t="s">
        <v>177</v>
      </c>
      <c r="B474" s="1"/>
      <c r="C474" s="2"/>
      <c r="D474" s="1"/>
      <c r="E474" s="1"/>
      <c r="H474" s="1"/>
      <c r="K474" s="1"/>
      <c r="M474" s="1"/>
      <c r="N474" s="1"/>
      <c r="O474" s="1"/>
      <c r="T474" s="1"/>
    </row>
    <row r="475" spans="1:20" x14ac:dyDescent="0.3">
      <c r="A475" s="1" t="s">
        <v>177</v>
      </c>
      <c r="B475" s="1"/>
      <c r="C475" s="2"/>
      <c r="D475" s="1"/>
      <c r="E475" s="1"/>
      <c r="H475" s="1"/>
      <c r="K475" s="1"/>
      <c r="M475" s="1"/>
      <c r="N475" s="1"/>
      <c r="O475" s="1"/>
      <c r="T475" s="1"/>
    </row>
    <row r="476" spans="1:20" x14ac:dyDescent="0.3">
      <c r="A476" s="1" t="s">
        <v>177</v>
      </c>
      <c r="B476" s="1"/>
      <c r="C476" s="2"/>
      <c r="D476" s="1"/>
      <c r="E476" s="1"/>
      <c r="H476" s="1"/>
      <c r="K476" s="1"/>
      <c r="M476" s="1"/>
      <c r="N476" s="1"/>
      <c r="O476" s="1"/>
      <c r="T476" s="1"/>
    </row>
    <row r="477" spans="1:20" x14ac:dyDescent="0.3">
      <c r="A477" s="1" t="s">
        <v>177</v>
      </c>
      <c r="B477" s="1"/>
      <c r="C477" s="2"/>
      <c r="D477" s="1"/>
      <c r="E477" s="1"/>
      <c r="H477" s="1"/>
      <c r="K477" s="1"/>
      <c r="M477" s="1"/>
      <c r="N477" s="1"/>
      <c r="O477" s="1"/>
      <c r="T477" s="1"/>
    </row>
    <row r="478" spans="1:20" x14ac:dyDescent="0.3">
      <c r="A478" s="1" t="s">
        <v>177</v>
      </c>
      <c r="B478" s="1"/>
      <c r="C478" s="2"/>
      <c r="D478" s="1"/>
      <c r="E478" s="1"/>
      <c r="H478" s="1"/>
      <c r="K478" s="1"/>
      <c r="M478" s="1"/>
      <c r="N478" s="1"/>
      <c r="O478" s="1"/>
      <c r="T478" s="1"/>
    </row>
    <row r="479" spans="1:20" x14ac:dyDescent="0.3">
      <c r="A479" s="1" t="s">
        <v>177</v>
      </c>
      <c r="B479" s="1"/>
      <c r="C479" s="2"/>
      <c r="D479" s="1"/>
      <c r="E479" s="1"/>
      <c r="H479" s="1"/>
      <c r="K479" s="1"/>
      <c r="M479" s="1"/>
      <c r="N479" s="1"/>
      <c r="O479" s="1"/>
      <c r="T479" s="1"/>
    </row>
    <row r="480" spans="1:20" x14ac:dyDescent="0.3">
      <c r="A480" s="1" t="s">
        <v>177</v>
      </c>
      <c r="B480" s="1"/>
      <c r="C480" s="2"/>
      <c r="D480" s="1"/>
      <c r="E480" s="1"/>
      <c r="H480" s="1"/>
      <c r="K480" s="1"/>
      <c r="M480" s="1"/>
      <c r="N480" s="1"/>
      <c r="O480" s="1"/>
      <c r="T480" s="1"/>
    </row>
    <row r="481" spans="1:20" x14ac:dyDescent="0.3">
      <c r="A481" s="1" t="s">
        <v>177</v>
      </c>
      <c r="B481" s="1"/>
      <c r="C481" s="2"/>
      <c r="D481" s="1"/>
      <c r="E481" s="1"/>
      <c r="H481" s="1"/>
      <c r="K481" s="1"/>
      <c r="M481" s="1"/>
      <c r="N481" s="1"/>
      <c r="O481" s="1"/>
      <c r="T481" s="1"/>
    </row>
    <row r="482" spans="1:20" x14ac:dyDescent="0.3">
      <c r="A482" s="1" t="s">
        <v>177</v>
      </c>
      <c r="B482" s="1"/>
      <c r="C482" s="2"/>
      <c r="D482" s="1"/>
      <c r="E482" s="1"/>
      <c r="H482" s="1"/>
      <c r="K482" s="1"/>
      <c r="M482" s="1"/>
      <c r="N482" s="1"/>
      <c r="O482" s="1"/>
      <c r="T482" s="1"/>
    </row>
    <row r="483" spans="1:20" x14ac:dyDescent="0.3">
      <c r="A483" s="1" t="s">
        <v>177</v>
      </c>
      <c r="B483" s="1"/>
      <c r="C483" s="2"/>
      <c r="D483" s="1"/>
      <c r="E483" s="1"/>
      <c r="H483" s="1"/>
      <c r="K483" s="1"/>
      <c r="M483" s="1"/>
      <c r="N483" s="1"/>
      <c r="O483" s="1"/>
      <c r="T483" s="1"/>
    </row>
    <row r="484" spans="1:20" x14ac:dyDescent="0.3">
      <c r="A484" s="1" t="s">
        <v>177</v>
      </c>
      <c r="B484" s="1"/>
      <c r="C484" s="2"/>
      <c r="D484" s="1"/>
      <c r="E484" s="1"/>
      <c r="H484" s="1"/>
      <c r="K484" s="1"/>
      <c r="M484" s="1"/>
      <c r="N484" s="1"/>
      <c r="O484" s="1"/>
      <c r="T484" s="1"/>
    </row>
    <row r="485" spans="1:20" x14ac:dyDescent="0.3">
      <c r="A485" s="1" t="s">
        <v>177</v>
      </c>
      <c r="B485" s="1"/>
      <c r="C485" s="2"/>
      <c r="D485" s="1"/>
      <c r="E485" s="1"/>
      <c r="H485" s="1"/>
      <c r="K485" s="1"/>
      <c r="M485" s="1"/>
      <c r="N485" s="1"/>
      <c r="O485" s="1"/>
      <c r="T485" s="1"/>
    </row>
    <row r="486" spans="1:20" x14ac:dyDescent="0.3">
      <c r="A486" s="1" t="s">
        <v>177</v>
      </c>
      <c r="B486" s="1"/>
      <c r="C486" s="2"/>
      <c r="D486" s="1"/>
      <c r="E486" s="1"/>
      <c r="H486" s="1"/>
      <c r="K486" s="1"/>
      <c r="M486" s="1"/>
      <c r="N486" s="1"/>
      <c r="O486" s="1"/>
      <c r="T486" s="1"/>
    </row>
    <row r="487" spans="1:20" x14ac:dyDescent="0.3">
      <c r="A487" s="1" t="s">
        <v>177</v>
      </c>
      <c r="B487" s="1"/>
      <c r="C487" s="2"/>
      <c r="D487" s="1"/>
      <c r="E487" s="1"/>
      <c r="H487" s="1"/>
      <c r="K487" s="1"/>
      <c r="M487" s="1"/>
      <c r="N487" s="1"/>
      <c r="O487" s="1"/>
      <c r="T487" s="1"/>
    </row>
    <row r="488" spans="1:20" x14ac:dyDescent="0.3">
      <c r="A488" s="1" t="s">
        <v>177</v>
      </c>
      <c r="B488" s="1"/>
      <c r="C488" s="2"/>
      <c r="D488" s="1"/>
      <c r="E488" s="1"/>
      <c r="H488" s="1"/>
      <c r="K488" s="1"/>
      <c r="M488" s="1"/>
      <c r="N488" s="1"/>
      <c r="O488" s="1"/>
      <c r="T488" s="1"/>
    </row>
    <row r="489" spans="1:20" x14ac:dyDescent="0.3">
      <c r="A489" s="1" t="s">
        <v>177</v>
      </c>
      <c r="B489" s="1"/>
      <c r="C489" s="2"/>
      <c r="D489" s="1"/>
      <c r="E489" s="1"/>
      <c r="H489" s="1"/>
      <c r="K489" s="1"/>
      <c r="M489" s="1"/>
      <c r="N489" s="1"/>
      <c r="O489" s="1"/>
      <c r="T489" s="1"/>
    </row>
    <row r="490" spans="1:20" x14ac:dyDescent="0.3">
      <c r="A490" s="1" t="s">
        <v>177</v>
      </c>
      <c r="B490" s="1"/>
      <c r="C490" s="2"/>
      <c r="D490" s="1"/>
      <c r="E490" s="1"/>
      <c r="H490" s="1"/>
      <c r="K490" s="1"/>
      <c r="M490" s="1"/>
      <c r="N490" s="1"/>
      <c r="O490" s="1"/>
      <c r="T490" s="1"/>
    </row>
    <row r="491" spans="1:20" x14ac:dyDescent="0.3">
      <c r="A491" s="1" t="s">
        <v>177</v>
      </c>
      <c r="B491" s="1"/>
      <c r="C491" s="2"/>
      <c r="D491" s="1"/>
      <c r="E491" s="1"/>
      <c r="H491" s="1"/>
      <c r="K491" s="1"/>
      <c r="M491" s="1"/>
      <c r="N491" s="1"/>
      <c r="O491" s="1"/>
      <c r="T491" s="1"/>
    </row>
    <row r="492" spans="1:20" x14ac:dyDescent="0.3">
      <c r="A492" s="1" t="s">
        <v>177</v>
      </c>
      <c r="B492" s="1"/>
      <c r="C492" s="2"/>
      <c r="D492" s="1"/>
      <c r="E492" s="1"/>
      <c r="H492" s="1"/>
      <c r="K492" s="1"/>
      <c r="M492" s="1"/>
      <c r="N492" s="1"/>
      <c r="O492" s="1"/>
      <c r="T492" s="1"/>
    </row>
    <row r="493" spans="1:20" x14ac:dyDescent="0.3">
      <c r="A493" s="1" t="s">
        <v>177</v>
      </c>
      <c r="B493" s="1"/>
      <c r="C493" s="2"/>
      <c r="D493" s="1"/>
      <c r="E493" s="1"/>
      <c r="H493" s="1"/>
      <c r="K493" s="1"/>
      <c r="M493" s="1"/>
      <c r="N493" s="1"/>
      <c r="O493" s="1"/>
      <c r="T493" s="1"/>
    </row>
    <row r="494" spans="1:20" x14ac:dyDescent="0.3">
      <c r="A494" s="1" t="s">
        <v>177</v>
      </c>
      <c r="B494" s="1"/>
      <c r="C494" s="2"/>
      <c r="D494" s="1"/>
      <c r="E494" s="1"/>
      <c r="H494" s="1"/>
      <c r="K494" s="1"/>
      <c r="M494" s="1"/>
      <c r="N494" s="1"/>
      <c r="O494" s="1"/>
      <c r="T494" s="1"/>
    </row>
    <row r="495" spans="1:20" x14ac:dyDescent="0.3">
      <c r="A495" s="1" t="s">
        <v>177</v>
      </c>
      <c r="B495" s="1"/>
      <c r="C495" s="2"/>
      <c r="D495" s="1"/>
      <c r="E495" s="1"/>
      <c r="H495" s="1"/>
      <c r="K495" s="1"/>
      <c r="M495" s="1"/>
      <c r="N495" s="1"/>
      <c r="O495" s="1"/>
      <c r="T495" s="1"/>
    </row>
    <row r="496" spans="1:20" x14ac:dyDescent="0.3">
      <c r="A496" s="1" t="s">
        <v>177</v>
      </c>
      <c r="B496" s="1"/>
      <c r="C496" s="2"/>
      <c r="D496" s="1"/>
      <c r="E496" s="1"/>
      <c r="H496" s="1"/>
      <c r="K496" s="1"/>
      <c r="M496" s="1"/>
      <c r="N496" s="1"/>
      <c r="O496" s="1"/>
      <c r="T496" s="1"/>
    </row>
    <row r="497" spans="1:20" x14ac:dyDescent="0.3">
      <c r="A497" s="1" t="s">
        <v>177</v>
      </c>
      <c r="B497" s="1"/>
      <c r="C497" s="2"/>
      <c r="D497" s="1"/>
      <c r="E497" s="1"/>
      <c r="H497" s="1"/>
      <c r="K497" s="1"/>
      <c r="M497" s="1"/>
      <c r="N497" s="1"/>
      <c r="O497" s="1"/>
      <c r="T497" s="1"/>
    </row>
    <row r="498" spans="1:20" x14ac:dyDescent="0.3">
      <c r="A498" s="1" t="s">
        <v>177</v>
      </c>
      <c r="B498" s="1"/>
      <c r="C498" s="2"/>
      <c r="D498" s="1"/>
      <c r="E498" s="1"/>
      <c r="H498" s="1"/>
      <c r="K498" s="1"/>
      <c r="M498" s="1"/>
      <c r="N498" s="1"/>
      <c r="O498" s="1"/>
      <c r="T498" s="1"/>
    </row>
    <row r="499" spans="1:20" x14ac:dyDescent="0.3">
      <c r="A499" s="1" t="s">
        <v>177</v>
      </c>
      <c r="B499" s="1"/>
      <c r="C499" s="2"/>
      <c r="D499" s="1"/>
      <c r="E499" s="1"/>
      <c r="H499" s="1"/>
      <c r="K499" s="1"/>
      <c r="M499" s="1"/>
      <c r="N499" s="1"/>
      <c r="O499" s="1"/>
      <c r="T499" s="1"/>
    </row>
    <row r="500" spans="1:20" x14ac:dyDescent="0.3">
      <c r="A500" s="1" t="s">
        <v>177</v>
      </c>
      <c r="B500" s="1"/>
      <c r="C500" s="2"/>
      <c r="D500" s="1"/>
      <c r="E500" s="1"/>
      <c r="H500" s="1"/>
      <c r="K500" s="1"/>
      <c r="M500" s="1"/>
      <c r="N500" s="1"/>
      <c r="O500" s="1"/>
      <c r="T500" s="1"/>
    </row>
    <row r="501" spans="1:20" x14ac:dyDescent="0.3">
      <c r="A501" s="1" t="s">
        <v>177</v>
      </c>
      <c r="B501" s="1"/>
      <c r="C501" s="2"/>
      <c r="D501" s="1"/>
      <c r="E501" s="1"/>
      <c r="H501" s="1"/>
      <c r="K501" s="1"/>
      <c r="M501" s="1"/>
      <c r="N501" s="1"/>
      <c r="O501" s="1"/>
      <c r="T501" s="1"/>
    </row>
    <row r="502" spans="1:20" x14ac:dyDescent="0.3">
      <c r="A502" s="1" t="s">
        <v>177</v>
      </c>
      <c r="B502" s="1"/>
      <c r="C502" s="2"/>
      <c r="D502" s="1"/>
      <c r="E502" s="1"/>
      <c r="H502" s="1"/>
      <c r="K502" s="1"/>
      <c r="M502" s="1"/>
      <c r="N502" s="1"/>
      <c r="O502" s="1"/>
      <c r="T502" s="1"/>
    </row>
    <row r="503" spans="1:20" x14ac:dyDescent="0.3">
      <c r="A503" s="1" t="s">
        <v>177</v>
      </c>
      <c r="B503" s="1"/>
      <c r="C503" s="2"/>
      <c r="D503" s="1"/>
      <c r="E503" s="1"/>
      <c r="H503" s="1"/>
      <c r="K503" s="1"/>
      <c r="M503" s="1"/>
      <c r="N503" s="1"/>
      <c r="O503" s="1"/>
      <c r="T503" s="1"/>
    </row>
    <row r="504" spans="1:20" x14ac:dyDescent="0.3">
      <c r="A504" s="1" t="s">
        <v>177</v>
      </c>
      <c r="B504" s="1"/>
      <c r="C504" s="2"/>
      <c r="D504" s="1"/>
      <c r="E504" s="1"/>
      <c r="H504" s="1"/>
      <c r="K504" s="1"/>
      <c r="M504" s="1"/>
      <c r="N504" s="1"/>
      <c r="O504" s="1"/>
      <c r="T504" s="1"/>
    </row>
    <row r="505" spans="1:20" x14ac:dyDescent="0.3">
      <c r="A505" s="1" t="s">
        <v>177</v>
      </c>
      <c r="B505" s="1"/>
      <c r="C505" s="2"/>
      <c r="D505" s="1"/>
      <c r="E505" s="1"/>
      <c r="H505" s="1"/>
      <c r="K505" s="1"/>
      <c r="M505" s="1"/>
      <c r="N505" s="1"/>
      <c r="O505" s="1"/>
      <c r="T505" s="1"/>
    </row>
    <row r="506" spans="1:20" x14ac:dyDescent="0.3">
      <c r="A506" s="1" t="s">
        <v>177</v>
      </c>
      <c r="B506" s="1"/>
      <c r="C506" s="2"/>
      <c r="D506" s="1"/>
      <c r="E506" s="1"/>
      <c r="H506" s="1"/>
      <c r="K506" s="1"/>
      <c r="M506" s="1"/>
      <c r="N506" s="1"/>
      <c r="O506" s="1"/>
      <c r="T506" s="1"/>
    </row>
    <row r="507" spans="1:20" x14ac:dyDescent="0.3">
      <c r="A507" s="1" t="s">
        <v>177</v>
      </c>
      <c r="B507" s="1"/>
      <c r="C507" s="2"/>
      <c r="D507" s="1"/>
      <c r="E507" s="1"/>
      <c r="H507" s="1"/>
      <c r="K507" s="1"/>
      <c r="M507" s="1"/>
      <c r="N507" s="1"/>
      <c r="O507" s="1"/>
      <c r="T507" s="1"/>
    </row>
    <row r="508" spans="1:20" x14ac:dyDescent="0.3">
      <c r="A508" s="1" t="s">
        <v>177</v>
      </c>
      <c r="B508" s="1"/>
      <c r="C508" s="2"/>
      <c r="D508" s="1"/>
      <c r="E508" s="1"/>
      <c r="H508" s="1"/>
      <c r="K508" s="1"/>
      <c r="M508" s="1"/>
      <c r="N508" s="1"/>
      <c r="O508" s="1"/>
      <c r="T508" s="1"/>
    </row>
    <row r="509" spans="1:20" x14ac:dyDescent="0.3">
      <c r="A509" s="1" t="s">
        <v>177</v>
      </c>
      <c r="B509" s="1"/>
      <c r="C509" s="2"/>
      <c r="D509" s="1"/>
      <c r="E509" s="1"/>
      <c r="H509" s="1"/>
      <c r="K509" s="1"/>
      <c r="M509" s="1"/>
      <c r="N509" s="1"/>
      <c r="O509" s="1"/>
      <c r="T509" s="1"/>
    </row>
    <row r="510" spans="1:20" x14ac:dyDescent="0.3">
      <c r="A510" s="1" t="s">
        <v>177</v>
      </c>
      <c r="B510" s="1"/>
      <c r="C510" s="2"/>
      <c r="D510" s="1"/>
      <c r="E510" s="1"/>
      <c r="H510" s="1"/>
      <c r="K510" s="1"/>
      <c r="M510" s="1"/>
      <c r="N510" s="1"/>
      <c r="O510" s="1"/>
      <c r="T510" s="1"/>
    </row>
    <row r="511" spans="1:20" x14ac:dyDescent="0.3">
      <c r="A511" s="1" t="s">
        <v>177</v>
      </c>
      <c r="B511" s="1"/>
      <c r="C511" s="2"/>
      <c r="D511" s="1"/>
      <c r="E511" s="1"/>
      <c r="H511" s="1"/>
      <c r="K511" s="1"/>
      <c r="M511" s="1"/>
      <c r="N511" s="1"/>
      <c r="O511" s="1"/>
      <c r="T511" s="1"/>
    </row>
    <row r="512" spans="1:20" x14ac:dyDescent="0.3">
      <c r="A512" s="1" t="s">
        <v>177</v>
      </c>
      <c r="B512" s="1"/>
      <c r="C512" s="2"/>
      <c r="D512" s="1"/>
      <c r="E512" s="1"/>
      <c r="H512" s="1"/>
      <c r="K512" s="1"/>
      <c r="M512" s="1"/>
      <c r="N512" s="1"/>
      <c r="O512" s="1"/>
      <c r="T512" s="1"/>
    </row>
    <row r="513" spans="1:20" x14ac:dyDescent="0.3">
      <c r="A513" s="1" t="s">
        <v>177</v>
      </c>
      <c r="B513" s="1"/>
      <c r="C513" s="2"/>
      <c r="D513" s="1"/>
      <c r="E513" s="1"/>
      <c r="H513" s="1"/>
      <c r="K513" s="1"/>
      <c r="M513" s="1"/>
      <c r="N513" s="1"/>
      <c r="O513" s="1"/>
      <c r="T513" s="1"/>
    </row>
    <row r="514" spans="1:20" x14ac:dyDescent="0.3">
      <c r="A514" s="1" t="s">
        <v>177</v>
      </c>
      <c r="B514" s="1"/>
      <c r="C514" s="2"/>
      <c r="D514" s="1"/>
      <c r="E514" s="1"/>
      <c r="H514" s="1"/>
      <c r="K514" s="1"/>
      <c r="M514" s="1"/>
      <c r="N514" s="1"/>
      <c r="O514" s="1"/>
      <c r="T514" s="1"/>
    </row>
    <row r="515" spans="1:20" x14ac:dyDescent="0.3">
      <c r="A515" s="1" t="s">
        <v>177</v>
      </c>
      <c r="B515" s="1"/>
      <c r="C515" s="2"/>
      <c r="D515" s="1"/>
      <c r="E515" s="1"/>
      <c r="H515" s="1"/>
      <c r="K515" s="1"/>
      <c r="M515" s="1"/>
      <c r="N515" s="1"/>
      <c r="O515" s="1"/>
      <c r="T515" s="1"/>
    </row>
    <row r="516" spans="1:20" x14ac:dyDescent="0.3">
      <c r="A516" s="1" t="s">
        <v>177</v>
      </c>
      <c r="B516" s="1"/>
      <c r="C516" s="2"/>
      <c r="D516" s="1"/>
      <c r="E516" s="1"/>
      <c r="H516" s="1"/>
      <c r="K516" s="1"/>
      <c r="M516" s="1"/>
      <c r="N516" s="1"/>
      <c r="O516" s="1"/>
      <c r="T516" s="1"/>
    </row>
    <row r="517" spans="1:20" x14ac:dyDescent="0.3">
      <c r="A517" s="1" t="s">
        <v>177</v>
      </c>
      <c r="B517" s="1"/>
      <c r="C517" s="2"/>
      <c r="D517" s="1"/>
      <c r="E517" s="1"/>
      <c r="H517" s="1"/>
      <c r="K517" s="1"/>
      <c r="M517" s="1"/>
      <c r="N517" s="1"/>
      <c r="O517" s="1"/>
      <c r="T517" s="1"/>
    </row>
    <row r="518" spans="1:20" x14ac:dyDescent="0.3">
      <c r="A518" s="1" t="s">
        <v>177</v>
      </c>
      <c r="B518" s="1"/>
      <c r="C518" s="2"/>
      <c r="D518" s="1"/>
      <c r="E518" s="1"/>
      <c r="H518" s="1"/>
      <c r="K518" s="1"/>
      <c r="M518" s="1"/>
      <c r="N518" s="1"/>
      <c r="O518" s="1"/>
      <c r="T518" s="1"/>
    </row>
    <row r="519" spans="1:20" x14ac:dyDescent="0.3">
      <c r="A519" s="1" t="s">
        <v>177</v>
      </c>
      <c r="B519" s="1"/>
      <c r="C519" s="2"/>
      <c r="D519" s="1"/>
      <c r="E519" s="1"/>
      <c r="H519" s="1"/>
      <c r="K519" s="1"/>
      <c r="M519" s="1"/>
      <c r="N519" s="1"/>
      <c r="O519" s="1"/>
      <c r="T519" s="1"/>
    </row>
    <row r="520" spans="1:20" x14ac:dyDescent="0.3">
      <c r="A520" s="1" t="s">
        <v>177</v>
      </c>
      <c r="B520" s="1"/>
      <c r="C520" s="2"/>
      <c r="D520" s="1"/>
      <c r="E520" s="1"/>
      <c r="H520" s="1"/>
      <c r="K520" s="1"/>
      <c r="M520" s="1"/>
      <c r="N520" s="1"/>
      <c r="O520" s="1"/>
      <c r="T520" s="1"/>
    </row>
    <row r="521" spans="1:20" x14ac:dyDescent="0.3">
      <c r="A521" s="1" t="s">
        <v>177</v>
      </c>
      <c r="B521" s="1"/>
      <c r="C521" s="2"/>
      <c r="D521" s="1"/>
      <c r="E521" s="1"/>
      <c r="H521" s="1"/>
      <c r="K521" s="1"/>
      <c r="M521" s="1"/>
      <c r="N521" s="1"/>
      <c r="O521" s="1"/>
      <c r="T521" s="1"/>
    </row>
    <row r="522" spans="1:20" x14ac:dyDescent="0.3">
      <c r="A522" s="1" t="s">
        <v>177</v>
      </c>
      <c r="B522" s="1"/>
      <c r="C522" s="2"/>
      <c r="D522" s="1"/>
      <c r="E522" s="1"/>
      <c r="H522" s="1"/>
      <c r="K522" s="1"/>
      <c r="M522" s="1"/>
      <c r="N522" s="1"/>
      <c r="O522" s="1"/>
      <c r="T522" s="1"/>
    </row>
    <row r="523" spans="1:20" x14ac:dyDescent="0.3">
      <c r="A523" s="1" t="s">
        <v>177</v>
      </c>
      <c r="B523" s="1"/>
      <c r="C523" s="2"/>
      <c r="D523" s="1"/>
      <c r="E523" s="1"/>
      <c r="H523" s="1"/>
      <c r="K523" s="1"/>
      <c r="M523" s="1"/>
      <c r="N523" s="1"/>
      <c r="O523" s="1"/>
      <c r="T523" s="1"/>
    </row>
    <row r="524" spans="1:20" x14ac:dyDescent="0.3">
      <c r="A524" s="1" t="s">
        <v>177</v>
      </c>
      <c r="B524" s="1"/>
      <c r="C524" s="2"/>
      <c r="D524" s="1"/>
      <c r="E524" s="1"/>
      <c r="H524" s="1"/>
      <c r="K524" s="1"/>
      <c r="M524" s="1"/>
      <c r="N524" s="1"/>
      <c r="O524" s="1"/>
      <c r="T524" s="1"/>
    </row>
    <row r="525" spans="1:20" x14ac:dyDescent="0.3">
      <c r="A525" s="1" t="s">
        <v>177</v>
      </c>
      <c r="B525" s="1"/>
      <c r="C525" s="2"/>
      <c r="D525" s="1"/>
      <c r="E525" s="1"/>
      <c r="H525" s="1"/>
      <c r="K525" s="1"/>
      <c r="M525" s="1"/>
      <c r="N525" s="1"/>
      <c r="O525" s="1"/>
      <c r="T525" s="1"/>
    </row>
    <row r="526" spans="1:20" x14ac:dyDescent="0.3">
      <c r="A526" s="1" t="s">
        <v>177</v>
      </c>
      <c r="B526" s="1"/>
      <c r="C526" s="2"/>
      <c r="D526" s="1"/>
      <c r="E526" s="1"/>
      <c r="H526" s="1"/>
      <c r="K526" s="1"/>
      <c r="M526" s="1"/>
      <c r="N526" s="1"/>
      <c r="O526" s="1"/>
      <c r="T526" s="1"/>
    </row>
    <row r="527" spans="1:20" x14ac:dyDescent="0.3">
      <c r="A527" s="1" t="s">
        <v>177</v>
      </c>
      <c r="B527" s="1"/>
      <c r="C527" s="2"/>
      <c r="D527" s="1"/>
      <c r="E527" s="1"/>
      <c r="H527" s="1"/>
      <c r="K527" s="1"/>
      <c r="M527" s="1"/>
      <c r="N527" s="1"/>
      <c r="O527" s="1"/>
      <c r="T527" s="1"/>
    </row>
    <row r="528" spans="1:20" x14ac:dyDescent="0.3">
      <c r="A528" s="1" t="s">
        <v>177</v>
      </c>
      <c r="B528" s="1"/>
      <c r="C528" s="2"/>
      <c r="D528" s="1"/>
      <c r="E528" s="1"/>
      <c r="H528" s="1"/>
      <c r="K528" s="1"/>
      <c r="M528" s="1"/>
      <c r="N528" s="1"/>
      <c r="O528" s="1"/>
      <c r="T528" s="1"/>
    </row>
    <row r="529" spans="1:20" x14ac:dyDescent="0.3">
      <c r="A529" s="1" t="s">
        <v>177</v>
      </c>
      <c r="B529" s="1"/>
      <c r="C529" s="2"/>
      <c r="D529" s="1"/>
      <c r="E529" s="1"/>
      <c r="H529" s="1"/>
      <c r="K529" s="1"/>
      <c r="M529" s="1"/>
      <c r="N529" s="1"/>
      <c r="O529" s="1"/>
      <c r="T529" s="1"/>
    </row>
    <row r="530" spans="1:20" x14ac:dyDescent="0.3">
      <c r="A530" s="1" t="s">
        <v>177</v>
      </c>
      <c r="B530" s="1"/>
      <c r="C530" s="2"/>
      <c r="D530" s="1"/>
      <c r="E530" s="1"/>
      <c r="H530" s="1"/>
      <c r="K530" s="1"/>
      <c r="M530" s="1"/>
      <c r="N530" s="1"/>
      <c r="O530" s="1"/>
      <c r="T530" s="1"/>
    </row>
    <row r="531" spans="1:20" x14ac:dyDescent="0.3">
      <c r="A531" s="1" t="s">
        <v>177</v>
      </c>
      <c r="B531" s="1"/>
      <c r="C531" s="2"/>
      <c r="D531" s="1"/>
      <c r="E531" s="1"/>
      <c r="H531" s="1"/>
      <c r="K531" s="1"/>
      <c r="M531" s="1"/>
      <c r="N531" s="1"/>
      <c r="O531" s="1"/>
      <c r="T531" s="1"/>
    </row>
    <row r="532" spans="1:20" x14ac:dyDescent="0.3">
      <c r="A532" s="1" t="s">
        <v>177</v>
      </c>
      <c r="B532" s="1"/>
      <c r="C532" s="2"/>
      <c r="D532" s="1"/>
      <c r="E532" s="1"/>
      <c r="H532" s="1"/>
      <c r="K532" s="1"/>
      <c r="M532" s="1"/>
      <c r="N532" s="1"/>
      <c r="O532" s="1"/>
      <c r="T532" s="1"/>
    </row>
    <row r="533" spans="1:20" x14ac:dyDescent="0.3">
      <c r="A533" s="1" t="s">
        <v>177</v>
      </c>
      <c r="B533" s="1"/>
      <c r="C533" s="2"/>
      <c r="D533" s="1"/>
      <c r="E533" s="1"/>
      <c r="H533" s="1"/>
      <c r="K533" s="1"/>
      <c r="M533" s="1"/>
      <c r="N533" s="1"/>
      <c r="O533" s="1"/>
      <c r="T533" s="1"/>
    </row>
    <row r="534" spans="1:20" x14ac:dyDescent="0.3">
      <c r="A534" s="1" t="s">
        <v>177</v>
      </c>
      <c r="B534" s="1"/>
      <c r="C534" s="2"/>
      <c r="D534" s="1"/>
      <c r="E534" s="1"/>
      <c r="H534" s="1"/>
      <c r="K534" s="1"/>
      <c r="M534" s="1"/>
      <c r="N534" s="1"/>
      <c r="O534" s="1"/>
      <c r="T534" s="1"/>
    </row>
    <row r="535" spans="1:20" x14ac:dyDescent="0.3">
      <c r="A535" s="1" t="s">
        <v>177</v>
      </c>
      <c r="B535" s="1"/>
      <c r="C535" s="2"/>
      <c r="D535" s="1"/>
      <c r="E535" s="1"/>
      <c r="H535" s="1"/>
      <c r="K535" s="1"/>
      <c r="M535" s="1"/>
      <c r="N535" s="1"/>
      <c r="O535" s="1"/>
      <c r="T535" s="1"/>
    </row>
    <row r="536" spans="1:20" x14ac:dyDescent="0.3">
      <c r="A536" s="1" t="s">
        <v>177</v>
      </c>
      <c r="B536" s="1"/>
      <c r="C536" s="2"/>
      <c r="D536" s="1"/>
      <c r="E536" s="1"/>
      <c r="H536" s="1"/>
      <c r="K536" s="1"/>
      <c r="M536" s="1"/>
      <c r="N536" s="1"/>
      <c r="O536" s="1"/>
      <c r="T536" s="1"/>
    </row>
    <row r="537" spans="1:20" x14ac:dyDescent="0.3">
      <c r="A537" s="1" t="s">
        <v>177</v>
      </c>
      <c r="B537" s="1"/>
      <c r="C537" s="2"/>
      <c r="D537" s="1"/>
      <c r="E537" s="1"/>
      <c r="H537" s="1"/>
      <c r="K537" s="1"/>
      <c r="M537" s="1"/>
      <c r="N537" s="1"/>
      <c r="O537" s="1"/>
      <c r="T537" s="1"/>
    </row>
    <row r="538" spans="1:20" x14ac:dyDescent="0.3">
      <c r="A538" s="1" t="s">
        <v>177</v>
      </c>
      <c r="B538" s="1"/>
      <c r="C538" s="2"/>
      <c r="D538" s="1"/>
      <c r="E538" s="1"/>
      <c r="H538" s="1"/>
      <c r="K538" s="1"/>
      <c r="M538" s="1"/>
      <c r="N538" s="1"/>
      <c r="O538" s="1"/>
      <c r="T538" s="1"/>
    </row>
    <row r="539" spans="1:20" x14ac:dyDescent="0.3">
      <c r="A539" s="1" t="s">
        <v>177</v>
      </c>
      <c r="B539" s="1"/>
      <c r="C539" s="2"/>
      <c r="D539" s="1"/>
      <c r="E539" s="1"/>
      <c r="H539" s="1"/>
      <c r="K539" s="1"/>
      <c r="M539" s="1"/>
      <c r="N539" s="1"/>
      <c r="O539" s="1"/>
      <c r="T539" s="1"/>
    </row>
    <row r="540" spans="1:20" x14ac:dyDescent="0.3">
      <c r="A540" s="1" t="s">
        <v>177</v>
      </c>
      <c r="B540" s="1"/>
      <c r="C540" s="2"/>
      <c r="D540" s="1"/>
      <c r="E540" s="1"/>
      <c r="H540" s="1"/>
      <c r="K540" s="1"/>
      <c r="M540" s="1"/>
      <c r="N540" s="1"/>
      <c r="O540" s="1"/>
      <c r="T540" s="1"/>
    </row>
    <row r="541" spans="1:20" x14ac:dyDescent="0.3">
      <c r="A541" s="1" t="s">
        <v>177</v>
      </c>
      <c r="B541" s="1"/>
      <c r="C541" s="2"/>
      <c r="D541" s="1"/>
      <c r="E541" s="1"/>
      <c r="H541" s="1"/>
      <c r="K541" s="1"/>
      <c r="M541" s="1"/>
      <c r="N541" s="1"/>
      <c r="O541" s="1"/>
      <c r="T541" s="1"/>
    </row>
    <row r="542" spans="1:20" x14ac:dyDescent="0.3">
      <c r="A542" s="1" t="s">
        <v>177</v>
      </c>
      <c r="B542" s="1"/>
      <c r="C542" s="2"/>
      <c r="D542" s="1"/>
      <c r="E542" s="1"/>
      <c r="H542" s="1"/>
      <c r="K542" s="1"/>
      <c r="M542" s="1"/>
      <c r="N542" s="1"/>
      <c r="O542" s="1"/>
      <c r="T542" s="1"/>
    </row>
    <row r="543" spans="1:20" x14ac:dyDescent="0.3">
      <c r="A543" s="1" t="s">
        <v>177</v>
      </c>
      <c r="B543" s="1"/>
      <c r="C543" s="2"/>
      <c r="D543" s="1"/>
      <c r="E543" s="1"/>
      <c r="H543" s="1"/>
      <c r="K543" s="1"/>
      <c r="M543" s="1"/>
      <c r="N543" s="1"/>
      <c r="O543" s="1"/>
      <c r="T543" s="1"/>
    </row>
    <row r="544" spans="1:20" x14ac:dyDescent="0.3">
      <c r="A544" s="1" t="s">
        <v>177</v>
      </c>
      <c r="B544" s="1"/>
      <c r="C544" s="2"/>
      <c r="D544" s="1"/>
      <c r="E544" s="1"/>
      <c r="H544" s="1"/>
      <c r="K544" s="1"/>
      <c r="M544" s="1"/>
      <c r="N544" s="1"/>
      <c r="O544" s="1"/>
      <c r="T544" s="1"/>
    </row>
    <row r="545" spans="1:20" x14ac:dyDescent="0.3">
      <c r="A545" s="1" t="s">
        <v>177</v>
      </c>
      <c r="B545" s="1"/>
      <c r="C545" s="2"/>
      <c r="D545" s="1"/>
      <c r="E545" s="1"/>
      <c r="H545" s="1"/>
      <c r="K545" s="1"/>
      <c r="M545" s="1"/>
      <c r="N545" s="1"/>
      <c r="O545" s="1"/>
      <c r="T545" s="1"/>
    </row>
    <row r="546" spans="1:20" x14ac:dyDescent="0.3">
      <c r="A546" s="1" t="s">
        <v>177</v>
      </c>
      <c r="B546" s="1"/>
      <c r="C546" s="2"/>
      <c r="D546" s="1"/>
      <c r="E546" s="1"/>
      <c r="H546" s="1"/>
      <c r="K546" s="1"/>
      <c r="M546" s="1"/>
      <c r="N546" s="1"/>
      <c r="O546" s="1"/>
      <c r="T546" s="1"/>
    </row>
    <row r="547" spans="1:20" x14ac:dyDescent="0.3">
      <c r="A547" s="1" t="s">
        <v>177</v>
      </c>
      <c r="B547" s="1"/>
      <c r="C547" s="2"/>
      <c r="D547" s="1"/>
      <c r="E547" s="1"/>
      <c r="H547" s="1"/>
      <c r="K547" s="1"/>
      <c r="M547" s="1"/>
      <c r="N547" s="1"/>
      <c r="O547" s="1"/>
      <c r="T547" s="1"/>
    </row>
    <row r="548" spans="1:20" x14ac:dyDescent="0.3">
      <c r="A548" s="1" t="s">
        <v>177</v>
      </c>
      <c r="B548" s="1"/>
      <c r="C548" s="2"/>
      <c r="D548" s="1"/>
      <c r="E548" s="1"/>
      <c r="H548" s="1"/>
      <c r="K548" s="1"/>
      <c r="M548" s="1"/>
      <c r="N548" s="1"/>
      <c r="O548" s="1"/>
      <c r="T548" s="1"/>
    </row>
    <row r="549" spans="1:20" x14ac:dyDescent="0.3">
      <c r="A549" s="1" t="s">
        <v>177</v>
      </c>
      <c r="B549" s="1"/>
      <c r="C549" s="2"/>
      <c r="D549" s="1"/>
      <c r="E549" s="1"/>
      <c r="H549" s="1"/>
      <c r="K549" s="1"/>
      <c r="M549" s="1"/>
      <c r="N549" s="1"/>
      <c r="O549" s="1"/>
      <c r="T549" s="1"/>
    </row>
    <row r="550" spans="1:20" x14ac:dyDescent="0.3">
      <c r="A550" s="1" t="s">
        <v>177</v>
      </c>
      <c r="B550" s="1"/>
      <c r="C550" s="2"/>
      <c r="D550" s="1"/>
      <c r="E550" s="1"/>
      <c r="H550" s="1"/>
      <c r="K550" s="1"/>
      <c r="M550" s="1"/>
      <c r="N550" s="1"/>
      <c r="O550" s="1"/>
      <c r="T550" s="1"/>
    </row>
    <row r="551" spans="1:20" x14ac:dyDescent="0.3">
      <c r="A551" s="1" t="s">
        <v>177</v>
      </c>
      <c r="B551" s="1"/>
      <c r="C551" s="2"/>
      <c r="D551" s="1"/>
      <c r="E551" s="1"/>
      <c r="H551" s="1"/>
      <c r="K551" s="1"/>
      <c r="M551" s="1"/>
      <c r="N551" s="1"/>
      <c r="O551" s="1"/>
      <c r="T551" s="1"/>
    </row>
    <row r="552" spans="1:20" x14ac:dyDescent="0.3">
      <c r="A552" s="1" t="s">
        <v>177</v>
      </c>
      <c r="B552" s="1"/>
      <c r="C552" s="2"/>
      <c r="D552" s="1"/>
      <c r="E552" s="1"/>
      <c r="H552" s="1"/>
      <c r="K552" s="1"/>
      <c r="M552" s="1"/>
      <c r="N552" s="1"/>
      <c r="O552" s="1"/>
      <c r="T552" s="1"/>
    </row>
    <row r="553" spans="1:20" x14ac:dyDescent="0.3">
      <c r="A553" s="1" t="s">
        <v>177</v>
      </c>
      <c r="B553" s="1"/>
      <c r="C553" s="2"/>
      <c r="D553" s="1"/>
      <c r="E553" s="1"/>
      <c r="H553" s="1"/>
      <c r="K553" s="1"/>
      <c r="M553" s="1"/>
      <c r="N553" s="1"/>
      <c r="O553" s="1"/>
      <c r="T553" s="1"/>
    </row>
    <row r="554" spans="1:20" x14ac:dyDescent="0.3">
      <c r="A554" s="1" t="s">
        <v>177</v>
      </c>
      <c r="B554" s="1"/>
      <c r="C554" s="2"/>
      <c r="D554" s="1"/>
      <c r="E554" s="1"/>
      <c r="H554" s="1"/>
      <c r="K554" s="1"/>
      <c r="M554" s="1"/>
      <c r="N554" s="1"/>
      <c r="O554" s="1"/>
      <c r="T554" s="1"/>
    </row>
    <row r="555" spans="1:20" x14ac:dyDescent="0.3">
      <c r="A555" s="1" t="s">
        <v>177</v>
      </c>
      <c r="B555" s="1"/>
      <c r="C555" s="2"/>
      <c r="D555" s="1"/>
      <c r="E555" s="1"/>
      <c r="H555" s="1"/>
      <c r="K555" s="1"/>
      <c r="M555" s="1"/>
      <c r="N555" s="1"/>
      <c r="O555" s="1"/>
      <c r="T555" s="1"/>
    </row>
    <row r="556" spans="1:20" x14ac:dyDescent="0.3">
      <c r="A556" s="1" t="s">
        <v>177</v>
      </c>
      <c r="B556" s="1"/>
      <c r="C556" s="2"/>
      <c r="D556" s="1"/>
      <c r="E556" s="1"/>
      <c r="H556" s="1"/>
      <c r="K556" s="1"/>
      <c r="M556" s="1"/>
      <c r="N556" s="1"/>
      <c r="O556" s="1"/>
      <c r="T556" s="1"/>
    </row>
    <row r="557" spans="1:20" x14ac:dyDescent="0.3">
      <c r="A557" s="1" t="s">
        <v>177</v>
      </c>
      <c r="B557" s="1"/>
      <c r="C557" s="2"/>
      <c r="D557" s="1"/>
      <c r="E557" s="1"/>
      <c r="H557" s="1"/>
      <c r="K557" s="1"/>
      <c r="M557" s="1"/>
      <c r="N557" s="1"/>
      <c r="O557" s="1"/>
      <c r="T557" s="1"/>
    </row>
    <row r="558" spans="1:20" x14ac:dyDescent="0.3">
      <c r="A558" s="1" t="s">
        <v>177</v>
      </c>
      <c r="B558" s="1"/>
      <c r="C558" s="2"/>
      <c r="D558" s="1"/>
      <c r="E558" s="1"/>
      <c r="H558" s="1"/>
      <c r="K558" s="1"/>
      <c r="M558" s="1"/>
      <c r="N558" s="1"/>
      <c r="O558" s="1"/>
      <c r="T558" s="1"/>
    </row>
    <row r="559" spans="1:20" x14ac:dyDescent="0.3">
      <c r="A559" s="1" t="s">
        <v>177</v>
      </c>
      <c r="B559" s="1"/>
      <c r="C559" s="2"/>
      <c r="D559" s="1"/>
      <c r="E559" s="1"/>
      <c r="H559" s="1"/>
      <c r="K559" s="1"/>
      <c r="M559" s="1"/>
      <c r="N559" s="1"/>
      <c r="O559" s="1"/>
      <c r="T559" s="1"/>
    </row>
    <row r="560" spans="1:20" x14ac:dyDescent="0.3">
      <c r="A560" s="1" t="s">
        <v>177</v>
      </c>
      <c r="B560" s="1"/>
      <c r="C560" s="2"/>
      <c r="D560" s="1"/>
      <c r="E560" s="1"/>
      <c r="H560" s="1"/>
      <c r="K560" s="1"/>
      <c r="M560" s="1"/>
      <c r="N560" s="1"/>
      <c r="O560" s="1"/>
      <c r="T560" s="1"/>
    </row>
    <row r="561" spans="1:20" x14ac:dyDescent="0.3">
      <c r="A561" s="1" t="s">
        <v>177</v>
      </c>
      <c r="B561" s="1"/>
      <c r="C561" s="2"/>
      <c r="D561" s="1"/>
      <c r="E561" s="1"/>
      <c r="H561" s="1"/>
      <c r="K561" s="1"/>
      <c r="M561" s="1"/>
      <c r="N561" s="1"/>
      <c r="O561" s="1"/>
      <c r="T561" s="1"/>
    </row>
    <row r="562" spans="1:20" x14ac:dyDescent="0.3">
      <c r="A562" s="1" t="s">
        <v>177</v>
      </c>
      <c r="B562" s="1"/>
      <c r="C562" s="2"/>
      <c r="D562" s="1"/>
      <c r="E562" s="1"/>
      <c r="H562" s="1"/>
      <c r="K562" s="1"/>
      <c r="M562" s="1"/>
      <c r="N562" s="1"/>
      <c r="O562" s="1"/>
      <c r="T562" s="1"/>
    </row>
    <row r="563" spans="1:20" x14ac:dyDescent="0.3">
      <c r="A563" s="1" t="s">
        <v>177</v>
      </c>
      <c r="B563" s="1"/>
      <c r="C563" s="2"/>
      <c r="D563" s="1"/>
      <c r="E563" s="1"/>
      <c r="H563" s="1"/>
      <c r="K563" s="1"/>
      <c r="M563" s="1"/>
      <c r="N563" s="1"/>
      <c r="O563" s="1"/>
      <c r="T563" s="1"/>
    </row>
    <row r="564" spans="1:20" x14ac:dyDescent="0.3">
      <c r="A564" s="1" t="s">
        <v>177</v>
      </c>
      <c r="B564" s="1"/>
      <c r="C564" s="2"/>
      <c r="D564" s="1"/>
      <c r="E564" s="1"/>
      <c r="H564" s="1"/>
      <c r="K564" s="1"/>
      <c r="M564" s="1"/>
      <c r="N564" s="1"/>
      <c r="O564" s="1"/>
      <c r="T564" s="1"/>
    </row>
    <row r="565" spans="1:20" x14ac:dyDescent="0.3">
      <c r="A565" s="1" t="s">
        <v>177</v>
      </c>
      <c r="B565" s="1"/>
      <c r="C565" s="2"/>
      <c r="D565" s="1"/>
      <c r="E565" s="1"/>
      <c r="H565" s="1"/>
      <c r="K565" s="1"/>
      <c r="M565" s="1"/>
      <c r="N565" s="1"/>
      <c r="O565" s="1"/>
      <c r="T565" s="1"/>
    </row>
    <row r="566" spans="1:20" x14ac:dyDescent="0.3">
      <c r="A566" s="1" t="s">
        <v>177</v>
      </c>
      <c r="B566" s="1"/>
      <c r="C566" s="2"/>
      <c r="D566" s="1"/>
      <c r="E566" s="1"/>
      <c r="H566" s="1"/>
      <c r="K566" s="1"/>
      <c r="M566" s="1"/>
      <c r="N566" s="1"/>
      <c r="O566" s="1"/>
      <c r="T566" s="1"/>
    </row>
    <row r="567" spans="1:20" x14ac:dyDescent="0.3">
      <c r="A567" s="1" t="s">
        <v>177</v>
      </c>
      <c r="B567" s="1"/>
      <c r="C567" s="2"/>
      <c r="D567" s="1"/>
      <c r="E567" s="1"/>
      <c r="H567" s="1"/>
      <c r="K567" s="1"/>
      <c r="M567" s="1"/>
      <c r="N567" s="1"/>
      <c r="O567" s="1"/>
      <c r="T567" s="1"/>
    </row>
    <row r="568" spans="1:20" x14ac:dyDescent="0.3">
      <c r="A568" s="1" t="s">
        <v>177</v>
      </c>
      <c r="B568" s="1"/>
      <c r="C568" s="2"/>
      <c r="D568" s="1"/>
      <c r="E568" s="1"/>
      <c r="H568" s="1"/>
      <c r="K568" s="1"/>
      <c r="M568" s="1"/>
      <c r="N568" s="1"/>
      <c r="O568" s="1"/>
      <c r="T568" s="1"/>
    </row>
    <row r="569" spans="1:20" x14ac:dyDescent="0.3">
      <c r="A569" s="1" t="s">
        <v>177</v>
      </c>
      <c r="B569" s="1"/>
      <c r="C569" s="2"/>
      <c r="D569" s="1"/>
      <c r="E569" s="1"/>
      <c r="H569" s="1"/>
      <c r="K569" s="1"/>
      <c r="M569" s="1"/>
      <c r="N569" s="1"/>
      <c r="O569" s="1"/>
      <c r="T569" s="1"/>
    </row>
    <row r="570" spans="1:20" x14ac:dyDescent="0.3">
      <c r="A570" s="1" t="s">
        <v>177</v>
      </c>
      <c r="B570" s="1"/>
      <c r="C570" s="2"/>
      <c r="D570" s="1"/>
      <c r="E570" s="1"/>
      <c r="H570" s="1"/>
      <c r="K570" s="1"/>
      <c r="M570" s="1"/>
      <c r="N570" s="1"/>
      <c r="O570" s="1"/>
      <c r="T570" s="1"/>
    </row>
    <row r="571" spans="1:20" x14ac:dyDescent="0.3">
      <c r="A571" s="1" t="s">
        <v>177</v>
      </c>
      <c r="B571" s="1"/>
      <c r="C571" s="2"/>
      <c r="D571" s="1"/>
      <c r="E571" s="1"/>
      <c r="H571" s="1"/>
      <c r="K571" s="1"/>
      <c r="M571" s="1"/>
      <c r="N571" s="1"/>
      <c r="O571" s="1"/>
      <c r="T571" s="1"/>
    </row>
    <row r="572" spans="1:20" x14ac:dyDescent="0.3">
      <c r="A572" s="1" t="s">
        <v>177</v>
      </c>
      <c r="B572" s="1"/>
      <c r="C572" s="2"/>
      <c r="D572" s="1"/>
      <c r="E572" s="1"/>
      <c r="H572" s="1"/>
      <c r="K572" s="1"/>
      <c r="M572" s="1"/>
      <c r="N572" s="1"/>
      <c r="O572" s="1"/>
      <c r="T572" s="1"/>
    </row>
    <row r="573" spans="1:20" x14ac:dyDescent="0.3">
      <c r="A573" s="1" t="s">
        <v>177</v>
      </c>
      <c r="B573" s="1"/>
      <c r="C573" s="2"/>
      <c r="D573" s="1"/>
      <c r="E573" s="1"/>
      <c r="H573" s="1"/>
      <c r="K573" s="1"/>
      <c r="M573" s="1"/>
      <c r="N573" s="1"/>
      <c r="O573" s="1"/>
      <c r="T573" s="1"/>
    </row>
    <row r="574" spans="1:20" x14ac:dyDescent="0.3">
      <c r="A574" s="1" t="s">
        <v>177</v>
      </c>
      <c r="B574" s="1"/>
      <c r="C574" s="2"/>
      <c r="D574" s="1"/>
      <c r="E574" s="1"/>
      <c r="H574" s="1"/>
      <c r="K574" s="1"/>
      <c r="M574" s="1"/>
      <c r="N574" s="1"/>
      <c r="O574" s="1"/>
      <c r="T574" s="1"/>
    </row>
    <row r="575" spans="1:20" x14ac:dyDescent="0.3">
      <c r="A575" s="1" t="s">
        <v>177</v>
      </c>
      <c r="B575" s="1"/>
      <c r="C575" s="2"/>
      <c r="D575" s="1"/>
      <c r="E575" s="1"/>
      <c r="H575" s="1"/>
      <c r="K575" s="1"/>
      <c r="M575" s="1"/>
      <c r="N575" s="1"/>
      <c r="O575" s="1"/>
      <c r="T575" s="1"/>
    </row>
    <row r="576" spans="1:20" x14ac:dyDescent="0.3">
      <c r="A576" s="1" t="s">
        <v>177</v>
      </c>
      <c r="B576" s="1"/>
      <c r="C576" s="2"/>
      <c r="D576" s="1"/>
      <c r="E576" s="1"/>
      <c r="H576" s="1"/>
      <c r="K576" s="1"/>
      <c r="M576" s="1"/>
      <c r="N576" s="1"/>
      <c r="O576" s="1"/>
      <c r="T576" s="1"/>
    </row>
    <row r="577" spans="1:20" x14ac:dyDescent="0.3">
      <c r="A577" s="1" t="s">
        <v>177</v>
      </c>
      <c r="B577" s="1"/>
      <c r="C577" s="2"/>
      <c r="D577" s="1"/>
      <c r="E577" s="1"/>
      <c r="H577" s="1"/>
      <c r="K577" s="1"/>
      <c r="M577" s="1"/>
      <c r="N577" s="1"/>
      <c r="O577" s="1"/>
      <c r="T577" s="1"/>
    </row>
    <row r="578" spans="1:20" x14ac:dyDescent="0.3">
      <c r="A578" s="1" t="s">
        <v>177</v>
      </c>
      <c r="B578" s="1"/>
      <c r="C578" s="2"/>
      <c r="D578" s="1"/>
      <c r="E578" s="1"/>
      <c r="H578" s="1"/>
      <c r="K578" s="1"/>
      <c r="M578" s="1"/>
      <c r="N578" s="1"/>
      <c r="O578" s="1"/>
      <c r="T578" s="1"/>
    </row>
    <row r="579" spans="1:20" x14ac:dyDescent="0.3">
      <c r="A579" s="1" t="s">
        <v>177</v>
      </c>
      <c r="B579" s="1"/>
      <c r="C579" s="2"/>
      <c r="D579" s="1"/>
      <c r="E579" s="1"/>
      <c r="H579" s="1"/>
      <c r="K579" s="1"/>
      <c r="M579" s="1"/>
      <c r="N579" s="1"/>
      <c r="O579" s="1"/>
      <c r="T579" s="1"/>
    </row>
    <row r="580" spans="1:20" x14ac:dyDescent="0.3">
      <c r="A580" s="1" t="s">
        <v>177</v>
      </c>
      <c r="B580" s="1"/>
      <c r="C580" s="2"/>
      <c r="D580" s="1"/>
      <c r="E580" s="1"/>
      <c r="H580" s="1"/>
      <c r="K580" s="1"/>
      <c r="M580" s="1"/>
      <c r="N580" s="1"/>
      <c r="O580" s="1"/>
      <c r="T580" s="1"/>
    </row>
    <row r="581" spans="1:20" x14ac:dyDescent="0.3">
      <c r="A581" s="1" t="s">
        <v>177</v>
      </c>
      <c r="B581" s="1"/>
      <c r="C581" s="2"/>
      <c r="D581" s="1"/>
      <c r="E581" s="1"/>
      <c r="H581" s="1"/>
      <c r="K581" s="1"/>
      <c r="M581" s="1"/>
      <c r="N581" s="1"/>
      <c r="O581" s="1"/>
      <c r="T581" s="1"/>
    </row>
    <row r="582" spans="1:20" x14ac:dyDescent="0.3">
      <c r="A582" s="1" t="s">
        <v>177</v>
      </c>
      <c r="B582" s="1"/>
      <c r="C582" s="2"/>
      <c r="D582" s="1"/>
      <c r="E582" s="1"/>
      <c r="H582" s="1"/>
      <c r="K582" s="1"/>
      <c r="M582" s="1"/>
      <c r="N582" s="1"/>
      <c r="O582" s="1"/>
      <c r="T582" s="1"/>
    </row>
    <row r="583" spans="1:20" x14ac:dyDescent="0.3">
      <c r="A583" s="1" t="s">
        <v>177</v>
      </c>
      <c r="B583" s="1"/>
      <c r="C583" s="2"/>
      <c r="D583" s="1"/>
      <c r="E583" s="1"/>
      <c r="H583" s="1"/>
      <c r="K583" s="1"/>
      <c r="M583" s="1"/>
      <c r="N583" s="1"/>
      <c r="O583" s="1"/>
      <c r="T583" s="1"/>
    </row>
    <row r="584" spans="1:20" x14ac:dyDescent="0.3">
      <c r="A584" s="1" t="s">
        <v>177</v>
      </c>
      <c r="B584" s="1"/>
      <c r="C584" s="2"/>
      <c r="D584" s="1"/>
      <c r="E584" s="1"/>
      <c r="H584" s="1"/>
      <c r="K584" s="1"/>
      <c r="M584" s="1"/>
      <c r="N584" s="1"/>
      <c r="O584" s="1"/>
      <c r="T584" s="1"/>
    </row>
    <row r="585" spans="1:20" x14ac:dyDescent="0.3">
      <c r="A585" s="1" t="s">
        <v>177</v>
      </c>
      <c r="B585" s="1"/>
      <c r="C585" s="2"/>
      <c r="D585" s="1"/>
      <c r="E585" s="1"/>
      <c r="H585" s="1"/>
      <c r="K585" s="1"/>
      <c r="M585" s="1"/>
      <c r="N585" s="1"/>
      <c r="O585" s="1"/>
      <c r="T585" s="1"/>
    </row>
    <row r="586" spans="1:20" x14ac:dyDescent="0.3">
      <c r="A586" s="1" t="s">
        <v>177</v>
      </c>
      <c r="B586" s="1"/>
      <c r="C586" s="2"/>
      <c r="D586" s="1"/>
      <c r="E586" s="1"/>
      <c r="H586" s="1"/>
      <c r="K586" s="1"/>
      <c r="M586" s="1"/>
      <c r="N586" s="1"/>
      <c r="O586" s="1"/>
      <c r="T586" s="1"/>
    </row>
    <row r="587" spans="1:20" x14ac:dyDescent="0.3">
      <c r="A587" s="1" t="s">
        <v>177</v>
      </c>
      <c r="B587" s="1"/>
      <c r="C587" s="2"/>
      <c r="D587" s="1"/>
      <c r="E587" s="1"/>
      <c r="H587" s="1"/>
      <c r="K587" s="1"/>
      <c r="M587" s="1"/>
      <c r="N587" s="1"/>
      <c r="O587" s="1"/>
      <c r="T587" s="1"/>
    </row>
    <row r="588" spans="1:20" x14ac:dyDescent="0.3">
      <c r="A588" s="1" t="s">
        <v>177</v>
      </c>
      <c r="B588" s="1"/>
      <c r="C588" s="2"/>
      <c r="D588" s="1"/>
      <c r="E588" s="1"/>
      <c r="H588" s="1"/>
      <c r="K588" s="1"/>
      <c r="M588" s="1"/>
      <c r="N588" s="1"/>
      <c r="O588" s="1"/>
      <c r="T588" s="1"/>
    </row>
    <row r="589" spans="1:20" x14ac:dyDescent="0.3">
      <c r="A589" s="1" t="s">
        <v>177</v>
      </c>
      <c r="B589" s="1"/>
      <c r="C589" s="2"/>
      <c r="D589" s="1"/>
      <c r="E589" s="1"/>
      <c r="H589" s="1"/>
      <c r="K589" s="1"/>
      <c r="M589" s="1"/>
      <c r="N589" s="1"/>
      <c r="O589" s="1"/>
      <c r="T589" s="1"/>
    </row>
    <row r="590" spans="1:20" x14ac:dyDescent="0.3">
      <c r="A590" s="1" t="s">
        <v>177</v>
      </c>
      <c r="B590" s="1"/>
      <c r="C590" s="2"/>
      <c r="D590" s="1"/>
      <c r="E590" s="1"/>
      <c r="H590" s="1"/>
      <c r="K590" s="1"/>
      <c r="M590" s="1"/>
      <c r="N590" s="1"/>
      <c r="O590" s="1"/>
      <c r="T590" s="1"/>
    </row>
    <row r="591" spans="1:20" x14ac:dyDescent="0.3">
      <c r="A591" s="1" t="s">
        <v>177</v>
      </c>
      <c r="B591" s="1"/>
      <c r="C591" s="2"/>
      <c r="D591" s="1"/>
      <c r="E591" s="1"/>
      <c r="H591" s="1"/>
      <c r="K591" s="1"/>
      <c r="M591" s="1"/>
      <c r="N591" s="1"/>
      <c r="O591" s="1"/>
      <c r="T591" s="1"/>
    </row>
    <row r="592" spans="1:20" x14ac:dyDescent="0.3">
      <c r="A592" s="1" t="s">
        <v>177</v>
      </c>
      <c r="B592" s="1"/>
      <c r="C592" s="2"/>
      <c r="D592" s="1"/>
      <c r="E592" s="1"/>
      <c r="H592" s="1"/>
      <c r="K592" s="1"/>
      <c r="M592" s="1"/>
      <c r="N592" s="1"/>
      <c r="O592" s="1"/>
      <c r="T592" s="1"/>
    </row>
    <row r="593" spans="1:20" x14ac:dyDescent="0.3">
      <c r="A593" s="1" t="s">
        <v>177</v>
      </c>
      <c r="B593" s="1"/>
      <c r="C593" s="2"/>
      <c r="D593" s="1"/>
      <c r="E593" s="1"/>
      <c r="H593" s="1"/>
      <c r="K593" s="1"/>
      <c r="M593" s="1"/>
      <c r="N593" s="1"/>
      <c r="O593" s="1"/>
      <c r="T593" s="1"/>
    </row>
    <row r="594" spans="1:20" x14ac:dyDescent="0.3">
      <c r="A594" s="1" t="s">
        <v>177</v>
      </c>
      <c r="B594" s="1"/>
      <c r="C594" s="2"/>
      <c r="D594" s="1"/>
      <c r="E594" s="1"/>
      <c r="H594" s="1"/>
      <c r="K594" s="1"/>
      <c r="M594" s="1"/>
      <c r="N594" s="1"/>
      <c r="O594" s="1"/>
      <c r="T594" s="1"/>
    </row>
    <row r="595" spans="1:20" x14ac:dyDescent="0.3">
      <c r="A595" s="1" t="s">
        <v>177</v>
      </c>
      <c r="B595" s="1"/>
      <c r="C595" s="2"/>
      <c r="D595" s="1"/>
      <c r="E595" s="1"/>
      <c r="H595" s="1"/>
      <c r="K595" s="1"/>
      <c r="M595" s="1"/>
      <c r="N595" s="1"/>
      <c r="O595" s="1"/>
      <c r="T595" s="1"/>
    </row>
    <row r="596" spans="1:20" x14ac:dyDescent="0.3">
      <c r="A596" s="1" t="s">
        <v>177</v>
      </c>
      <c r="B596" s="1"/>
      <c r="C596" s="2"/>
      <c r="D596" s="1"/>
      <c r="E596" s="1"/>
      <c r="H596" s="1"/>
      <c r="K596" s="1"/>
      <c r="M596" s="1"/>
      <c r="N596" s="1"/>
      <c r="O596" s="1"/>
      <c r="T596" s="1"/>
    </row>
    <row r="597" spans="1:20" x14ac:dyDescent="0.3">
      <c r="A597" s="1" t="s">
        <v>177</v>
      </c>
      <c r="B597" s="1"/>
      <c r="C597" s="2"/>
      <c r="D597" s="1"/>
      <c r="E597" s="1"/>
      <c r="H597" s="1"/>
      <c r="K597" s="1"/>
      <c r="M597" s="1"/>
      <c r="N597" s="1"/>
      <c r="O597" s="1"/>
      <c r="T597" s="1"/>
    </row>
    <row r="598" spans="1:20" x14ac:dyDescent="0.3">
      <c r="A598" s="1" t="s">
        <v>177</v>
      </c>
      <c r="B598" s="1"/>
      <c r="C598" s="2"/>
      <c r="D598" s="1"/>
      <c r="E598" s="1"/>
      <c r="H598" s="1"/>
      <c r="K598" s="1"/>
      <c r="M598" s="1"/>
      <c r="N598" s="1"/>
      <c r="O598" s="1"/>
      <c r="T598" s="1"/>
    </row>
    <row r="599" spans="1:20" x14ac:dyDescent="0.3">
      <c r="A599" s="1" t="s">
        <v>177</v>
      </c>
      <c r="B599" s="1"/>
      <c r="C599" s="2"/>
      <c r="D599" s="1"/>
      <c r="E599" s="1"/>
      <c r="H599" s="1"/>
      <c r="K599" s="1"/>
      <c r="M599" s="1"/>
      <c r="N599" s="1"/>
      <c r="O599" s="1"/>
      <c r="T599" s="1"/>
    </row>
    <row r="600" spans="1:20" x14ac:dyDescent="0.3">
      <c r="A600" s="1" t="s">
        <v>177</v>
      </c>
      <c r="B600" s="1"/>
      <c r="C600" s="2"/>
      <c r="D600" s="1"/>
      <c r="E600" s="1"/>
      <c r="H600" s="1"/>
      <c r="K600" s="1"/>
      <c r="M600" s="1"/>
      <c r="N600" s="1"/>
      <c r="O600" s="1"/>
      <c r="T600" s="1"/>
    </row>
    <row r="601" spans="1:20" x14ac:dyDescent="0.3">
      <c r="A601" s="1" t="s">
        <v>177</v>
      </c>
      <c r="B601" s="1"/>
      <c r="C601" s="2"/>
      <c r="D601" s="1"/>
      <c r="E601" s="1"/>
      <c r="H601" s="1"/>
      <c r="K601" s="1"/>
      <c r="M601" s="1"/>
      <c r="N601" s="1"/>
      <c r="O601" s="1"/>
      <c r="T601" s="1"/>
    </row>
    <row r="602" spans="1:20" x14ac:dyDescent="0.3">
      <c r="A602" s="1" t="s">
        <v>177</v>
      </c>
      <c r="B602" s="1"/>
      <c r="C602" s="2"/>
      <c r="D602" s="1"/>
      <c r="E602" s="1"/>
      <c r="H602" s="1"/>
      <c r="K602" s="1"/>
      <c r="M602" s="1"/>
      <c r="N602" s="1"/>
      <c r="O602" s="1"/>
      <c r="T602" s="1"/>
    </row>
    <row r="603" spans="1:20" x14ac:dyDescent="0.3">
      <c r="A603" s="1" t="s">
        <v>177</v>
      </c>
      <c r="B603" s="1"/>
      <c r="C603" s="2"/>
      <c r="D603" s="1"/>
      <c r="E603" s="1"/>
      <c r="H603" s="1"/>
      <c r="K603" s="1"/>
      <c r="M603" s="1"/>
      <c r="N603" s="1"/>
      <c r="O603" s="1"/>
      <c r="T603" s="1"/>
    </row>
    <row r="604" spans="1:20" x14ac:dyDescent="0.3">
      <c r="A604" s="1" t="s">
        <v>177</v>
      </c>
      <c r="B604" s="1"/>
      <c r="C604" s="2"/>
      <c r="D604" s="1"/>
      <c r="E604" s="1"/>
      <c r="H604" s="1"/>
      <c r="K604" s="1"/>
      <c r="M604" s="1"/>
      <c r="N604" s="1"/>
      <c r="O604" s="1"/>
      <c r="T604" s="1"/>
    </row>
    <row r="605" spans="1:20" x14ac:dyDescent="0.3">
      <c r="A605" s="1" t="s">
        <v>177</v>
      </c>
      <c r="B605" s="1"/>
      <c r="C605" s="2"/>
      <c r="D605" s="1"/>
      <c r="E605" s="1"/>
      <c r="H605" s="1"/>
      <c r="K605" s="1"/>
      <c r="M605" s="1"/>
      <c r="N605" s="1"/>
      <c r="O605" s="1"/>
      <c r="T605" s="1"/>
    </row>
    <row r="606" spans="1:20" x14ac:dyDescent="0.3">
      <c r="A606" s="1" t="s">
        <v>177</v>
      </c>
      <c r="B606" s="1"/>
      <c r="C606" s="2"/>
      <c r="D606" s="1"/>
      <c r="E606" s="1"/>
      <c r="H606" s="1"/>
      <c r="K606" s="1"/>
      <c r="M606" s="1"/>
      <c r="N606" s="1"/>
      <c r="O606" s="1"/>
      <c r="T606" s="1"/>
    </row>
    <row r="607" spans="1:20" x14ac:dyDescent="0.3">
      <c r="A607" s="1" t="s">
        <v>177</v>
      </c>
      <c r="B607" s="1"/>
      <c r="C607" s="2"/>
      <c r="D607" s="1"/>
      <c r="E607" s="1"/>
      <c r="H607" s="1"/>
      <c r="K607" s="1"/>
      <c r="M607" s="1"/>
      <c r="N607" s="1"/>
      <c r="O607" s="1"/>
      <c r="T607" s="1"/>
    </row>
    <row r="608" spans="1:20" x14ac:dyDescent="0.3">
      <c r="A608" s="1" t="s">
        <v>177</v>
      </c>
      <c r="B608" s="1"/>
      <c r="C608" s="2"/>
      <c r="D608" s="1"/>
      <c r="E608" s="1"/>
      <c r="H608" s="1"/>
      <c r="K608" s="1"/>
      <c r="M608" s="1"/>
      <c r="N608" s="1"/>
      <c r="O608" s="1"/>
      <c r="T608" s="1"/>
    </row>
    <row r="609" spans="1:20" x14ac:dyDescent="0.3">
      <c r="A609" s="1" t="s">
        <v>177</v>
      </c>
      <c r="B609" s="1"/>
      <c r="C609" s="2"/>
      <c r="D609" s="1"/>
      <c r="E609" s="1"/>
      <c r="H609" s="1"/>
      <c r="K609" s="1"/>
      <c r="M609" s="1"/>
      <c r="N609" s="1"/>
      <c r="O609" s="1"/>
      <c r="T609" s="1"/>
    </row>
    <row r="610" spans="1:20" x14ac:dyDescent="0.3">
      <c r="A610" s="1" t="s">
        <v>177</v>
      </c>
      <c r="B610" s="1"/>
      <c r="C610" s="2"/>
      <c r="D610" s="1"/>
      <c r="E610" s="1"/>
      <c r="H610" s="1"/>
      <c r="K610" s="1"/>
      <c r="M610" s="1"/>
      <c r="N610" s="1"/>
      <c r="O610" s="1"/>
      <c r="T610" s="1"/>
    </row>
    <row r="611" spans="1:20" x14ac:dyDescent="0.3">
      <c r="A611" s="1" t="s">
        <v>177</v>
      </c>
      <c r="B611" s="1"/>
      <c r="C611" s="2"/>
      <c r="D611" s="1"/>
      <c r="E611" s="1"/>
      <c r="H611" s="1"/>
      <c r="K611" s="1"/>
      <c r="M611" s="1"/>
      <c r="N611" s="1"/>
      <c r="O611" s="1"/>
      <c r="T611" s="1"/>
    </row>
    <row r="612" spans="1:20" x14ac:dyDescent="0.3">
      <c r="A612" s="1" t="s">
        <v>177</v>
      </c>
      <c r="B612" s="1"/>
      <c r="C612" s="2"/>
      <c r="D612" s="1"/>
      <c r="E612" s="1"/>
      <c r="H612" s="1"/>
      <c r="K612" s="1"/>
      <c r="M612" s="1"/>
      <c r="N612" s="1"/>
      <c r="O612" s="1"/>
      <c r="T612" s="1"/>
    </row>
    <row r="613" spans="1:20" x14ac:dyDescent="0.3">
      <c r="A613" s="1" t="s">
        <v>177</v>
      </c>
      <c r="B613" s="1"/>
      <c r="C613" s="2"/>
      <c r="D613" s="1"/>
      <c r="E613" s="1"/>
      <c r="H613" s="1"/>
      <c r="K613" s="1"/>
      <c r="M613" s="1"/>
      <c r="N613" s="1"/>
      <c r="O613" s="1"/>
      <c r="T613" s="1"/>
    </row>
    <row r="614" spans="1:20" x14ac:dyDescent="0.3">
      <c r="A614" s="1" t="s">
        <v>177</v>
      </c>
      <c r="B614" s="1"/>
      <c r="C614" s="2"/>
      <c r="D614" s="1"/>
      <c r="E614" s="1"/>
      <c r="H614" s="1"/>
      <c r="K614" s="1"/>
      <c r="M614" s="1"/>
      <c r="N614" s="1"/>
      <c r="O614" s="1"/>
      <c r="T614" s="1"/>
    </row>
    <row r="615" spans="1:20" x14ac:dyDescent="0.3">
      <c r="A615" s="1" t="s">
        <v>177</v>
      </c>
      <c r="B615" s="1"/>
      <c r="C615" s="2"/>
      <c r="D615" s="1"/>
      <c r="E615" s="1"/>
      <c r="H615" s="1"/>
      <c r="K615" s="1"/>
      <c r="M615" s="1"/>
      <c r="N615" s="1"/>
      <c r="O615" s="1"/>
      <c r="T615" s="1"/>
    </row>
    <row r="616" spans="1:20" x14ac:dyDescent="0.3">
      <c r="A616" s="1" t="s">
        <v>177</v>
      </c>
      <c r="B616" s="1"/>
      <c r="C616" s="2"/>
      <c r="D616" s="1"/>
      <c r="E616" s="1"/>
      <c r="H616" s="1"/>
      <c r="K616" s="1"/>
      <c r="M616" s="1"/>
      <c r="N616" s="1"/>
      <c r="O616" s="1"/>
      <c r="T616" s="1"/>
    </row>
    <row r="617" spans="1:20" x14ac:dyDescent="0.3">
      <c r="A617" s="1" t="s">
        <v>177</v>
      </c>
      <c r="B617" s="1"/>
      <c r="C617" s="2"/>
      <c r="D617" s="1"/>
      <c r="E617" s="1"/>
      <c r="H617" s="1"/>
      <c r="K617" s="1"/>
      <c r="M617" s="1"/>
      <c r="N617" s="1"/>
      <c r="O617" s="1"/>
      <c r="T617" s="1"/>
    </row>
    <row r="618" spans="1:20" x14ac:dyDescent="0.3">
      <c r="A618" s="1" t="s">
        <v>177</v>
      </c>
      <c r="B618" s="1"/>
      <c r="C618" s="2"/>
      <c r="D618" s="1"/>
      <c r="E618" s="1"/>
      <c r="H618" s="1"/>
      <c r="K618" s="1"/>
      <c r="M618" s="1"/>
      <c r="N618" s="1"/>
      <c r="O618" s="1"/>
      <c r="T618" s="1"/>
    </row>
    <row r="619" spans="1:20" x14ac:dyDescent="0.3">
      <c r="A619" s="1" t="s">
        <v>177</v>
      </c>
      <c r="B619" s="1"/>
      <c r="C619" s="2"/>
      <c r="D619" s="1"/>
      <c r="E619" s="1"/>
      <c r="H619" s="1"/>
      <c r="K619" s="1"/>
      <c r="M619" s="1"/>
      <c r="N619" s="1"/>
      <c r="O619" s="1"/>
      <c r="T619" s="1"/>
    </row>
    <row r="620" spans="1:20" x14ac:dyDescent="0.3">
      <c r="A620" s="1" t="s">
        <v>177</v>
      </c>
      <c r="B620" s="1"/>
      <c r="C620" s="2"/>
      <c r="D620" s="1"/>
      <c r="E620" s="1"/>
      <c r="H620" s="1"/>
      <c r="K620" s="1"/>
      <c r="M620" s="1"/>
      <c r="N620" s="1"/>
      <c r="O620" s="1"/>
      <c r="T620" s="1"/>
    </row>
    <row r="621" spans="1:20" x14ac:dyDescent="0.3">
      <c r="A621" s="1" t="s">
        <v>177</v>
      </c>
      <c r="B621" s="1"/>
      <c r="C621" s="2"/>
      <c r="D621" s="1"/>
      <c r="E621" s="1"/>
      <c r="H621" s="1"/>
      <c r="K621" s="1"/>
      <c r="M621" s="1"/>
      <c r="N621" s="1"/>
      <c r="O621" s="1"/>
      <c r="T621" s="1"/>
    </row>
    <row r="622" spans="1:20" x14ac:dyDescent="0.3">
      <c r="A622" s="1" t="s">
        <v>177</v>
      </c>
      <c r="B622" s="1"/>
      <c r="C622" s="2"/>
      <c r="D622" s="1"/>
      <c r="E622" s="1"/>
      <c r="H622" s="1"/>
      <c r="K622" s="1"/>
      <c r="M622" s="1"/>
      <c r="N622" s="1"/>
      <c r="O622" s="1"/>
      <c r="T622" s="1"/>
    </row>
    <row r="623" spans="1:20" x14ac:dyDescent="0.3">
      <c r="A623" s="1" t="s">
        <v>177</v>
      </c>
      <c r="B623" s="1"/>
      <c r="C623" s="2"/>
      <c r="D623" s="1"/>
      <c r="E623" s="1"/>
      <c r="H623" s="1"/>
      <c r="K623" s="1"/>
      <c r="M623" s="1"/>
      <c r="N623" s="1"/>
      <c r="O623" s="1"/>
      <c r="T623" s="1"/>
    </row>
    <row r="624" spans="1:20" x14ac:dyDescent="0.3">
      <c r="A624" s="1" t="s">
        <v>177</v>
      </c>
      <c r="B624" s="1"/>
      <c r="C624" s="2"/>
      <c r="D624" s="1"/>
      <c r="E624" s="1"/>
      <c r="H624" s="1"/>
      <c r="K624" s="1"/>
      <c r="M624" s="1"/>
      <c r="N624" s="1"/>
      <c r="O624" s="1"/>
      <c r="T624" s="1"/>
    </row>
    <row r="625" spans="1:20" x14ac:dyDescent="0.3">
      <c r="A625" s="1" t="s">
        <v>177</v>
      </c>
      <c r="B625" s="1"/>
      <c r="C625" s="2"/>
      <c r="D625" s="1"/>
      <c r="E625" s="1"/>
      <c r="H625" s="1"/>
      <c r="K625" s="1"/>
      <c r="M625" s="1"/>
      <c r="N625" s="1"/>
      <c r="O625" s="1"/>
      <c r="T625" s="1"/>
    </row>
    <row r="626" spans="1:20" x14ac:dyDescent="0.3">
      <c r="A626" s="1" t="s">
        <v>177</v>
      </c>
      <c r="B626" s="1"/>
      <c r="C626" s="2"/>
      <c r="D626" s="1"/>
      <c r="E626" s="1"/>
      <c r="H626" s="1"/>
      <c r="K626" s="1"/>
      <c r="M626" s="1"/>
      <c r="N626" s="1"/>
      <c r="O626" s="1"/>
      <c r="T626" s="1"/>
    </row>
    <row r="627" spans="1:20" x14ac:dyDescent="0.3">
      <c r="A627" s="1" t="s">
        <v>177</v>
      </c>
      <c r="B627" s="1"/>
      <c r="C627" s="2"/>
      <c r="D627" s="1"/>
      <c r="E627" s="1"/>
      <c r="H627" s="1"/>
      <c r="K627" s="1"/>
      <c r="M627" s="1"/>
      <c r="N627" s="1"/>
      <c r="O627" s="1"/>
      <c r="T627" s="1"/>
    </row>
    <row r="628" spans="1:20" x14ac:dyDescent="0.3">
      <c r="A628" s="1" t="s">
        <v>177</v>
      </c>
      <c r="B628" s="1"/>
      <c r="C628" s="2"/>
      <c r="D628" s="1"/>
      <c r="E628" s="1"/>
      <c r="H628" s="1"/>
      <c r="K628" s="1"/>
      <c r="M628" s="1"/>
      <c r="N628" s="1"/>
      <c r="O628" s="1"/>
      <c r="T628" s="1"/>
    </row>
    <row r="629" spans="1:20" x14ac:dyDescent="0.3">
      <c r="A629" s="1" t="s">
        <v>177</v>
      </c>
      <c r="B629" s="1"/>
      <c r="C629" s="2"/>
      <c r="D629" s="1"/>
      <c r="E629" s="1"/>
      <c r="H629" s="1"/>
      <c r="K629" s="1"/>
      <c r="M629" s="1"/>
      <c r="N629" s="1"/>
      <c r="O629" s="1"/>
      <c r="T629" s="1"/>
    </row>
    <row r="630" spans="1:20" x14ac:dyDescent="0.3">
      <c r="A630" s="1" t="s">
        <v>177</v>
      </c>
      <c r="B630" s="1"/>
      <c r="C630" s="2"/>
      <c r="D630" s="1"/>
      <c r="E630" s="1"/>
      <c r="H630" s="1"/>
      <c r="K630" s="1"/>
      <c r="M630" s="1"/>
      <c r="N630" s="1"/>
      <c r="O630" s="1"/>
      <c r="T630" s="1"/>
    </row>
    <row r="631" spans="1:20" x14ac:dyDescent="0.3">
      <c r="A631" s="1" t="s">
        <v>177</v>
      </c>
      <c r="B631" s="1"/>
      <c r="C631" s="2"/>
      <c r="D631" s="1"/>
      <c r="E631" s="1"/>
      <c r="H631" s="1"/>
      <c r="K631" s="1"/>
      <c r="M631" s="1"/>
      <c r="N631" s="1"/>
      <c r="O631" s="1"/>
      <c r="T631" s="1"/>
    </row>
    <row r="632" spans="1:20" x14ac:dyDescent="0.3">
      <c r="A632" s="1" t="s">
        <v>177</v>
      </c>
      <c r="B632" s="1"/>
      <c r="C632" s="2"/>
      <c r="D632" s="1"/>
      <c r="E632" s="1"/>
      <c r="H632" s="1"/>
      <c r="K632" s="1"/>
      <c r="M632" s="1"/>
      <c r="N632" s="1"/>
      <c r="O632" s="1"/>
      <c r="T632" s="1"/>
    </row>
    <row r="633" spans="1:20" x14ac:dyDescent="0.3">
      <c r="A633" s="1" t="s">
        <v>177</v>
      </c>
      <c r="B633" s="1"/>
      <c r="C633" s="2"/>
      <c r="D633" s="1"/>
      <c r="E633" s="1"/>
      <c r="H633" s="1"/>
      <c r="K633" s="1"/>
      <c r="M633" s="1"/>
      <c r="N633" s="1"/>
      <c r="O633" s="1"/>
      <c r="T633" s="1"/>
    </row>
    <row r="634" spans="1:20" x14ac:dyDescent="0.3">
      <c r="A634" s="1" t="s">
        <v>177</v>
      </c>
      <c r="B634" s="1"/>
      <c r="C634" s="2"/>
      <c r="D634" s="1"/>
      <c r="E634" s="1"/>
      <c r="H634" s="1"/>
      <c r="K634" s="1"/>
      <c r="M634" s="1"/>
      <c r="N634" s="1"/>
      <c r="O634" s="1"/>
      <c r="T634" s="1"/>
    </row>
    <row r="635" spans="1:20" x14ac:dyDescent="0.3">
      <c r="A635" s="1" t="s">
        <v>177</v>
      </c>
      <c r="B635" s="1"/>
      <c r="C635" s="2"/>
      <c r="D635" s="1"/>
      <c r="E635" s="1"/>
      <c r="H635" s="1"/>
      <c r="K635" s="1"/>
      <c r="M635" s="1"/>
      <c r="N635" s="1"/>
      <c r="O635" s="1"/>
      <c r="T635" s="1"/>
    </row>
    <row r="636" spans="1:20" x14ac:dyDescent="0.3">
      <c r="A636" s="1" t="s">
        <v>177</v>
      </c>
      <c r="B636" s="1"/>
      <c r="C636" s="2"/>
      <c r="D636" s="1"/>
      <c r="E636" s="1"/>
      <c r="H636" s="1"/>
      <c r="K636" s="1"/>
      <c r="M636" s="1"/>
      <c r="N636" s="1"/>
      <c r="O636" s="1"/>
      <c r="T636" s="1"/>
    </row>
    <row r="637" spans="1:20" x14ac:dyDescent="0.3">
      <c r="A637" s="1" t="s">
        <v>177</v>
      </c>
      <c r="B637" s="1"/>
      <c r="C637" s="2"/>
      <c r="D637" s="1"/>
      <c r="E637" s="1"/>
      <c r="H637" s="1"/>
      <c r="K637" s="1"/>
      <c r="M637" s="1"/>
      <c r="N637" s="1"/>
      <c r="O637" s="1"/>
      <c r="T637" s="1"/>
    </row>
    <row r="638" spans="1:20" x14ac:dyDescent="0.3">
      <c r="A638" s="1" t="s">
        <v>177</v>
      </c>
      <c r="B638" s="1"/>
      <c r="C638" s="2"/>
      <c r="D638" s="1"/>
      <c r="E638" s="1"/>
      <c r="H638" s="1"/>
      <c r="K638" s="1"/>
      <c r="M638" s="1"/>
      <c r="N638" s="1"/>
      <c r="O638" s="1"/>
      <c r="T638" s="1"/>
    </row>
    <row r="639" spans="1:20" x14ac:dyDescent="0.3">
      <c r="A639" s="1" t="s">
        <v>177</v>
      </c>
      <c r="B639" s="1"/>
      <c r="C639" s="2"/>
      <c r="D639" s="1"/>
      <c r="E639" s="1"/>
      <c r="H639" s="1"/>
      <c r="K639" s="1"/>
      <c r="M639" s="1"/>
      <c r="N639" s="1"/>
      <c r="O639" s="1"/>
      <c r="T639" s="1"/>
    </row>
    <row r="640" spans="1:20" x14ac:dyDescent="0.3">
      <c r="A640" s="1" t="s">
        <v>177</v>
      </c>
      <c r="B640" s="1"/>
      <c r="C640" s="2"/>
      <c r="D640" s="1"/>
      <c r="E640" s="1"/>
      <c r="H640" s="1"/>
      <c r="K640" s="1"/>
      <c r="M640" s="1"/>
      <c r="N640" s="1"/>
      <c r="O640" s="1"/>
      <c r="T640" s="1"/>
    </row>
    <row r="641" spans="1:20" x14ac:dyDescent="0.3">
      <c r="A641" s="1" t="s">
        <v>177</v>
      </c>
      <c r="B641" s="1"/>
      <c r="C641" s="2"/>
      <c r="D641" s="1"/>
      <c r="E641" s="1"/>
      <c r="H641" s="1"/>
      <c r="K641" s="1"/>
      <c r="M641" s="1"/>
      <c r="N641" s="1"/>
      <c r="O641" s="1"/>
      <c r="T641" s="1"/>
    </row>
    <row r="642" spans="1:20" x14ac:dyDescent="0.3">
      <c r="A642" s="1" t="s">
        <v>177</v>
      </c>
      <c r="B642" s="1"/>
      <c r="C642" s="2"/>
      <c r="D642" s="1"/>
      <c r="E642" s="1"/>
      <c r="H642" s="1"/>
      <c r="K642" s="1"/>
      <c r="M642" s="1"/>
      <c r="N642" s="1"/>
      <c r="O642" s="1"/>
      <c r="T642" s="1"/>
    </row>
    <row r="643" spans="1:20" x14ac:dyDescent="0.3">
      <c r="A643" s="1" t="s">
        <v>177</v>
      </c>
      <c r="B643" s="1"/>
      <c r="C643" s="2"/>
      <c r="D643" s="1"/>
      <c r="E643" s="1"/>
      <c r="H643" s="1"/>
      <c r="K643" s="1"/>
      <c r="M643" s="1"/>
      <c r="N643" s="1"/>
      <c r="O643" s="1"/>
      <c r="T643" s="1"/>
    </row>
    <row r="644" spans="1:20" x14ac:dyDescent="0.3">
      <c r="A644" s="1" t="s">
        <v>177</v>
      </c>
      <c r="B644" s="1"/>
      <c r="C644" s="2"/>
      <c r="D644" s="1"/>
      <c r="E644" s="1"/>
      <c r="H644" s="1"/>
      <c r="K644" s="1"/>
      <c r="M644" s="1"/>
      <c r="N644" s="1"/>
      <c r="O644" s="1"/>
      <c r="T644" s="1"/>
    </row>
    <row r="645" spans="1:20" x14ac:dyDescent="0.3">
      <c r="A645" s="1" t="s">
        <v>177</v>
      </c>
      <c r="B645" s="1"/>
      <c r="C645" s="2"/>
      <c r="D645" s="1"/>
      <c r="E645" s="1"/>
      <c r="H645" s="1"/>
      <c r="K645" s="1"/>
      <c r="M645" s="1"/>
      <c r="N645" s="1"/>
      <c r="O645" s="1"/>
      <c r="T645" s="1"/>
    </row>
    <row r="646" spans="1:20" x14ac:dyDescent="0.3">
      <c r="A646" s="1" t="s">
        <v>177</v>
      </c>
      <c r="B646" s="1"/>
      <c r="C646" s="2"/>
      <c r="D646" s="1"/>
      <c r="E646" s="1"/>
      <c r="H646" s="1"/>
      <c r="K646" s="1"/>
      <c r="M646" s="1"/>
      <c r="N646" s="1"/>
      <c r="O646" s="1"/>
      <c r="T646" s="1"/>
    </row>
    <row r="647" spans="1:20" x14ac:dyDescent="0.3">
      <c r="A647" s="1" t="s">
        <v>177</v>
      </c>
      <c r="B647" s="1"/>
      <c r="C647" s="2"/>
      <c r="D647" s="1"/>
      <c r="E647" s="1"/>
      <c r="H647" s="1"/>
      <c r="K647" s="1"/>
      <c r="M647" s="1"/>
      <c r="N647" s="1"/>
      <c r="O647" s="1"/>
      <c r="T647" s="1"/>
    </row>
    <row r="648" spans="1:20" x14ac:dyDescent="0.3">
      <c r="A648" s="1" t="s">
        <v>177</v>
      </c>
      <c r="B648" s="1"/>
      <c r="C648" s="2"/>
      <c r="D648" s="1"/>
      <c r="E648" s="1"/>
      <c r="H648" s="1"/>
      <c r="K648" s="1"/>
      <c r="M648" s="1"/>
      <c r="N648" s="1"/>
      <c r="O648" s="1"/>
      <c r="T648" s="1"/>
    </row>
    <row r="649" spans="1:20" x14ac:dyDescent="0.3">
      <c r="A649" s="1" t="s">
        <v>177</v>
      </c>
      <c r="B649" s="1"/>
      <c r="C649" s="2"/>
      <c r="D649" s="1"/>
      <c r="E649" s="1"/>
      <c r="H649" s="1"/>
      <c r="K649" s="1"/>
      <c r="M649" s="1"/>
      <c r="N649" s="1"/>
      <c r="O649" s="1"/>
      <c r="T649" s="1"/>
    </row>
    <row r="650" spans="1:20" x14ac:dyDescent="0.3">
      <c r="A650" s="1" t="s">
        <v>177</v>
      </c>
      <c r="B650" s="1"/>
      <c r="C650" s="2"/>
      <c r="D650" s="1"/>
      <c r="E650" s="1"/>
      <c r="H650" s="1"/>
      <c r="K650" s="1"/>
      <c r="M650" s="1"/>
      <c r="N650" s="1"/>
      <c r="O650" s="1"/>
      <c r="T650" s="1"/>
    </row>
    <row r="651" spans="1:20" x14ac:dyDescent="0.3">
      <c r="A651" s="1" t="s">
        <v>177</v>
      </c>
      <c r="B651" s="1"/>
      <c r="C651" s="2"/>
      <c r="D651" s="1"/>
      <c r="E651" s="1"/>
      <c r="H651" s="1"/>
      <c r="K651" s="1"/>
      <c r="M651" s="1"/>
      <c r="N651" s="1"/>
      <c r="O651" s="1"/>
      <c r="T651" s="1"/>
    </row>
    <row r="652" spans="1:20" x14ac:dyDescent="0.3">
      <c r="A652" s="1" t="s">
        <v>177</v>
      </c>
      <c r="B652" s="1"/>
      <c r="C652" s="2"/>
      <c r="D652" s="1"/>
      <c r="E652" s="1"/>
      <c r="H652" s="1"/>
      <c r="K652" s="1"/>
      <c r="M652" s="1"/>
      <c r="N652" s="1"/>
      <c r="O652" s="1"/>
      <c r="T652" s="1"/>
    </row>
    <row r="653" spans="1:20" x14ac:dyDescent="0.3">
      <c r="A653" s="1" t="s">
        <v>177</v>
      </c>
      <c r="B653" s="1"/>
      <c r="C653" s="2"/>
      <c r="D653" s="1"/>
      <c r="E653" s="1"/>
      <c r="H653" s="1"/>
      <c r="K653" s="1"/>
      <c r="M653" s="1"/>
      <c r="N653" s="1"/>
      <c r="O653" s="1"/>
      <c r="T653" s="1"/>
    </row>
    <row r="654" spans="1:20" x14ac:dyDescent="0.3">
      <c r="A654" s="1" t="s">
        <v>177</v>
      </c>
      <c r="B654" s="1"/>
      <c r="C654" s="2"/>
      <c r="D654" s="1"/>
      <c r="E654" s="1"/>
      <c r="H654" s="1"/>
      <c r="K654" s="1"/>
      <c r="M654" s="1"/>
      <c r="N654" s="1"/>
      <c r="O654" s="1"/>
      <c r="T654" s="1"/>
    </row>
    <row r="655" spans="1:20" x14ac:dyDescent="0.3">
      <c r="A655" s="1" t="s">
        <v>177</v>
      </c>
      <c r="B655" s="1"/>
      <c r="C655" s="2"/>
      <c r="D655" s="1"/>
      <c r="E655" s="1"/>
      <c r="H655" s="1"/>
      <c r="K655" s="1"/>
      <c r="M655" s="1"/>
      <c r="N655" s="1"/>
      <c r="O655" s="1"/>
      <c r="T655" s="1"/>
    </row>
    <row r="656" spans="1:20" x14ac:dyDescent="0.3">
      <c r="A656" s="1" t="s">
        <v>177</v>
      </c>
      <c r="B656" s="1"/>
      <c r="C656" s="2"/>
      <c r="D656" s="1"/>
      <c r="E656" s="1"/>
      <c r="H656" s="1"/>
      <c r="K656" s="1"/>
      <c r="M656" s="1"/>
      <c r="N656" s="1"/>
      <c r="O656" s="1"/>
      <c r="T656" s="1"/>
    </row>
    <row r="657" spans="1:20" x14ac:dyDescent="0.3">
      <c r="A657" s="1" t="s">
        <v>177</v>
      </c>
      <c r="B657" s="1"/>
      <c r="C657" s="2"/>
      <c r="D657" s="1"/>
      <c r="E657" s="1"/>
      <c r="H657" s="1"/>
      <c r="K657" s="1"/>
      <c r="M657" s="1"/>
      <c r="N657" s="1"/>
      <c r="O657" s="1"/>
      <c r="T657" s="1"/>
    </row>
    <row r="658" spans="1:20" x14ac:dyDescent="0.3">
      <c r="A658" s="1" t="s">
        <v>177</v>
      </c>
      <c r="B658" s="1"/>
      <c r="C658" s="2"/>
      <c r="D658" s="1"/>
      <c r="E658" s="1"/>
      <c r="H658" s="1"/>
      <c r="K658" s="1"/>
      <c r="M658" s="1"/>
      <c r="N658" s="1"/>
      <c r="O658" s="1"/>
      <c r="T658" s="1"/>
    </row>
    <row r="659" spans="1:20" x14ac:dyDescent="0.3">
      <c r="A659" s="1" t="s">
        <v>177</v>
      </c>
      <c r="B659" s="1"/>
      <c r="C659" s="2"/>
      <c r="D659" s="1"/>
      <c r="E659" s="1"/>
      <c r="H659" s="1"/>
      <c r="K659" s="1"/>
      <c r="M659" s="1"/>
      <c r="N659" s="1"/>
      <c r="O659" s="1"/>
      <c r="T659" s="1"/>
    </row>
    <row r="660" spans="1:20" x14ac:dyDescent="0.3">
      <c r="A660" s="1" t="s">
        <v>177</v>
      </c>
      <c r="B660" s="1"/>
      <c r="C660" s="2"/>
      <c r="D660" s="1"/>
      <c r="E660" s="1"/>
      <c r="H660" s="1"/>
      <c r="K660" s="1"/>
      <c r="M660" s="1"/>
      <c r="N660" s="1"/>
      <c r="O660" s="1"/>
      <c r="T660" s="1"/>
    </row>
    <row r="661" spans="1:20" x14ac:dyDescent="0.3">
      <c r="A661" s="1" t="s">
        <v>177</v>
      </c>
      <c r="B661" s="1"/>
      <c r="C661" s="2"/>
      <c r="D661" s="1"/>
      <c r="E661" s="1"/>
      <c r="H661" s="1"/>
      <c r="K661" s="1"/>
      <c r="M661" s="1"/>
      <c r="N661" s="1"/>
      <c r="O661" s="1"/>
      <c r="T661" s="1"/>
    </row>
    <row r="662" spans="1:20" x14ac:dyDescent="0.3">
      <c r="A662" s="1" t="s">
        <v>177</v>
      </c>
      <c r="B662" s="1"/>
      <c r="C662" s="2"/>
      <c r="D662" s="1"/>
      <c r="E662" s="1"/>
      <c r="H662" s="1"/>
      <c r="K662" s="1"/>
      <c r="M662" s="1"/>
      <c r="N662" s="1"/>
      <c r="O662" s="1"/>
      <c r="T662" s="1"/>
    </row>
    <row r="663" spans="1:20" x14ac:dyDescent="0.3">
      <c r="A663" s="1" t="s">
        <v>177</v>
      </c>
      <c r="B663" s="1"/>
      <c r="C663" s="2"/>
      <c r="D663" s="1"/>
      <c r="E663" s="1"/>
      <c r="H663" s="1"/>
      <c r="K663" s="1"/>
      <c r="M663" s="1"/>
      <c r="N663" s="1"/>
      <c r="O663" s="1"/>
      <c r="T663" s="1"/>
    </row>
    <row r="664" spans="1:20" x14ac:dyDescent="0.3">
      <c r="A664" s="1" t="s">
        <v>177</v>
      </c>
      <c r="B664" s="1"/>
      <c r="C664" s="2"/>
      <c r="D664" s="1"/>
      <c r="E664" s="1"/>
      <c r="H664" s="1"/>
      <c r="K664" s="1"/>
      <c r="M664" s="1"/>
      <c r="N664" s="1"/>
      <c r="O664" s="1"/>
      <c r="T664" s="1"/>
    </row>
    <row r="665" spans="1:20" x14ac:dyDescent="0.3">
      <c r="A665" s="1" t="s">
        <v>177</v>
      </c>
      <c r="B665" s="1"/>
      <c r="C665" s="2"/>
      <c r="D665" s="1"/>
      <c r="E665" s="1"/>
      <c r="H665" s="1"/>
      <c r="K665" s="1"/>
      <c r="M665" s="1"/>
      <c r="N665" s="1"/>
      <c r="O665" s="1"/>
      <c r="T665" s="1"/>
    </row>
    <row r="666" spans="1:20" x14ac:dyDescent="0.3">
      <c r="A666" s="1" t="s">
        <v>177</v>
      </c>
      <c r="B666" s="1"/>
      <c r="C666" s="2"/>
      <c r="D666" s="1"/>
      <c r="E666" s="1"/>
      <c r="H666" s="1"/>
      <c r="K666" s="1"/>
      <c r="M666" s="1"/>
      <c r="N666" s="1"/>
      <c r="O666" s="1"/>
      <c r="T666" s="1"/>
    </row>
    <row r="667" spans="1:20" x14ac:dyDescent="0.3">
      <c r="A667" s="1" t="s">
        <v>177</v>
      </c>
      <c r="B667" s="1"/>
      <c r="C667" s="2"/>
      <c r="D667" s="1"/>
      <c r="E667" s="1"/>
      <c r="H667" s="1"/>
      <c r="K667" s="1"/>
      <c r="M667" s="1"/>
      <c r="N667" s="1"/>
      <c r="O667" s="1"/>
      <c r="T667" s="1"/>
    </row>
    <row r="668" spans="1:20" x14ac:dyDescent="0.3">
      <c r="A668" s="1" t="s">
        <v>177</v>
      </c>
      <c r="B668" s="1"/>
      <c r="C668" s="2"/>
      <c r="D668" s="1"/>
      <c r="E668" s="1"/>
      <c r="H668" s="1"/>
      <c r="K668" s="1"/>
      <c r="M668" s="1"/>
      <c r="N668" s="1"/>
      <c r="O668" s="1"/>
      <c r="T668" s="1"/>
    </row>
    <row r="669" spans="1:20" x14ac:dyDescent="0.3">
      <c r="A669" s="1" t="s">
        <v>177</v>
      </c>
      <c r="B669" s="1"/>
      <c r="C669" s="2"/>
      <c r="D669" s="1"/>
      <c r="E669" s="1"/>
      <c r="H669" s="1"/>
      <c r="K669" s="1"/>
      <c r="M669" s="1"/>
      <c r="N669" s="1"/>
      <c r="O669" s="1"/>
      <c r="T669" s="1"/>
    </row>
    <row r="670" spans="1:20" x14ac:dyDescent="0.3">
      <c r="A670" s="1" t="s">
        <v>177</v>
      </c>
      <c r="B670" s="1"/>
      <c r="C670" s="2"/>
      <c r="D670" s="1"/>
      <c r="E670" s="1"/>
      <c r="H670" s="1"/>
      <c r="K670" s="1"/>
      <c r="M670" s="1"/>
      <c r="N670" s="1"/>
      <c r="O670" s="1"/>
      <c r="T670" s="1"/>
    </row>
    <row r="671" spans="1:20" x14ac:dyDescent="0.3">
      <c r="A671" s="1" t="s">
        <v>177</v>
      </c>
      <c r="B671" s="1"/>
      <c r="C671" s="2"/>
      <c r="D671" s="1"/>
      <c r="E671" s="1"/>
      <c r="H671" s="1"/>
      <c r="K671" s="1"/>
      <c r="M671" s="1"/>
      <c r="N671" s="1"/>
      <c r="O671" s="1"/>
      <c r="T671" s="1"/>
    </row>
    <row r="672" spans="1:20" x14ac:dyDescent="0.3">
      <c r="A672" s="1" t="s">
        <v>177</v>
      </c>
      <c r="B672" s="1"/>
      <c r="C672" s="2"/>
      <c r="D672" s="1"/>
      <c r="E672" s="1"/>
      <c r="H672" s="1"/>
      <c r="K672" s="1"/>
      <c r="M672" s="1"/>
      <c r="N672" s="1"/>
      <c r="O672" s="1"/>
      <c r="T672" s="1"/>
    </row>
    <row r="673" spans="1:20" x14ac:dyDescent="0.3">
      <c r="A673" s="1" t="s">
        <v>177</v>
      </c>
      <c r="B673" s="1"/>
      <c r="C673" s="2"/>
      <c r="D673" s="1"/>
      <c r="E673" s="1"/>
      <c r="H673" s="1"/>
      <c r="K673" s="1"/>
      <c r="M673" s="1"/>
      <c r="N673" s="1"/>
      <c r="O673" s="1"/>
      <c r="T673" s="1"/>
    </row>
    <row r="674" spans="1:20" x14ac:dyDescent="0.3">
      <c r="A674" s="1" t="s">
        <v>177</v>
      </c>
      <c r="B674" s="1"/>
      <c r="C674" s="2"/>
      <c r="D674" s="1"/>
      <c r="E674" s="1"/>
      <c r="H674" s="1"/>
      <c r="K674" s="1"/>
      <c r="M674" s="1"/>
      <c r="N674" s="1"/>
      <c r="O674" s="1"/>
      <c r="T674" s="1"/>
    </row>
    <row r="675" spans="1:20" x14ac:dyDescent="0.3">
      <c r="A675" s="1" t="s">
        <v>177</v>
      </c>
      <c r="B675" s="1"/>
      <c r="C675" s="2"/>
      <c r="D675" s="1"/>
      <c r="E675" s="1"/>
      <c r="H675" s="1"/>
      <c r="K675" s="1"/>
      <c r="M675" s="1"/>
      <c r="N675" s="1"/>
      <c r="O675" s="1"/>
      <c r="T675" s="1"/>
    </row>
    <row r="676" spans="1:20" x14ac:dyDescent="0.3">
      <c r="A676" s="1" t="s">
        <v>177</v>
      </c>
      <c r="B676" s="1"/>
      <c r="C676" s="2"/>
      <c r="D676" s="1"/>
      <c r="E676" s="1"/>
      <c r="H676" s="1"/>
      <c r="K676" s="1"/>
      <c r="M676" s="1"/>
      <c r="N676" s="1"/>
      <c r="O676" s="1"/>
      <c r="T676" s="1"/>
    </row>
    <row r="677" spans="1:20" x14ac:dyDescent="0.3">
      <c r="A677" s="1" t="s">
        <v>177</v>
      </c>
      <c r="B677" s="1"/>
      <c r="C677" s="2"/>
      <c r="D677" s="1"/>
      <c r="E677" s="1"/>
      <c r="H677" s="1"/>
      <c r="K677" s="1"/>
      <c r="M677" s="1"/>
      <c r="N677" s="1"/>
      <c r="O677" s="1"/>
      <c r="T677" s="1"/>
    </row>
    <row r="678" spans="1:20" x14ac:dyDescent="0.3">
      <c r="A678" s="1" t="s">
        <v>177</v>
      </c>
      <c r="B678" s="1"/>
      <c r="C678" s="2"/>
      <c r="D678" s="1"/>
      <c r="E678" s="1"/>
      <c r="H678" s="1"/>
      <c r="K678" s="1"/>
      <c r="M678" s="1"/>
      <c r="N678" s="1"/>
      <c r="O678" s="1"/>
      <c r="T678" s="1"/>
    </row>
    <row r="679" spans="1:20" x14ac:dyDescent="0.3">
      <c r="A679" s="1" t="s">
        <v>177</v>
      </c>
      <c r="B679" s="1"/>
      <c r="C679" s="2"/>
      <c r="D679" s="1"/>
      <c r="E679" s="1"/>
      <c r="H679" s="1"/>
      <c r="K679" s="1"/>
      <c r="M679" s="1"/>
      <c r="N679" s="1"/>
      <c r="O679" s="1"/>
      <c r="T679" s="1"/>
    </row>
    <row r="680" spans="1:20" x14ac:dyDescent="0.3">
      <c r="A680" s="1" t="s">
        <v>177</v>
      </c>
      <c r="B680" s="1"/>
      <c r="C680" s="2"/>
      <c r="D680" s="1"/>
      <c r="E680" s="1"/>
      <c r="H680" s="1"/>
      <c r="K680" s="1"/>
      <c r="M680" s="1"/>
      <c r="N680" s="1"/>
      <c r="O680" s="1"/>
      <c r="T680" s="1"/>
    </row>
    <row r="681" spans="1:20" x14ac:dyDescent="0.3">
      <c r="A681" s="1" t="s">
        <v>177</v>
      </c>
      <c r="B681" s="1"/>
      <c r="C681" s="2"/>
      <c r="D681" s="1"/>
      <c r="E681" s="1"/>
      <c r="H681" s="1"/>
      <c r="K681" s="1"/>
      <c r="M681" s="1"/>
      <c r="N681" s="1"/>
      <c r="O681" s="1"/>
      <c r="T681" s="1"/>
    </row>
    <row r="682" spans="1:20" x14ac:dyDescent="0.3">
      <c r="A682" s="1" t="s">
        <v>177</v>
      </c>
      <c r="B682" s="1"/>
      <c r="C682" s="2"/>
      <c r="D682" s="1"/>
      <c r="E682" s="1"/>
      <c r="H682" s="1"/>
      <c r="K682" s="1"/>
      <c r="M682" s="1"/>
      <c r="N682" s="1"/>
      <c r="O682" s="1"/>
      <c r="T682" s="1"/>
    </row>
    <row r="683" spans="1:20" x14ac:dyDescent="0.3">
      <c r="A683" s="1" t="s">
        <v>177</v>
      </c>
      <c r="B683" s="1"/>
      <c r="C683" s="2"/>
      <c r="D683" s="1"/>
      <c r="E683" s="1"/>
      <c r="H683" s="1"/>
      <c r="K683" s="1"/>
      <c r="M683" s="1"/>
      <c r="N683" s="1"/>
      <c r="O683" s="1"/>
      <c r="T683" s="1"/>
    </row>
    <row r="684" spans="1:20" x14ac:dyDescent="0.3">
      <c r="A684" s="1" t="s">
        <v>177</v>
      </c>
      <c r="B684" s="1"/>
      <c r="C684" s="2"/>
      <c r="D684" s="1"/>
      <c r="E684" s="1"/>
      <c r="H684" s="1"/>
      <c r="K684" s="1"/>
      <c r="M684" s="1"/>
      <c r="N684" s="1"/>
      <c r="O684" s="1"/>
      <c r="T684" s="1"/>
    </row>
    <row r="685" spans="1:20" x14ac:dyDescent="0.3">
      <c r="A685" s="1" t="s">
        <v>177</v>
      </c>
      <c r="B685" s="1"/>
      <c r="C685" s="2"/>
      <c r="D685" s="1"/>
      <c r="E685" s="1"/>
      <c r="H685" s="1"/>
      <c r="K685" s="1"/>
      <c r="M685" s="1"/>
      <c r="N685" s="1"/>
      <c r="O685" s="1"/>
      <c r="T685" s="1"/>
    </row>
    <row r="686" spans="1:20" x14ac:dyDescent="0.3">
      <c r="A686" s="1" t="s">
        <v>177</v>
      </c>
      <c r="B686" s="1"/>
      <c r="C686" s="2"/>
      <c r="D686" s="1"/>
      <c r="E686" s="1"/>
      <c r="H686" s="1"/>
      <c r="K686" s="1"/>
      <c r="M686" s="1"/>
      <c r="N686" s="1"/>
      <c r="O686" s="1"/>
      <c r="T686" s="1"/>
    </row>
    <row r="687" spans="1:20" x14ac:dyDescent="0.3">
      <c r="A687" s="1" t="s">
        <v>177</v>
      </c>
      <c r="B687" s="1"/>
      <c r="C687" s="2"/>
      <c r="D687" s="1"/>
      <c r="E687" s="1"/>
      <c r="H687" s="1"/>
      <c r="K687" s="1"/>
      <c r="M687" s="1"/>
      <c r="N687" s="1"/>
      <c r="O687" s="1"/>
      <c r="T687" s="1"/>
    </row>
    <row r="688" spans="1:20" x14ac:dyDescent="0.3">
      <c r="A688" s="1" t="s">
        <v>177</v>
      </c>
      <c r="B688" s="1"/>
      <c r="C688" s="2"/>
      <c r="D688" s="1"/>
      <c r="E688" s="1"/>
      <c r="H688" s="1"/>
      <c r="K688" s="1"/>
      <c r="M688" s="1"/>
      <c r="N688" s="1"/>
      <c r="O688" s="1"/>
      <c r="T688" s="1"/>
    </row>
    <row r="689" spans="1:20" x14ac:dyDescent="0.3">
      <c r="A689" s="1" t="s">
        <v>177</v>
      </c>
      <c r="B689" s="1"/>
      <c r="C689" s="2"/>
      <c r="D689" s="1"/>
      <c r="E689" s="1"/>
      <c r="H689" s="1"/>
      <c r="K689" s="1"/>
      <c r="M689" s="1"/>
      <c r="N689" s="1"/>
      <c r="O689" s="1"/>
      <c r="T689" s="1"/>
    </row>
    <row r="690" spans="1:20" x14ac:dyDescent="0.3">
      <c r="A690" s="1" t="s">
        <v>177</v>
      </c>
      <c r="B690" s="1"/>
      <c r="C690" s="2"/>
      <c r="D690" s="1"/>
      <c r="E690" s="1"/>
      <c r="H690" s="1"/>
      <c r="K690" s="1"/>
      <c r="M690" s="1"/>
      <c r="N690" s="1"/>
      <c r="O690" s="1"/>
      <c r="T690" s="1"/>
    </row>
    <row r="691" spans="1:20" x14ac:dyDescent="0.3">
      <c r="A691" s="1" t="s">
        <v>177</v>
      </c>
      <c r="B691" s="1"/>
      <c r="C691" s="2"/>
      <c r="D691" s="1"/>
      <c r="E691" s="1"/>
      <c r="H691" s="1"/>
      <c r="K691" s="1"/>
      <c r="M691" s="1"/>
      <c r="N691" s="1"/>
      <c r="O691" s="1"/>
      <c r="T691" s="1"/>
    </row>
    <row r="692" spans="1:20" x14ac:dyDescent="0.3">
      <c r="A692" s="1" t="s">
        <v>177</v>
      </c>
      <c r="B692" s="1"/>
      <c r="C692" s="2"/>
      <c r="D692" s="1"/>
      <c r="E692" s="1"/>
      <c r="H692" s="1"/>
      <c r="K692" s="1"/>
      <c r="M692" s="1"/>
      <c r="N692" s="1"/>
      <c r="O692" s="1"/>
      <c r="T692" s="1"/>
    </row>
    <row r="693" spans="1:20" x14ac:dyDescent="0.3">
      <c r="A693" s="1" t="s">
        <v>177</v>
      </c>
      <c r="B693" s="1"/>
      <c r="C693" s="2"/>
      <c r="D693" s="1"/>
      <c r="E693" s="1"/>
      <c r="H693" s="1"/>
      <c r="K693" s="1"/>
      <c r="M693" s="1"/>
      <c r="N693" s="1"/>
      <c r="O693" s="1"/>
      <c r="T693" s="1"/>
    </row>
    <row r="694" spans="1:20" x14ac:dyDescent="0.3">
      <c r="A694" s="1" t="s">
        <v>177</v>
      </c>
      <c r="B694" s="1"/>
      <c r="C694" s="2"/>
      <c r="D694" s="1"/>
      <c r="E694" s="1"/>
      <c r="H694" s="1"/>
      <c r="K694" s="1"/>
      <c r="M694" s="1"/>
      <c r="N694" s="1"/>
      <c r="O694" s="1"/>
      <c r="T694" s="1"/>
    </row>
    <row r="695" spans="1:20" x14ac:dyDescent="0.3">
      <c r="A695" s="1" t="s">
        <v>177</v>
      </c>
      <c r="B695" s="1"/>
      <c r="C695" s="2"/>
      <c r="D695" s="1"/>
      <c r="E695" s="1"/>
      <c r="H695" s="1"/>
      <c r="K695" s="1"/>
      <c r="M695" s="1"/>
      <c r="N695" s="1"/>
      <c r="O695" s="1"/>
      <c r="T695" s="1"/>
    </row>
    <row r="696" spans="1:20" x14ac:dyDescent="0.3">
      <c r="A696" s="1" t="s">
        <v>177</v>
      </c>
      <c r="B696" s="1"/>
      <c r="C696" s="2"/>
      <c r="D696" s="1"/>
      <c r="E696" s="1"/>
      <c r="H696" s="1"/>
      <c r="K696" s="1"/>
      <c r="M696" s="1"/>
      <c r="N696" s="1"/>
      <c r="O696" s="1"/>
      <c r="T696" s="1"/>
    </row>
    <row r="697" spans="1:20" x14ac:dyDescent="0.3">
      <c r="A697" s="1" t="s">
        <v>177</v>
      </c>
      <c r="B697" s="1"/>
      <c r="C697" s="2"/>
      <c r="D697" s="1"/>
      <c r="E697" s="1"/>
      <c r="H697" s="1"/>
      <c r="K697" s="1"/>
      <c r="M697" s="1"/>
      <c r="N697" s="1"/>
      <c r="O697" s="1"/>
      <c r="T697" s="1"/>
    </row>
    <row r="698" spans="1:20" x14ac:dyDescent="0.3">
      <c r="A698" s="1" t="s">
        <v>177</v>
      </c>
      <c r="B698" s="1"/>
      <c r="C698" s="2"/>
      <c r="D698" s="1"/>
      <c r="E698" s="1"/>
      <c r="H698" s="1"/>
      <c r="K698" s="1"/>
      <c r="M698" s="1"/>
      <c r="N698" s="1"/>
      <c r="O698" s="1"/>
      <c r="T698" s="1"/>
    </row>
    <row r="699" spans="1:20" x14ac:dyDescent="0.3">
      <c r="A699" s="1" t="s">
        <v>177</v>
      </c>
      <c r="B699" s="1"/>
      <c r="C699" s="2"/>
      <c r="D699" s="1"/>
      <c r="E699" s="1"/>
      <c r="H699" s="1"/>
      <c r="K699" s="1"/>
      <c r="M699" s="1"/>
      <c r="N699" s="1"/>
      <c r="O699" s="1"/>
      <c r="T699" s="1"/>
    </row>
    <row r="700" spans="1:20" x14ac:dyDescent="0.3">
      <c r="A700" s="1" t="s">
        <v>177</v>
      </c>
      <c r="B700" s="1"/>
      <c r="C700" s="2"/>
      <c r="D700" s="1"/>
      <c r="E700" s="1"/>
      <c r="H700" s="1"/>
      <c r="K700" s="1"/>
      <c r="M700" s="1"/>
      <c r="N700" s="1"/>
      <c r="O700" s="1"/>
      <c r="T700" s="1"/>
    </row>
    <row r="701" spans="1:20" x14ac:dyDescent="0.3">
      <c r="A701" s="1" t="s">
        <v>177</v>
      </c>
      <c r="B701" s="1"/>
      <c r="C701" s="2"/>
      <c r="D701" s="1"/>
      <c r="E701" s="1"/>
      <c r="H701" s="1"/>
      <c r="K701" s="1"/>
      <c r="M701" s="1"/>
      <c r="N701" s="1"/>
      <c r="O701" s="1"/>
      <c r="T701" s="1"/>
    </row>
    <row r="702" spans="1:20" x14ac:dyDescent="0.3">
      <c r="A702" s="1" t="s">
        <v>177</v>
      </c>
      <c r="B702" s="1"/>
      <c r="C702" s="2"/>
      <c r="D702" s="1"/>
      <c r="E702" s="1"/>
      <c r="H702" s="1"/>
      <c r="K702" s="1"/>
      <c r="M702" s="1"/>
      <c r="N702" s="1"/>
      <c r="O702" s="1"/>
      <c r="T702" s="1"/>
    </row>
    <row r="703" spans="1:20" x14ac:dyDescent="0.3">
      <c r="A703" s="1" t="s">
        <v>177</v>
      </c>
      <c r="B703" s="1"/>
      <c r="C703" s="2"/>
      <c r="D703" s="1"/>
      <c r="E703" s="1"/>
      <c r="H703" s="1"/>
      <c r="K703" s="1"/>
      <c r="M703" s="1"/>
      <c r="N703" s="1"/>
      <c r="O703" s="1"/>
      <c r="T703" s="1"/>
    </row>
    <row r="704" spans="1:20" x14ac:dyDescent="0.3">
      <c r="A704" s="1" t="s">
        <v>177</v>
      </c>
      <c r="B704" s="1"/>
      <c r="C704" s="2"/>
      <c r="D704" s="1"/>
      <c r="E704" s="1"/>
      <c r="H704" s="1"/>
      <c r="K704" s="1"/>
      <c r="M704" s="1"/>
      <c r="N704" s="1"/>
      <c r="O704" s="1"/>
      <c r="T704" s="1"/>
    </row>
    <row r="705" spans="1:20" x14ac:dyDescent="0.3">
      <c r="A705" s="1" t="s">
        <v>177</v>
      </c>
      <c r="B705" s="1"/>
      <c r="C705" s="2"/>
      <c r="D705" s="1"/>
      <c r="E705" s="1"/>
      <c r="H705" s="1"/>
      <c r="K705" s="1"/>
      <c r="M705" s="1"/>
      <c r="N705" s="1"/>
      <c r="O705" s="1"/>
      <c r="T705" s="1"/>
    </row>
    <row r="706" spans="1:20" x14ac:dyDescent="0.3">
      <c r="A706" s="1" t="s">
        <v>177</v>
      </c>
      <c r="B706" s="1"/>
      <c r="C706" s="2"/>
      <c r="D706" s="1"/>
      <c r="E706" s="1"/>
      <c r="H706" s="1"/>
      <c r="K706" s="1"/>
      <c r="M706" s="1"/>
      <c r="N706" s="1"/>
      <c r="O706" s="1"/>
      <c r="T706" s="1"/>
    </row>
    <row r="707" spans="1:20" x14ac:dyDescent="0.3">
      <c r="A707" s="1" t="s">
        <v>177</v>
      </c>
      <c r="B707" s="1"/>
      <c r="C707" s="2"/>
      <c r="D707" s="1"/>
      <c r="E707" s="1"/>
      <c r="H707" s="1"/>
      <c r="K707" s="1"/>
      <c r="M707" s="1"/>
      <c r="N707" s="1"/>
      <c r="O707" s="1"/>
      <c r="T707" s="1"/>
    </row>
    <row r="708" spans="1:20" x14ac:dyDescent="0.3">
      <c r="A708" s="1" t="s">
        <v>177</v>
      </c>
      <c r="B708" s="1"/>
      <c r="C708" s="2"/>
      <c r="D708" s="1"/>
      <c r="E708" s="1"/>
      <c r="H708" s="1"/>
      <c r="K708" s="1"/>
      <c r="M708" s="1"/>
      <c r="N708" s="1"/>
      <c r="O708" s="1"/>
      <c r="T708" s="1"/>
    </row>
    <row r="709" spans="1:20" x14ac:dyDescent="0.3">
      <c r="A709" s="1" t="s">
        <v>177</v>
      </c>
      <c r="B709" s="1"/>
      <c r="C709" s="2"/>
      <c r="D709" s="1"/>
      <c r="E709" s="1"/>
      <c r="H709" s="1"/>
      <c r="K709" s="1"/>
      <c r="M709" s="1"/>
      <c r="N709" s="1"/>
      <c r="O709" s="1"/>
      <c r="T709" s="1"/>
    </row>
    <row r="710" spans="1:20" x14ac:dyDescent="0.3">
      <c r="A710" s="1" t="s">
        <v>177</v>
      </c>
      <c r="B710" s="1"/>
      <c r="C710" s="2"/>
      <c r="D710" s="1"/>
      <c r="E710" s="1"/>
      <c r="H710" s="1"/>
      <c r="K710" s="1"/>
      <c r="M710" s="1"/>
      <c r="N710" s="1"/>
      <c r="O710" s="1"/>
      <c r="T710" s="1"/>
    </row>
    <row r="711" spans="1:20" x14ac:dyDescent="0.3">
      <c r="A711" s="1" t="s">
        <v>177</v>
      </c>
      <c r="B711" s="1"/>
      <c r="C711" s="2"/>
      <c r="D711" s="1"/>
      <c r="E711" s="1"/>
      <c r="H711" s="1"/>
      <c r="K711" s="1"/>
      <c r="M711" s="1"/>
      <c r="N711" s="1"/>
      <c r="O711" s="1"/>
      <c r="T711" s="1"/>
    </row>
    <row r="712" spans="1:20" x14ac:dyDescent="0.3">
      <c r="A712" s="1" t="s">
        <v>177</v>
      </c>
      <c r="B712" s="1"/>
      <c r="C712" s="2"/>
      <c r="D712" s="1"/>
      <c r="E712" s="1"/>
      <c r="H712" s="1"/>
      <c r="K712" s="1"/>
      <c r="M712" s="1"/>
      <c r="N712" s="1"/>
      <c r="O712" s="1"/>
      <c r="T712" s="1"/>
    </row>
    <row r="713" spans="1:20" x14ac:dyDescent="0.3">
      <c r="A713" s="1" t="s">
        <v>177</v>
      </c>
      <c r="B713" s="1"/>
      <c r="C713" s="2"/>
      <c r="D713" s="1"/>
      <c r="E713" s="1"/>
      <c r="H713" s="1"/>
      <c r="K713" s="1"/>
      <c r="M713" s="1"/>
      <c r="N713" s="1"/>
      <c r="O713" s="1"/>
      <c r="T713" s="1"/>
    </row>
    <row r="714" spans="1:20" x14ac:dyDescent="0.3">
      <c r="A714" s="1" t="s">
        <v>177</v>
      </c>
      <c r="B714" s="1"/>
      <c r="C714" s="2"/>
      <c r="D714" s="1"/>
      <c r="E714" s="1"/>
      <c r="H714" s="1"/>
      <c r="K714" s="1"/>
      <c r="M714" s="1"/>
      <c r="N714" s="1"/>
      <c r="O714" s="1"/>
      <c r="T714" s="1"/>
    </row>
    <row r="715" spans="1:20" x14ac:dyDescent="0.3">
      <c r="A715" s="1" t="s">
        <v>177</v>
      </c>
      <c r="B715" s="1"/>
      <c r="C715" s="2"/>
      <c r="D715" s="1"/>
      <c r="E715" s="1"/>
      <c r="H715" s="1"/>
      <c r="K715" s="1"/>
      <c r="M715" s="1"/>
      <c r="N715" s="1"/>
      <c r="O715" s="1"/>
      <c r="T715" s="1"/>
    </row>
    <row r="716" spans="1:20" x14ac:dyDescent="0.3">
      <c r="A716" s="1" t="s">
        <v>177</v>
      </c>
      <c r="B716" s="1"/>
      <c r="C716" s="2"/>
      <c r="D716" s="1"/>
      <c r="E716" s="1"/>
      <c r="H716" s="1"/>
      <c r="K716" s="1"/>
      <c r="M716" s="1"/>
      <c r="N716" s="1"/>
      <c r="O716" s="1"/>
      <c r="T716" s="1"/>
    </row>
    <row r="717" spans="1:20" x14ac:dyDescent="0.3">
      <c r="A717" s="1" t="s">
        <v>177</v>
      </c>
      <c r="B717" s="1"/>
      <c r="C717" s="2"/>
      <c r="D717" s="1"/>
      <c r="E717" s="1"/>
      <c r="H717" s="1"/>
      <c r="K717" s="1"/>
      <c r="M717" s="1"/>
      <c r="N717" s="1"/>
      <c r="O717" s="1"/>
      <c r="T717" s="1"/>
    </row>
    <row r="718" spans="1:20" x14ac:dyDescent="0.3">
      <c r="A718" s="1" t="s">
        <v>177</v>
      </c>
      <c r="B718" s="1"/>
      <c r="C718" s="2"/>
      <c r="D718" s="1"/>
      <c r="E718" s="1"/>
      <c r="H718" s="1"/>
      <c r="K718" s="1"/>
      <c r="M718" s="1"/>
      <c r="N718" s="1"/>
      <c r="O718" s="1"/>
      <c r="T718" s="1"/>
    </row>
    <row r="719" spans="1:20" x14ac:dyDescent="0.3">
      <c r="A719" s="1" t="s">
        <v>177</v>
      </c>
      <c r="B719" s="1"/>
      <c r="C719" s="2"/>
      <c r="D719" s="1"/>
      <c r="E719" s="1"/>
      <c r="H719" s="1"/>
      <c r="K719" s="1"/>
      <c r="M719" s="1"/>
      <c r="N719" s="1"/>
      <c r="O719" s="1"/>
      <c r="T719" s="1"/>
    </row>
    <row r="720" spans="1:20" x14ac:dyDescent="0.3">
      <c r="A720" s="1" t="s">
        <v>177</v>
      </c>
      <c r="B720" s="1"/>
      <c r="C720" s="2"/>
      <c r="D720" s="1"/>
      <c r="E720" s="1"/>
      <c r="H720" s="1"/>
      <c r="K720" s="1"/>
      <c r="M720" s="1"/>
      <c r="N720" s="1"/>
      <c r="O720" s="1"/>
      <c r="T720" s="1"/>
    </row>
    <row r="721" spans="1:20" x14ac:dyDescent="0.3">
      <c r="A721" s="1" t="s">
        <v>177</v>
      </c>
      <c r="B721" s="1"/>
      <c r="C721" s="2"/>
      <c r="D721" s="1"/>
      <c r="E721" s="1"/>
      <c r="H721" s="1"/>
      <c r="K721" s="1"/>
      <c r="M721" s="1"/>
      <c r="N721" s="1"/>
      <c r="O721" s="1"/>
      <c r="T721" s="1"/>
    </row>
    <row r="722" spans="1:20" x14ac:dyDescent="0.3">
      <c r="A722" s="1" t="s">
        <v>177</v>
      </c>
      <c r="B722" s="1"/>
      <c r="C722" s="2"/>
      <c r="D722" s="1"/>
      <c r="E722" s="1"/>
      <c r="H722" s="1"/>
      <c r="K722" s="1"/>
      <c r="M722" s="1"/>
      <c r="N722" s="1"/>
      <c r="O722" s="1"/>
      <c r="T722" s="1"/>
    </row>
    <row r="723" spans="1:20" x14ac:dyDescent="0.3">
      <c r="A723" s="1" t="s">
        <v>177</v>
      </c>
      <c r="B723" s="1"/>
      <c r="C723" s="2"/>
      <c r="D723" s="1"/>
      <c r="E723" s="1"/>
      <c r="H723" s="1"/>
      <c r="K723" s="1"/>
      <c r="M723" s="1"/>
      <c r="N723" s="1"/>
      <c r="O723" s="1"/>
      <c r="T723" s="1"/>
    </row>
    <row r="724" spans="1:20" x14ac:dyDescent="0.3">
      <c r="A724" s="1" t="s">
        <v>177</v>
      </c>
      <c r="B724" s="1"/>
      <c r="C724" s="2"/>
      <c r="D724" s="1"/>
      <c r="E724" s="1"/>
      <c r="H724" s="1"/>
      <c r="K724" s="1"/>
      <c r="M724" s="1"/>
      <c r="N724" s="1"/>
      <c r="O724" s="1"/>
      <c r="T724" s="1"/>
    </row>
    <row r="725" spans="1:20" x14ac:dyDescent="0.3">
      <c r="A725" s="1" t="s">
        <v>177</v>
      </c>
      <c r="B725" s="1"/>
      <c r="C725" s="2"/>
      <c r="D725" s="1"/>
      <c r="E725" s="1"/>
      <c r="H725" s="1"/>
      <c r="K725" s="1"/>
      <c r="M725" s="1"/>
      <c r="N725" s="1"/>
      <c r="O725" s="1"/>
      <c r="T725" s="1"/>
    </row>
    <row r="726" spans="1:20" x14ac:dyDescent="0.3">
      <c r="A726" s="1" t="s">
        <v>177</v>
      </c>
      <c r="B726" s="1"/>
      <c r="C726" s="2"/>
      <c r="D726" s="1"/>
      <c r="E726" s="1"/>
      <c r="H726" s="1"/>
      <c r="K726" s="1"/>
      <c r="M726" s="1"/>
      <c r="N726" s="1"/>
      <c r="O726" s="1"/>
      <c r="T726" s="1"/>
    </row>
    <row r="727" spans="1:20" x14ac:dyDescent="0.3">
      <c r="A727" s="1" t="s">
        <v>177</v>
      </c>
      <c r="B727" s="1"/>
      <c r="C727" s="2"/>
      <c r="D727" s="1"/>
      <c r="E727" s="1"/>
      <c r="H727" s="1"/>
      <c r="K727" s="1"/>
      <c r="M727" s="1"/>
      <c r="N727" s="1"/>
      <c r="O727" s="1"/>
      <c r="T727" s="1"/>
    </row>
    <row r="728" spans="1:20" x14ac:dyDescent="0.3">
      <c r="A728" s="1" t="s">
        <v>177</v>
      </c>
      <c r="B728" s="1"/>
      <c r="C728" s="2"/>
      <c r="D728" s="1"/>
      <c r="E728" s="1"/>
      <c r="H728" s="1"/>
      <c r="K728" s="1"/>
      <c r="M728" s="1"/>
      <c r="N728" s="1"/>
      <c r="O728" s="1"/>
      <c r="T728" s="1"/>
    </row>
    <row r="729" spans="1:20" x14ac:dyDescent="0.3">
      <c r="A729" s="1" t="s">
        <v>177</v>
      </c>
      <c r="B729" s="1"/>
      <c r="C729" s="2"/>
      <c r="D729" s="1"/>
      <c r="E729" s="1"/>
      <c r="H729" s="1"/>
      <c r="K729" s="1"/>
      <c r="M729" s="1"/>
      <c r="N729" s="1"/>
      <c r="O729" s="1"/>
      <c r="T729" s="1"/>
    </row>
    <row r="730" spans="1:20" x14ac:dyDescent="0.3">
      <c r="A730" s="1" t="s">
        <v>177</v>
      </c>
      <c r="B730" s="1"/>
      <c r="C730" s="2"/>
      <c r="D730" s="1"/>
      <c r="E730" s="1"/>
      <c r="H730" s="1"/>
      <c r="K730" s="1"/>
      <c r="M730" s="1"/>
      <c r="N730" s="1"/>
      <c r="O730" s="1"/>
      <c r="T730" s="1"/>
    </row>
    <row r="731" spans="1:20" x14ac:dyDescent="0.3">
      <c r="A731" s="1" t="s">
        <v>177</v>
      </c>
      <c r="B731" s="1"/>
      <c r="C731" s="2"/>
      <c r="D731" s="1"/>
      <c r="E731" s="1"/>
      <c r="H731" s="1"/>
      <c r="K731" s="1"/>
      <c r="M731" s="1"/>
      <c r="N731" s="1"/>
      <c r="O731" s="1"/>
      <c r="T731" s="1"/>
    </row>
    <row r="732" spans="1:20" x14ac:dyDescent="0.3">
      <c r="A732" s="1" t="s">
        <v>177</v>
      </c>
      <c r="B732" s="1"/>
      <c r="C732" s="2"/>
      <c r="D732" s="1"/>
      <c r="E732" s="1"/>
      <c r="H732" s="1"/>
      <c r="K732" s="1"/>
      <c r="M732" s="1"/>
      <c r="N732" s="1"/>
      <c r="O732" s="1"/>
      <c r="T732" s="1"/>
    </row>
    <row r="733" spans="1:20" x14ac:dyDescent="0.3">
      <c r="A733" s="1" t="s">
        <v>177</v>
      </c>
      <c r="B733" s="1"/>
      <c r="C733" s="2"/>
      <c r="D733" s="1"/>
      <c r="E733" s="1"/>
      <c r="H733" s="1"/>
      <c r="K733" s="1"/>
      <c r="M733" s="1"/>
      <c r="N733" s="1"/>
      <c r="O733" s="1"/>
      <c r="T733" s="1"/>
    </row>
    <row r="734" spans="1:20" x14ac:dyDescent="0.3">
      <c r="A734" s="1" t="s">
        <v>177</v>
      </c>
      <c r="B734" s="1"/>
      <c r="C734" s="2"/>
      <c r="D734" s="1"/>
      <c r="E734" s="1"/>
      <c r="H734" s="1"/>
      <c r="K734" s="1"/>
      <c r="M734" s="1"/>
      <c r="N734" s="1"/>
      <c r="O734" s="1"/>
      <c r="T734" s="1"/>
    </row>
    <row r="735" spans="1:20" x14ac:dyDescent="0.3">
      <c r="A735" s="1" t="s">
        <v>177</v>
      </c>
      <c r="B735" s="1"/>
      <c r="C735" s="2"/>
      <c r="D735" s="1"/>
      <c r="E735" s="1"/>
      <c r="H735" s="1"/>
      <c r="K735" s="1"/>
      <c r="M735" s="1"/>
      <c r="N735" s="1"/>
      <c r="O735" s="1"/>
      <c r="T735" s="1"/>
    </row>
    <row r="736" spans="1:20" x14ac:dyDescent="0.3">
      <c r="A736" s="1" t="s">
        <v>177</v>
      </c>
      <c r="B736" s="1"/>
      <c r="C736" s="2"/>
      <c r="D736" s="1"/>
      <c r="E736" s="1"/>
      <c r="H736" s="1"/>
      <c r="K736" s="1"/>
      <c r="M736" s="1"/>
      <c r="N736" s="1"/>
      <c r="O736" s="1"/>
      <c r="T736" s="1"/>
    </row>
    <row r="737" spans="1:20" x14ac:dyDescent="0.3">
      <c r="A737" s="1" t="s">
        <v>177</v>
      </c>
      <c r="B737" s="1"/>
      <c r="C737" s="2"/>
      <c r="D737" s="1"/>
      <c r="E737" s="1"/>
      <c r="H737" s="1"/>
      <c r="K737" s="1"/>
      <c r="M737" s="1"/>
      <c r="N737" s="1"/>
      <c r="O737" s="1"/>
      <c r="T737" s="1"/>
    </row>
    <row r="738" spans="1:20" x14ac:dyDescent="0.3">
      <c r="A738" s="1" t="s">
        <v>177</v>
      </c>
      <c r="B738" s="1"/>
      <c r="C738" s="2"/>
      <c r="D738" s="1"/>
      <c r="E738" s="1"/>
      <c r="H738" s="1"/>
      <c r="K738" s="1"/>
      <c r="M738" s="1"/>
      <c r="N738" s="1"/>
      <c r="O738" s="1"/>
      <c r="T738" s="1"/>
    </row>
    <row r="739" spans="1:20" x14ac:dyDescent="0.3">
      <c r="A739" s="1" t="s">
        <v>177</v>
      </c>
      <c r="B739" s="1"/>
      <c r="C739" s="2"/>
      <c r="D739" s="1"/>
      <c r="E739" s="1"/>
      <c r="H739" s="1"/>
      <c r="K739" s="1"/>
      <c r="M739" s="1"/>
      <c r="N739" s="1"/>
      <c r="O739" s="1"/>
      <c r="T739" s="1"/>
    </row>
    <row r="740" spans="1:20" x14ac:dyDescent="0.3">
      <c r="A740" s="1" t="s">
        <v>177</v>
      </c>
      <c r="B740" s="1"/>
      <c r="C740" s="2"/>
      <c r="D740" s="1"/>
      <c r="E740" s="1"/>
      <c r="H740" s="1"/>
      <c r="K740" s="1"/>
      <c r="M740" s="1"/>
      <c r="N740" s="1"/>
      <c r="O740" s="1"/>
      <c r="T740" s="1"/>
    </row>
    <row r="741" spans="1:20" x14ac:dyDescent="0.3">
      <c r="A741" s="1" t="s">
        <v>177</v>
      </c>
      <c r="B741" s="1"/>
      <c r="C741" s="2"/>
      <c r="D741" s="1"/>
      <c r="E741" s="1"/>
      <c r="H741" s="1"/>
      <c r="K741" s="1"/>
      <c r="M741" s="1"/>
      <c r="N741" s="1"/>
      <c r="O741" s="1"/>
      <c r="T741" s="1"/>
    </row>
    <row r="742" spans="1:20" x14ac:dyDescent="0.3">
      <c r="A742" s="1" t="s">
        <v>177</v>
      </c>
      <c r="B742" s="1"/>
      <c r="C742" s="2"/>
      <c r="D742" s="1"/>
      <c r="E742" s="1"/>
      <c r="H742" s="1"/>
      <c r="K742" s="1"/>
      <c r="M742" s="1"/>
      <c r="N742" s="1"/>
      <c r="O742" s="1"/>
      <c r="T742" s="1"/>
    </row>
    <row r="743" spans="1:20" x14ac:dyDescent="0.3">
      <c r="A743" s="1" t="s">
        <v>177</v>
      </c>
      <c r="B743" s="1"/>
      <c r="C743" s="2"/>
      <c r="D743" s="1"/>
      <c r="E743" s="1"/>
      <c r="H743" s="1"/>
      <c r="K743" s="1"/>
      <c r="M743" s="1"/>
      <c r="N743" s="1"/>
      <c r="O743" s="1"/>
      <c r="T743" s="1"/>
    </row>
    <row r="744" spans="1:20" x14ac:dyDescent="0.3">
      <c r="A744" s="1" t="s">
        <v>177</v>
      </c>
      <c r="B744" s="1"/>
      <c r="C744" s="2"/>
      <c r="D744" s="1"/>
      <c r="E744" s="1"/>
      <c r="H744" s="1"/>
      <c r="K744" s="1"/>
      <c r="M744" s="1"/>
      <c r="N744" s="1"/>
      <c r="O744" s="1"/>
      <c r="T744" s="1"/>
    </row>
    <row r="745" spans="1:20" x14ac:dyDescent="0.3">
      <c r="A745" s="1" t="s">
        <v>177</v>
      </c>
      <c r="B745" s="1"/>
      <c r="C745" s="2"/>
      <c r="D745" s="1"/>
      <c r="E745" s="1"/>
      <c r="H745" s="1"/>
      <c r="K745" s="1"/>
      <c r="M745" s="1"/>
      <c r="N745" s="1"/>
      <c r="O745" s="1"/>
      <c r="T745" s="1"/>
    </row>
    <row r="746" spans="1:20" x14ac:dyDescent="0.3">
      <c r="A746" s="1" t="s">
        <v>177</v>
      </c>
      <c r="B746" s="1"/>
      <c r="C746" s="2"/>
      <c r="D746" s="1"/>
      <c r="E746" s="1"/>
      <c r="H746" s="1"/>
      <c r="K746" s="1"/>
      <c r="M746" s="1"/>
      <c r="N746" s="1"/>
      <c r="O746" s="1"/>
      <c r="T746" s="1"/>
    </row>
    <row r="747" spans="1:20" x14ac:dyDescent="0.3">
      <c r="A747" s="1" t="s">
        <v>177</v>
      </c>
      <c r="B747" s="1"/>
      <c r="C747" s="2"/>
      <c r="D747" s="1"/>
      <c r="E747" s="1"/>
      <c r="H747" s="1"/>
      <c r="K747" s="1"/>
      <c r="M747" s="1"/>
      <c r="N747" s="1"/>
      <c r="O747" s="1"/>
      <c r="T747" s="1"/>
    </row>
    <row r="748" spans="1:20" x14ac:dyDescent="0.3">
      <c r="A748" s="1" t="s">
        <v>177</v>
      </c>
      <c r="B748" s="1"/>
      <c r="C748" s="2"/>
      <c r="D748" s="1"/>
      <c r="E748" s="1"/>
      <c r="H748" s="1"/>
      <c r="K748" s="1"/>
      <c r="M748" s="1"/>
      <c r="N748" s="1"/>
      <c r="O748" s="1"/>
      <c r="T748" s="1"/>
    </row>
    <row r="749" spans="1:20" x14ac:dyDescent="0.3">
      <c r="A749" s="1" t="s">
        <v>177</v>
      </c>
      <c r="B749" s="1"/>
      <c r="C749" s="2"/>
      <c r="D749" s="1"/>
      <c r="E749" s="1"/>
      <c r="H749" s="1"/>
      <c r="K749" s="1"/>
      <c r="M749" s="1"/>
      <c r="N749" s="1"/>
      <c r="O749" s="1"/>
      <c r="T749" s="1"/>
    </row>
    <row r="750" spans="1:20" x14ac:dyDescent="0.3">
      <c r="A750" s="1" t="s">
        <v>177</v>
      </c>
      <c r="B750" s="1"/>
      <c r="C750" s="2"/>
      <c r="D750" s="1"/>
      <c r="E750" s="1"/>
      <c r="H750" s="1"/>
      <c r="K750" s="1"/>
      <c r="M750" s="1"/>
      <c r="N750" s="1"/>
      <c r="O750" s="1"/>
      <c r="T750" s="1"/>
    </row>
    <row r="751" spans="1:20" x14ac:dyDescent="0.3">
      <c r="A751" s="1" t="s">
        <v>177</v>
      </c>
      <c r="B751" s="1"/>
      <c r="C751" s="2"/>
      <c r="D751" s="1"/>
      <c r="E751" s="1"/>
      <c r="H751" s="1"/>
      <c r="K751" s="1"/>
      <c r="M751" s="1"/>
      <c r="N751" s="1"/>
      <c r="O751" s="1"/>
      <c r="T751" s="1"/>
    </row>
    <row r="752" spans="1:20" x14ac:dyDescent="0.3">
      <c r="A752" s="1" t="s">
        <v>177</v>
      </c>
      <c r="B752" s="1"/>
      <c r="C752" s="2"/>
      <c r="D752" s="1"/>
      <c r="E752" s="1"/>
      <c r="H752" s="1"/>
      <c r="K752" s="1"/>
      <c r="M752" s="1"/>
      <c r="N752" s="1"/>
      <c r="O752" s="1"/>
      <c r="T752" s="1"/>
    </row>
    <row r="753" spans="1:20" x14ac:dyDescent="0.3">
      <c r="A753" s="1" t="s">
        <v>177</v>
      </c>
      <c r="B753" s="1"/>
      <c r="C753" s="2"/>
      <c r="D753" s="1"/>
      <c r="E753" s="1"/>
      <c r="H753" s="1"/>
      <c r="K753" s="1"/>
      <c r="M753" s="1"/>
      <c r="N753" s="1"/>
      <c r="O753" s="1"/>
      <c r="T753" s="1"/>
    </row>
    <row r="754" spans="1:20" x14ac:dyDescent="0.3">
      <c r="A754" s="1" t="s">
        <v>177</v>
      </c>
      <c r="B754" s="1"/>
      <c r="C754" s="2"/>
      <c r="D754" s="1"/>
      <c r="E754" s="1"/>
      <c r="H754" s="1"/>
      <c r="K754" s="1"/>
      <c r="M754" s="1"/>
      <c r="N754" s="1"/>
      <c r="O754" s="1"/>
      <c r="T754" s="1"/>
    </row>
    <row r="755" spans="1:20" x14ac:dyDescent="0.3">
      <c r="A755" s="1" t="s">
        <v>177</v>
      </c>
      <c r="B755" s="1"/>
      <c r="C755" s="2"/>
      <c r="D755" s="1"/>
      <c r="E755" s="1"/>
      <c r="H755" s="1"/>
      <c r="K755" s="1"/>
      <c r="M755" s="1"/>
      <c r="N755" s="1"/>
      <c r="O755" s="1"/>
      <c r="T755" s="1"/>
    </row>
    <row r="756" spans="1:20" x14ac:dyDescent="0.3">
      <c r="A756" s="1" t="s">
        <v>177</v>
      </c>
      <c r="B756" s="1"/>
      <c r="C756" s="2"/>
      <c r="D756" s="1"/>
      <c r="E756" s="1"/>
      <c r="H756" s="1"/>
      <c r="K756" s="1"/>
      <c r="M756" s="1"/>
      <c r="N756" s="1"/>
      <c r="O756" s="1"/>
      <c r="T756" s="1"/>
    </row>
    <row r="757" spans="1:20" x14ac:dyDescent="0.3">
      <c r="A757" s="1" t="s">
        <v>177</v>
      </c>
      <c r="B757" s="1"/>
      <c r="C757" s="2"/>
      <c r="D757" s="1"/>
      <c r="E757" s="1"/>
      <c r="H757" s="1"/>
      <c r="K757" s="1"/>
      <c r="M757" s="1"/>
      <c r="N757" s="1"/>
      <c r="O757" s="1"/>
      <c r="T757" s="1"/>
    </row>
    <row r="758" spans="1:20" x14ac:dyDescent="0.3">
      <c r="A758" s="1" t="s">
        <v>177</v>
      </c>
      <c r="B758" s="1"/>
      <c r="C758" s="2"/>
      <c r="D758" s="1"/>
      <c r="E758" s="1"/>
      <c r="H758" s="1"/>
      <c r="K758" s="1"/>
      <c r="M758" s="1"/>
      <c r="N758" s="1"/>
      <c r="O758" s="1"/>
      <c r="T758" s="1"/>
    </row>
    <row r="759" spans="1:20" x14ac:dyDescent="0.3">
      <c r="A759" s="1" t="s">
        <v>177</v>
      </c>
      <c r="B759" s="1"/>
      <c r="C759" s="2"/>
      <c r="D759" s="1"/>
      <c r="E759" s="1"/>
      <c r="H759" s="1"/>
      <c r="K759" s="1"/>
      <c r="M759" s="1"/>
      <c r="N759" s="1"/>
      <c r="O759" s="1"/>
      <c r="T759" s="1"/>
    </row>
    <row r="760" spans="1:20" x14ac:dyDescent="0.3">
      <c r="A760" s="1" t="s">
        <v>177</v>
      </c>
      <c r="B760" s="1"/>
      <c r="C760" s="2"/>
      <c r="D760" s="1"/>
      <c r="E760" s="1"/>
      <c r="H760" s="1"/>
      <c r="K760" s="1"/>
      <c r="M760" s="1"/>
      <c r="N760" s="1"/>
      <c r="O760" s="1"/>
      <c r="T760" s="1"/>
    </row>
    <row r="761" spans="1:20" x14ac:dyDescent="0.3">
      <c r="A761" s="1" t="s">
        <v>177</v>
      </c>
      <c r="B761" s="1"/>
      <c r="C761" s="2"/>
      <c r="D761" s="1"/>
      <c r="E761" s="1"/>
      <c r="H761" s="1"/>
      <c r="K761" s="1"/>
      <c r="M761" s="1"/>
      <c r="N761" s="1"/>
      <c r="O761" s="1"/>
      <c r="T761" s="1"/>
    </row>
    <row r="762" spans="1:20" x14ac:dyDescent="0.3">
      <c r="A762" s="1" t="s">
        <v>177</v>
      </c>
      <c r="B762" s="1"/>
      <c r="C762" s="2"/>
      <c r="D762" s="1"/>
      <c r="E762" s="1"/>
      <c r="H762" s="1"/>
      <c r="K762" s="1"/>
      <c r="M762" s="1"/>
      <c r="N762" s="1"/>
      <c r="O762" s="1"/>
      <c r="T762" s="1"/>
    </row>
    <row r="763" spans="1:20" x14ac:dyDescent="0.3">
      <c r="A763" s="1" t="s">
        <v>177</v>
      </c>
      <c r="B763" s="1"/>
      <c r="C763" s="2"/>
      <c r="D763" s="1"/>
      <c r="E763" s="1"/>
      <c r="H763" s="1"/>
      <c r="K763" s="1"/>
      <c r="M763" s="1"/>
      <c r="N763" s="1"/>
      <c r="O763" s="1"/>
      <c r="T763" s="1"/>
    </row>
    <row r="764" spans="1:20" x14ac:dyDescent="0.3">
      <c r="A764" s="1" t="s">
        <v>177</v>
      </c>
      <c r="B764" s="1"/>
      <c r="C764" s="2"/>
      <c r="D764" s="1"/>
      <c r="E764" s="1"/>
      <c r="H764" s="1"/>
      <c r="K764" s="1"/>
      <c r="M764" s="1"/>
      <c r="N764" s="1"/>
      <c r="O764" s="1"/>
      <c r="T764" s="1"/>
    </row>
    <row r="765" spans="1:20" x14ac:dyDescent="0.3">
      <c r="A765" s="1" t="s">
        <v>177</v>
      </c>
      <c r="B765" s="1"/>
      <c r="C765" s="2"/>
      <c r="D765" s="1"/>
      <c r="E765" s="1"/>
      <c r="H765" s="1"/>
      <c r="K765" s="1"/>
      <c r="M765" s="1"/>
      <c r="N765" s="1"/>
      <c r="O765" s="1"/>
      <c r="T765" s="1"/>
    </row>
    <row r="766" spans="1:20" x14ac:dyDescent="0.3">
      <c r="A766" s="1" t="s">
        <v>177</v>
      </c>
      <c r="B766" s="1"/>
      <c r="C766" s="2"/>
      <c r="D766" s="1"/>
      <c r="E766" s="1"/>
      <c r="H766" s="1"/>
      <c r="K766" s="1"/>
      <c r="M766" s="1"/>
      <c r="N766" s="1"/>
      <c r="O766" s="1"/>
      <c r="T766" s="1"/>
    </row>
    <row r="767" spans="1:20" x14ac:dyDescent="0.3">
      <c r="A767" s="1" t="s">
        <v>177</v>
      </c>
      <c r="B767" s="1"/>
      <c r="C767" s="2"/>
      <c r="D767" s="1"/>
      <c r="E767" s="1"/>
      <c r="H767" s="1"/>
      <c r="K767" s="1"/>
      <c r="M767" s="1"/>
      <c r="N767" s="1"/>
      <c r="O767" s="1"/>
      <c r="T767" s="1"/>
    </row>
    <row r="768" spans="1:20" x14ac:dyDescent="0.3">
      <c r="A768" s="1" t="s">
        <v>177</v>
      </c>
      <c r="B768" s="1"/>
      <c r="C768" s="2"/>
      <c r="D768" s="1"/>
      <c r="E768" s="1"/>
      <c r="H768" s="1"/>
      <c r="K768" s="1"/>
      <c r="M768" s="1"/>
      <c r="N768" s="1"/>
      <c r="O768" s="1"/>
      <c r="T768" s="1"/>
    </row>
    <row r="769" spans="1:20" x14ac:dyDescent="0.3">
      <c r="A769" s="1" t="s">
        <v>177</v>
      </c>
      <c r="B769" s="1"/>
      <c r="C769" s="2"/>
      <c r="D769" s="1"/>
      <c r="E769" s="1"/>
      <c r="H769" s="1"/>
      <c r="K769" s="1"/>
      <c r="M769" s="1"/>
      <c r="N769" s="1"/>
      <c r="O769" s="1"/>
      <c r="T769" s="1"/>
    </row>
    <row r="770" spans="1:20" x14ac:dyDescent="0.3">
      <c r="A770" s="1" t="s">
        <v>177</v>
      </c>
      <c r="B770" s="1"/>
      <c r="C770" s="2"/>
      <c r="D770" s="1"/>
      <c r="E770" s="1"/>
      <c r="H770" s="1"/>
      <c r="K770" s="1"/>
      <c r="M770" s="1"/>
      <c r="N770" s="1"/>
      <c r="O770" s="1"/>
      <c r="T770" s="1"/>
    </row>
    <row r="771" spans="1:20" x14ac:dyDescent="0.3">
      <c r="A771" s="1" t="s">
        <v>177</v>
      </c>
      <c r="B771" s="1"/>
      <c r="C771" s="2"/>
      <c r="D771" s="1"/>
      <c r="E771" s="1"/>
      <c r="H771" s="1"/>
      <c r="K771" s="1"/>
      <c r="M771" s="1"/>
      <c r="N771" s="1"/>
      <c r="O771" s="1"/>
      <c r="T771" s="1"/>
    </row>
    <row r="772" spans="1:20" x14ac:dyDescent="0.3">
      <c r="A772" s="1" t="s">
        <v>177</v>
      </c>
      <c r="B772" s="1"/>
      <c r="C772" s="2"/>
      <c r="D772" s="1"/>
      <c r="E772" s="1"/>
      <c r="H772" s="1"/>
      <c r="K772" s="1"/>
      <c r="M772" s="1"/>
      <c r="N772" s="1"/>
      <c r="O772" s="1"/>
      <c r="T772" s="1"/>
    </row>
    <row r="773" spans="1:20" x14ac:dyDescent="0.3">
      <c r="A773" s="1" t="s">
        <v>177</v>
      </c>
      <c r="B773" s="1"/>
      <c r="C773" s="2"/>
      <c r="D773" s="1"/>
      <c r="E773" s="1"/>
      <c r="H773" s="1"/>
      <c r="K773" s="1"/>
      <c r="M773" s="1"/>
      <c r="N773" s="1"/>
      <c r="O773" s="1"/>
      <c r="T773" s="1"/>
    </row>
    <row r="774" spans="1:20" x14ac:dyDescent="0.3">
      <c r="A774" s="1" t="s">
        <v>177</v>
      </c>
      <c r="B774" s="1"/>
      <c r="C774" s="2"/>
      <c r="D774" s="1"/>
      <c r="E774" s="1"/>
      <c r="H774" s="1"/>
      <c r="K774" s="1"/>
      <c r="M774" s="1"/>
      <c r="N774" s="1"/>
      <c r="O774" s="1"/>
      <c r="T774" s="1"/>
    </row>
    <row r="775" spans="1:20" x14ac:dyDescent="0.3">
      <c r="A775" s="1" t="s">
        <v>177</v>
      </c>
      <c r="B775" s="1"/>
      <c r="C775" s="2"/>
      <c r="D775" s="1"/>
      <c r="E775" s="1"/>
      <c r="H775" s="1"/>
      <c r="K775" s="1"/>
      <c r="M775" s="1"/>
      <c r="N775" s="1"/>
      <c r="O775" s="1"/>
      <c r="T775" s="1"/>
    </row>
    <row r="776" spans="1:20" x14ac:dyDescent="0.3">
      <c r="A776" s="1" t="s">
        <v>177</v>
      </c>
      <c r="B776" s="1"/>
      <c r="C776" s="2"/>
      <c r="D776" s="1"/>
      <c r="E776" s="1"/>
      <c r="H776" s="1"/>
      <c r="K776" s="1"/>
      <c r="M776" s="1"/>
      <c r="N776" s="1"/>
      <c r="O776" s="1"/>
      <c r="T776" s="1"/>
    </row>
    <row r="777" spans="1:20" x14ac:dyDescent="0.3">
      <c r="A777" s="1" t="s">
        <v>177</v>
      </c>
      <c r="B777" s="1"/>
      <c r="C777" s="2"/>
      <c r="D777" s="1"/>
      <c r="E777" s="1"/>
      <c r="H777" s="1"/>
      <c r="K777" s="1"/>
      <c r="M777" s="1"/>
      <c r="N777" s="1"/>
      <c r="O777" s="1"/>
      <c r="T777" s="1"/>
    </row>
    <row r="778" spans="1:20" x14ac:dyDescent="0.3">
      <c r="A778" s="1" t="s">
        <v>177</v>
      </c>
      <c r="B778" s="1"/>
      <c r="C778" s="2"/>
      <c r="D778" s="1"/>
      <c r="E778" s="1"/>
      <c r="H778" s="1"/>
      <c r="K778" s="1"/>
      <c r="M778" s="1"/>
      <c r="N778" s="1"/>
      <c r="O778" s="1"/>
      <c r="T778" s="1"/>
    </row>
    <row r="779" spans="1:20" x14ac:dyDescent="0.3">
      <c r="A779" s="1" t="s">
        <v>177</v>
      </c>
      <c r="B779" s="1"/>
      <c r="C779" s="2"/>
      <c r="D779" s="1"/>
      <c r="E779" s="1"/>
      <c r="H779" s="1"/>
      <c r="K779" s="1"/>
      <c r="M779" s="1"/>
      <c r="N779" s="1"/>
      <c r="O779" s="1"/>
      <c r="T779" s="1"/>
    </row>
    <row r="780" spans="1:20" x14ac:dyDescent="0.3">
      <c r="A780" s="1" t="s">
        <v>177</v>
      </c>
      <c r="B780" s="1"/>
      <c r="C780" s="2"/>
      <c r="D780" s="1"/>
      <c r="E780" s="1"/>
      <c r="H780" s="1"/>
      <c r="K780" s="1"/>
      <c r="M780" s="1"/>
      <c r="N780" s="1"/>
      <c r="O780" s="1"/>
      <c r="T780" s="1"/>
    </row>
    <row r="781" spans="1:20" x14ac:dyDescent="0.3">
      <c r="A781" s="1" t="s">
        <v>177</v>
      </c>
      <c r="B781" s="1"/>
      <c r="C781" s="2"/>
      <c r="D781" s="1"/>
      <c r="E781" s="1"/>
      <c r="H781" s="1"/>
      <c r="K781" s="1"/>
      <c r="M781" s="1"/>
      <c r="N781" s="1"/>
      <c r="O781" s="1"/>
      <c r="T781" s="1"/>
    </row>
    <row r="782" spans="1:20" x14ac:dyDescent="0.3">
      <c r="A782" s="1" t="s">
        <v>177</v>
      </c>
      <c r="B782" s="1"/>
      <c r="C782" s="2"/>
      <c r="D782" s="1"/>
      <c r="E782" s="1"/>
      <c r="H782" s="1"/>
      <c r="K782" s="1"/>
      <c r="M782" s="1"/>
      <c r="N782" s="1"/>
      <c r="O782" s="1"/>
      <c r="T782" s="1"/>
    </row>
    <row r="783" spans="1:20" x14ac:dyDescent="0.3">
      <c r="A783" s="1" t="s">
        <v>177</v>
      </c>
      <c r="B783" s="1"/>
      <c r="C783" s="2"/>
      <c r="D783" s="1"/>
      <c r="E783" s="1"/>
      <c r="H783" s="1"/>
      <c r="K783" s="1"/>
      <c r="M783" s="1"/>
      <c r="N783" s="1"/>
      <c r="O783" s="1"/>
      <c r="T783" s="1"/>
    </row>
    <row r="784" spans="1:20" x14ac:dyDescent="0.3">
      <c r="A784" s="1" t="s">
        <v>177</v>
      </c>
      <c r="B784" s="1"/>
      <c r="C784" s="2"/>
      <c r="D784" s="1"/>
      <c r="E784" s="1"/>
      <c r="H784" s="1"/>
      <c r="K784" s="1"/>
      <c r="M784" s="1"/>
      <c r="N784" s="1"/>
      <c r="O784" s="1"/>
      <c r="T784" s="1"/>
    </row>
    <row r="785" spans="1:20" x14ac:dyDescent="0.3">
      <c r="A785" s="1" t="s">
        <v>177</v>
      </c>
      <c r="B785" s="1"/>
      <c r="C785" s="2"/>
      <c r="D785" s="1"/>
      <c r="E785" s="1"/>
      <c r="H785" s="1"/>
      <c r="K785" s="1"/>
      <c r="M785" s="1"/>
      <c r="N785" s="1"/>
      <c r="O785" s="1"/>
      <c r="T785" s="1"/>
    </row>
    <row r="786" spans="1:20" x14ac:dyDescent="0.3">
      <c r="A786" s="1" t="s">
        <v>177</v>
      </c>
      <c r="B786" s="1"/>
      <c r="C786" s="2"/>
      <c r="D786" s="1"/>
      <c r="E786" s="1"/>
      <c r="H786" s="1"/>
      <c r="K786" s="1"/>
      <c r="M786" s="1"/>
      <c r="N786" s="1"/>
      <c r="O786" s="1"/>
      <c r="T786" s="1"/>
    </row>
    <row r="787" spans="1:20" x14ac:dyDescent="0.3">
      <c r="A787" s="1" t="s">
        <v>177</v>
      </c>
      <c r="B787" s="1"/>
      <c r="C787" s="2"/>
      <c r="D787" s="1"/>
      <c r="E787" s="1"/>
      <c r="H787" s="1"/>
      <c r="K787" s="1"/>
      <c r="M787" s="1"/>
      <c r="N787" s="1"/>
      <c r="O787" s="1"/>
      <c r="T787" s="1"/>
    </row>
    <row r="788" spans="1:20" x14ac:dyDescent="0.3">
      <c r="A788" s="1" t="s">
        <v>177</v>
      </c>
      <c r="B788" s="1"/>
      <c r="C788" s="2"/>
      <c r="D788" s="1"/>
      <c r="E788" s="1"/>
      <c r="H788" s="1"/>
      <c r="K788" s="1"/>
      <c r="M788" s="1"/>
      <c r="N788" s="1"/>
      <c r="O788" s="1"/>
      <c r="T788" s="1"/>
    </row>
    <row r="789" spans="1:20" x14ac:dyDescent="0.3">
      <c r="A789" s="1" t="s">
        <v>177</v>
      </c>
      <c r="B789" s="1"/>
      <c r="C789" s="2"/>
      <c r="D789" s="1"/>
      <c r="E789" s="1"/>
      <c r="H789" s="1"/>
      <c r="K789" s="1"/>
      <c r="M789" s="1"/>
      <c r="N789" s="1"/>
      <c r="O789" s="1"/>
      <c r="T789" s="1"/>
    </row>
    <row r="790" spans="1:20" x14ac:dyDescent="0.3">
      <c r="A790" s="1" t="s">
        <v>177</v>
      </c>
      <c r="B790" s="1"/>
      <c r="C790" s="2"/>
      <c r="D790" s="1"/>
      <c r="E790" s="1"/>
      <c r="H790" s="1"/>
      <c r="K790" s="1"/>
      <c r="M790" s="1"/>
      <c r="N790" s="1"/>
      <c r="O790" s="1"/>
      <c r="T790" s="1"/>
    </row>
    <row r="791" spans="1:20" x14ac:dyDescent="0.3">
      <c r="A791" s="1" t="s">
        <v>177</v>
      </c>
      <c r="B791" s="1"/>
      <c r="C791" s="2"/>
      <c r="D791" s="1"/>
      <c r="E791" s="1"/>
      <c r="H791" s="1"/>
      <c r="K791" s="1"/>
      <c r="M791" s="1"/>
      <c r="N791" s="1"/>
      <c r="O791" s="1"/>
      <c r="T791" s="1"/>
    </row>
    <row r="792" spans="1:20" x14ac:dyDescent="0.3">
      <c r="A792" s="1" t="s">
        <v>177</v>
      </c>
      <c r="B792" s="1"/>
      <c r="C792" s="2"/>
      <c r="D792" s="1"/>
      <c r="E792" s="1"/>
      <c r="H792" s="1"/>
      <c r="K792" s="1"/>
      <c r="M792" s="1"/>
      <c r="N792" s="1"/>
      <c r="O792" s="1"/>
      <c r="T792" s="1"/>
    </row>
    <row r="793" spans="1:20" x14ac:dyDescent="0.3">
      <c r="A793" s="1" t="s">
        <v>177</v>
      </c>
      <c r="B793" s="1"/>
      <c r="C793" s="2"/>
      <c r="D793" s="1"/>
      <c r="E793" s="1"/>
      <c r="H793" s="1"/>
      <c r="K793" s="1"/>
      <c r="M793" s="1"/>
      <c r="N793" s="1"/>
      <c r="O793" s="1"/>
      <c r="T793" s="1"/>
    </row>
    <row r="794" spans="1:20" x14ac:dyDescent="0.3">
      <c r="A794" s="1" t="s">
        <v>177</v>
      </c>
      <c r="B794" s="1"/>
      <c r="C794" s="2"/>
      <c r="D794" s="1"/>
      <c r="E794" s="1"/>
      <c r="H794" s="1"/>
      <c r="K794" s="1"/>
      <c r="M794" s="1"/>
      <c r="N794" s="1"/>
      <c r="O794" s="1"/>
      <c r="T794" s="1"/>
    </row>
    <row r="795" spans="1:20" x14ac:dyDescent="0.3">
      <c r="A795" s="1" t="s">
        <v>177</v>
      </c>
      <c r="B795" s="1"/>
      <c r="C795" s="2"/>
      <c r="D795" s="1"/>
      <c r="E795" s="1"/>
      <c r="H795" s="1"/>
      <c r="K795" s="1"/>
      <c r="M795" s="1"/>
      <c r="N795" s="1"/>
      <c r="O795" s="1"/>
      <c r="T795" s="1"/>
    </row>
    <row r="796" spans="1:20" x14ac:dyDescent="0.3">
      <c r="A796" s="1" t="s">
        <v>177</v>
      </c>
      <c r="B796" s="1"/>
      <c r="C796" s="2"/>
      <c r="D796" s="1"/>
      <c r="E796" s="1"/>
      <c r="H796" s="1"/>
      <c r="K796" s="1"/>
      <c r="M796" s="1"/>
      <c r="N796" s="1"/>
      <c r="O796" s="1"/>
      <c r="T796" s="1"/>
    </row>
    <row r="797" spans="1:20" x14ac:dyDescent="0.3">
      <c r="A797" s="1" t="s">
        <v>177</v>
      </c>
      <c r="B797" s="1"/>
      <c r="C797" s="2"/>
      <c r="D797" s="1"/>
      <c r="E797" s="1"/>
      <c r="H797" s="1"/>
      <c r="K797" s="1"/>
      <c r="M797" s="1"/>
      <c r="N797" s="1"/>
      <c r="O797" s="1"/>
      <c r="T797" s="1"/>
    </row>
    <row r="798" spans="1:20" x14ac:dyDescent="0.3">
      <c r="A798" s="1" t="s">
        <v>177</v>
      </c>
      <c r="B798" s="1"/>
      <c r="C798" s="2"/>
      <c r="D798" s="1"/>
      <c r="E798" s="1"/>
      <c r="H798" s="1"/>
      <c r="K798" s="1"/>
      <c r="M798" s="1"/>
      <c r="N798" s="1"/>
      <c r="O798" s="1"/>
      <c r="T798" s="1"/>
    </row>
    <row r="799" spans="1:20" x14ac:dyDescent="0.3">
      <c r="A799" s="1" t="s">
        <v>177</v>
      </c>
      <c r="B799" s="1"/>
      <c r="C799" s="2"/>
      <c r="D799" s="1"/>
      <c r="E799" s="1"/>
      <c r="H799" s="1"/>
      <c r="K799" s="1"/>
      <c r="M799" s="1"/>
      <c r="N799" s="1"/>
      <c r="O799" s="1"/>
      <c r="T799" s="1"/>
    </row>
    <row r="800" spans="1:20" x14ac:dyDescent="0.3">
      <c r="A800" s="1" t="s">
        <v>177</v>
      </c>
      <c r="B800" s="1"/>
      <c r="C800" s="2"/>
      <c r="D800" s="1"/>
      <c r="E800" s="1"/>
      <c r="H800" s="1"/>
      <c r="K800" s="1"/>
      <c r="M800" s="1"/>
      <c r="N800" s="1"/>
      <c r="O800" s="1"/>
      <c r="T800" s="1"/>
    </row>
    <row r="801" spans="1:20" x14ac:dyDescent="0.3">
      <c r="A801" s="1" t="s">
        <v>177</v>
      </c>
      <c r="B801" s="1"/>
      <c r="C801" s="2"/>
      <c r="D801" s="1"/>
      <c r="E801" s="1"/>
      <c r="H801" s="1"/>
      <c r="K801" s="1"/>
      <c r="M801" s="1"/>
      <c r="N801" s="1"/>
      <c r="O801" s="1"/>
      <c r="T801" s="1"/>
    </row>
    <row r="802" spans="1:20" x14ac:dyDescent="0.3">
      <c r="A802" s="1" t="s">
        <v>177</v>
      </c>
      <c r="B802" s="1"/>
      <c r="C802" s="2"/>
      <c r="D802" s="1"/>
      <c r="E802" s="1"/>
      <c r="H802" s="1"/>
      <c r="K802" s="1"/>
      <c r="M802" s="1"/>
      <c r="N802" s="1"/>
      <c r="O802" s="1"/>
      <c r="T802" s="1"/>
    </row>
    <row r="803" spans="1:20" x14ac:dyDescent="0.3">
      <c r="A803" s="1" t="s">
        <v>177</v>
      </c>
      <c r="B803" s="1"/>
      <c r="C803" s="2"/>
      <c r="D803" s="1"/>
      <c r="E803" s="1"/>
      <c r="H803" s="1"/>
      <c r="K803" s="1"/>
      <c r="M803" s="1"/>
      <c r="N803" s="1"/>
      <c r="O803" s="1"/>
      <c r="T803" s="1"/>
    </row>
    <row r="804" spans="1:20" x14ac:dyDescent="0.3">
      <c r="A804" s="1" t="s">
        <v>177</v>
      </c>
      <c r="B804" s="1"/>
      <c r="C804" s="2"/>
      <c r="D804" s="1"/>
      <c r="E804" s="1"/>
      <c r="H804" s="1"/>
      <c r="K804" s="1"/>
      <c r="M804" s="1"/>
      <c r="N804" s="1"/>
      <c r="O804" s="1"/>
      <c r="T804" s="1"/>
    </row>
    <row r="805" spans="1:20" x14ac:dyDescent="0.3">
      <c r="A805" s="1" t="s">
        <v>177</v>
      </c>
      <c r="B805" s="1"/>
      <c r="C805" s="2"/>
      <c r="D805" s="1"/>
      <c r="E805" s="1"/>
      <c r="H805" s="1"/>
      <c r="K805" s="1"/>
      <c r="M805" s="1"/>
      <c r="N805" s="1"/>
      <c r="O805" s="1"/>
      <c r="T805" s="1"/>
    </row>
    <row r="806" spans="1:20" x14ac:dyDescent="0.3">
      <c r="A806" s="1" t="s">
        <v>177</v>
      </c>
      <c r="B806" s="1"/>
      <c r="C806" s="2"/>
      <c r="D806" s="1"/>
      <c r="E806" s="1"/>
      <c r="H806" s="1"/>
      <c r="K806" s="1"/>
      <c r="M806" s="1"/>
      <c r="N806" s="1"/>
      <c r="O806" s="1"/>
      <c r="T806" s="1"/>
    </row>
    <row r="807" spans="1:20" x14ac:dyDescent="0.3">
      <c r="A807" s="1" t="s">
        <v>177</v>
      </c>
      <c r="B807" s="1"/>
      <c r="C807" s="2"/>
      <c r="D807" s="1"/>
      <c r="E807" s="1"/>
      <c r="H807" s="1"/>
      <c r="K807" s="1"/>
      <c r="M807" s="1"/>
      <c r="N807" s="1"/>
      <c r="O807" s="1"/>
      <c r="T807" s="1"/>
    </row>
    <row r="808" spans="1:20" x14ac:dyDescent="0.3">
      <c r="A808" s="1" t="s">
        <v>177</v>
      </c>
      <c r="B808" s="1"/>
      <c r="C808" s="2"/>
      <c r="D808" s="1"/>
      <c r="E808" s="1"/>
      <c r="H808" s="1"/>
      <c r="K808" s="1"/>
      <c r="M808" s="1"/>
      <c r="N808" s="1"/>
      <c r="O808" s="1"/>
      <c r="T808" s="1"/>
    </row>
    <row r="809" spans="1:20" x14ac:dyDescent="0.3">
      <c r="A809" s="1" t="s">
        <v>177</v>
      </c>
      <c r="B809" s="1"/>
      <c r="C809" s="2"/>
      <c r="D809" s="1"/>
      <c r="E809" s="1"/>
      <c r="H809" s="1"/>
      <c r="K809" s="1"/>
      <c r="M809" s="1"/>
      <c r="N809" s="1"/>
      <c r="O809" s="1"/>
      <c r="T809" s="1"/>
    </row>
    <row r="810" spans="1:20" x14ac:dyDescent="0.3">
      <c r="A810" s="1" t="s">
        <v>177</v>
      </c>
      <c r="B810" s="1"/>
      <c r="C810" s="2"/>
      <c r="D810" s="1"/>
      <c r="E810" s="1"/>
      <c r="H810" s="1"/>
      <c r="K810" s="1"/>
      <c r="M810" s="1"/>
      <c r="N810" s="1"/>
      <c r="O810" s="1"/>
      <c r="T810" s="1"/>
    </row>
    <row r="811" spans="1:20" x14ac:dyDescent="0.3">
      <c r="A811" s="1" t="s">
        <v>177</v>
      </c>
      <c r="B811" s="1"/>
      <c r="C811" s="2"/>
      <c r="D811" s="1"/>
      <c r="E811" s="1"/>
      <c r="H811" s="1"/>
      <c r="K811" s="1"/>
      <c r="M811" s="1"/>
      <c r="N811" s="1"/>
      <c r="O811" s="1"/>
      <c r="T811" s="1"/>
    </row>
    <row r="812" spans="1:20" x14ac:dyDescent="0.3">
      <c r="A812" s="1" t="s">
        <v>177</v>
      </c>
      <c r="B812" s="1"/>
      <c r="C812" s="2"/>
      <c r="D812" s="1"/>
      <c r="E812" s="1"/>
      <c r="H812" s="1"/>
      <c r="K812" s="1"/>
      <c r="M812" s="1"/>
      <c r="N812" s="1"/>
      <c r="O812" s="1"/>
      <c r="T812" s="1"/>
    </row>
    <row r="813" spans="1:20" x14ac:dyDescent="0.3">
      <c r="A813" s="1" t="s">
        <v>177</v>
      </c>
      <c r="B813" s="1"/>
      <c r="C813" s="2"/>
      <c r="D813" s="1"/>
      <c r="E813" s="1"/>
      <c r="H813" s="1"/>
      <c r="K813" s="1"/>
      <c r="M813" s="1"/>
      <c r="N813" s="1"/>
      <c r="O813" s="1"/>
      <c r="T813" s="1"/>
    </row>
    <row r="814" spans="1:20" x14ac:dyDescent="0.3">
      <c r="A814" s="1" t="s">
        <v>177</v>
      </c>
      <c r="B814" s="1"/>
      <c r="C814" s="2"/>
      <c r="D814" s="1"/>
      <c r="E814" s="1"/>
      <c r="H814" s="1"/>
      <c r="K814" s="1"/>
      <c r="M814" s="1"/>
      <c r="N814" s="1"/>
      <c r="O814" s="1"/>
      <c r="T814" s="1"/>
    </row>
    <row r="815" spans="1:20" x14ac:dyDescent="0.3">
      <c r="A815" s="1" t="s">
        <v>177</v>
      </c>
      <c r="B815" s="1"/>
      <c r="C815" s="2"/>
      <c r="D815" s="1"/>
      <c r="E815" s="1"/>
      <c r="H815" s="1"/>
      <c r="K815" s="1"/>
      <c r="M815" s="1"/>
      <c r="N815" s="1"/>
      <c r="O815" s="1"/>
      <c r="T815" s="1"/>
    </row>
    <row r="816" spans="1:20" x14ac:dyDescent="0.3">
      <c r="A816" s="1" t="s">
        <v>177</v>
      </c>
      <c r="B816" s="1"/>
      <c r="C816" s="2"/>
      <c r="D816" s="1"/>
      <c r="E816" s="1"/>
      <c r="H816" s="1"/>
      <c r="K816" s="1"/>
      <c r="M816" s="1"/>
      <c r="N816" s="1"/>
      <c r="O816" s="1"/>
      <c r="T816" s="1"/>
    </row>
    <row r="817" spans="1:20" x14ac:dyDescent="0.3">
      <c r="A817" s="1" t="s">
        <v>177</v>
      </c>
      <c r="B817" s="1"/>
      <c r="C817" s="2"/>
      <c r="D817" s="1"/>
      <c r="E817" s="1"/>
      <c r="H817" s="1"/>
      <c r="K817" s="1"/>
      <c r="M817" s="1"/>
      <c r="N817" s="1"/>
      <c r="O817" s="1"/>
      <c r="T817" s="1"/>
    </row>
    <row r="818" spans="1:20" x14ac:dyDescent="0.3">
      <c r="A818" s="1" t="s">
        <v>177</v>
      </c>
      <c r="B818" s="1"/>
      <c r="C818" s="2"/>
      <c r="D818" s="1"/>
      <c r="E818" s="1"/>
      <c r="H818" s="1"/>
      <c r="K818" s="1"/>
      <c r="M818" s="1"/>
      <c r="N818" s="1"/>
      <c r="O818" s="1"/>
      <c r="T818" s="1"/>
    </row>
    <row r="819" spans="1:20" x14ac:dyDescent="0.3">
      <c r="A819" s="1" t="s">
        <v>177</v>
      </c>
      <c r="B819" s="1"/>
      <c r="C819" s="2"/>
      <c r="D819" s="1"/>
      <c r="E819" s="1"/>
      <c r="H819" s="1"/>
      <c r="K819" s="1"/>
      <c r="M819" s="1"/>
      <c r="N819" s="1"/>
      <c r="O819" s="1"/>
      <c r="T819" s="1"/>
    </row>
    <row r="820" spans="1:20" x14ac:dyDescent="0.3">
      <c r="A820" s="1" t="s">
        <v>177</v>
      </c>
      <c r="B820" s="1"/>
      <c r="C820" s="2"/>
      <c r="D820" s="1"/>
      <c r="E820" s="1"/>
      <c r="H820" s="1"/>
      <c r="K820" s="1"/>
      <c r="M820" s="1"/>
      <c r="N820" s="1"/>
      <c r="O820" s="1"/>
      <c r="T820" s="1"/>
    </row>
    <row r="821" spans="1:20" x14ac:dyDescent="0.3">
      <c r="A821" s="1" t="s">
        <v>177</v>
      </c>
      <c r="B821" s="1"/>
      <c r="C821" s="2"/>
      <c r="D821" s="1"/>
      <c r="E821" s="1"/>
      <c r="H821" s="1"/>
      <c r="K821" s="1"/>
      <c r="M821" s="1"/>
      <c r="N821" s="1"/>
      <c r="O821" s="1"/>
      <c r="T821" s="1"/>
    </row>
    <row r="822" spans="1:20" x14ac:dyDescent="0.3">
      <c r="A822" s="1" t="s">
        <v>177</v>
      </c>
      <c r="B822" s="1"/>
      <c r="C822" s="2"/>
      <c r="D822" s="1"/>
      <c r="E822" s="1"/>
      <c r="H822" s="1"/>
      <c r="K822" s="1"/>
      <c r="M822" s="1"/>
      <c r="N822" s="1"/>
      <c r="O822" s="1"/>
      <c r="T822" s="1"/>
    </row>
    <row r="823" spans="1:20" x14ac:dyDescent="0.3">
      <c r="A823" s="1" t="s">
        <v>177</v>
      </c>
      <c r="B823" s="1"/>
      <c r="C823" s="2"/>
      <c r="D823" s="1"/>
      <c r="E823" s="1"/>
      <c r="H823" s="1"/>
      <c r="K823" s="1"/>
      <c r="M823" s="1"/>
      <c r="N823" s="1"/>
      <c r="O823" s="1"/>
      <c r="T823" s="1"/>
    </row>
    <row r="824" spans="1:20" x14ac:dyDescent="0.3">
      <c r="A824" s="1" t="s">
        <v>177</v>
      </c>
      <c r="B824" s="1"/>
      <c r="C824" s="2"/>
      <c r="D824" s="1"/>
      <c r="E824" s="1"/>
      <c r="H824" s="1"/>
      <c r="K824" s="1"/>
      <c r="M824" s="1"/>
      <c r="N824" s="1"/>
      <c r="O824" s="1"/>
      <c r="T824" s="1"/>
    </row>
    <row r="825" spans="1:20" x14ac:dyDescent="0.3">
      <c r="A825" s="1" t="s">
        <v>177</v>
      </c>
      <c r="B825" s="1"/>
      <c r="C825" s="2"/>
      <c r="D825" s="1"/>
      <c r="E825" s="1"/>
      <c r="H825" s="1"/>
      <c r="K825" s="1"/>
      <c r="M825" s="1"/>
      <c r="N825" s="1"/>
      <c r="O825" s="1"/>
      <c r="T825" s="1"/>
    </row>
    <row r="826" spans="1:20" x14ac:dyDescent="0.3">
      <c r="A826" s="1" t="s">
        <v>177</v>
      </c>
      <c r="B826" s="1"/>
      <c r="C826" s="2"/>
      <c r="D826" s="1"/>
      <c r="E826" s="1"/>
      <c r="H826" s="1"/>
      <c r="K826" s="1"/>
      <c r="M826" s="1"/>
      <c r="N826" s="1"/>
      <c r="O826" s="1"/>
      <c r="T826" s="1"/>
    </row>
    <row r="827" spans="1:20" x14ac:dyDescent="0.3">
      <c r="A827" s="1" t="s">
        <v>177</v>
      </c>
      <c r="B827" s="1"/>
      <c r="C827" s="2"/>
      <c r="D827" s="1"/>
      <c r="E827" s="1"/>
      <c r="H827" s="1"/>
      <c r="K827" s="1"/>
      <c r="M827" s="1"/>
      <c r="N827" s="1"/>
      <c r="O827" s="1"/>
      <c r="T827" s="1"/>
    </row>
    <row r="828" spans="1:20" x14ac:dyDescent="0.3">
      <c r="A828" s="1" t="s">
        <v>177</v>
      </c>
      <c r="B828" s="1"/>
      <c r="C828" s="2"/>
      <c r="D828" s="1"/>
      <c r="E828" s="1"/>
      <c r="H828" s="1"/>
      <c r="K828" s="1"/>
      <c r="M828" s="1"/>
      <c r="N828" s="1"/>
      <c r="O828" s="1"/>
      <c r="T828" s="1"/>
    </row>
    <row r="829" spans="1:20" x14ac:dyDescent="0.3">
      <c r="A829" s="1" t="s">
        <v>177</v>
      </c>
      <c r="B829" s="1"/>
      <c r="C829" s="2"/>
      <c r="D829" s="1"/>
      <c r="E829" s="1"/>
      <c r="H829" s="1"/>
      <c r="K829" s="1"/>
      <c r="M829" s="1"/>
      <c r="N829" s="1"/>
      <c r="O829" s="1"/>
      <c r="T829" s="1"/>
    </row>
    <row r="830" spans="1:20" x14ac:dyDescent="0.3">
      <c r="A830" s="1" t="s">
        <v>177</v>
      </c>
      <c r="B830" s="1"/>
      <c r="C830" s="2"/>
      <c r="D830" s="1"/>
      <c r="E830" s="1"/>
      <c r="H830" s="1"/>
      <c r="K830" s="1"/>
      <c r="M830" s="1"/>
      <c r="N830" s="1"/>
      <c r="O830" s="1"/>
      <c r="T830" s="1"/>
    </row>
    <row r="831" spans="1:20" x14ac:dyDescent="0.3">
      <c r="A831" s="1" t="s">
        <v>177</v>
      </c>
      <c r="B831" s="1"/>
      <c r="C831" s="2"/>
      <c r="D831" s="1"/>
      <c r="E831" s="1"/>
      <c r="H831" s="1"/>
      <c r="K831" s="1"/>
      <c r="M831" s="1"/>
      <c r="N831" s="1"/>
      <c r="O831" s="1"/>
      <c r="T831" s="1"/>
    </row>
    <row r="832" spans="1:20" x14ac:dyDescent="0.3">
      <c r="A832" s="1" t="s">
        <v>177</v>
      </c>
      <c r="B832" s="1"/>
      <c r="C832" s="2"/>
      <c r="D832" s="1"/>
      <c r="E832" s="1"/>
      <c r="H832" s="1"/>
      <c r="K832" s="1"/>
      <c r="M832" s="1"/>
      <c r="N832" s="1"/>
      <c r="O832" s="1"/>
      <c r="T832" s="1"/>
    </row>
    <row r="833" spans="1:20" x14ac:dyDescent="0.3">
      <c r="A833" s="1" t="s">
        <v>177</v>
      </c>
      <c r="B833" s="1"/>
      <c r="C833" s="2"/>
      <c r="D833" s="1"/>
      <c r="E833" s="1"/>
      <c r="H833" s="1"/>
      <c r="K833" s="1"/>
      <c r="M833" s="1"/>
      <c r="N833" s="1"/>
      <c r="O833" s="1"/>
      <c r="T833" s="1"/>
    </row>
    <row r="834" spans="1:20" x14ac:dyDescent="0.3">
      <c r="A834" s="1" t="s">
        <v>177</v>
      </c>
      <c r="B834" s="1"/>
      <c r="C834" s="2"/>
      <c r="D834" s="1"/>
      <c r="E834" s="1"/>
      <c r="H834" s="1"/>
      <c r="K834" s="1"/>
      <c r="M834" s="1"/>
      <c r="N834" s="1"/>
      <c r="O834" s="1"/>
      <c r="T834" s="1"/>
    </row>
    <row r="835" spans="1:20" x14ac:dyDescent="0.3">
      <c r="A835" s="1" t="s">
        <v>177</v>
      </c>
      <c r="B835" s="1"/>
      <c r="C835" s="2"/>
      <c r="D835" s="1"/>
      <c r="E835" s="1"/>
      <c r="H835" s="1"/>
      <c r="K835" s="1"/>
      <c r="M835" s="1"/>
      <c r="N835" s="1"/>
      <c r="O835" s="1"/>
      <c r="T835" s="1"/>
    </row>
    <row r="836" spans="1:20" x14ac:dyDescent="0.3">
      <c r="A836" s="1" t="s">
        <v>177</v>
      </c>
      <c r="B836" s="1"/>
      <c r="C836" s="2"/>
      <c r="D836" s="1"/>
      <c r="E836" s="1"/>
      <c r="H836" s="1"/>
      <c r="K836" s="1"/>
      <c r="M836" s="1"/>
      <c r="N836" s="1"/>
      <c r="O836" s="1"/>
      <c r="T836" s="1"/>
    </row>
    <row r="837" spans="1:20" x14ac:dyDescent="0.3">
      <c r="A837" s="1" t="s">
        <v>177</v>
      </c>
      <c r="B837" s="1"/>
      <c r="C837" s="2"/>
      <c r="D837" s="1"/>
      <c r="E837" s="1"/>
      <c r="H837" s="1"/>
      <c r="K837" s="1"/>
      <c r="M837" s="1"/>
      <c r="N837" s="1"/>
      <c r="O837" s="1"/>
      <c r="T837" s="1"/>
    </row>
    <row r="838" spans="1:20" x14ac:dyDescent="0.3">
      <c r="A838" s="1" t="s">
        <v>177</v>
      </c>
      <c r="B838" s="1"/>
      <c r="C838" s="2"/>
      <c r="D838" s="1"/>
      <c r="E838" s="1"/>
      <c r="H838" s="1"/>
      <c r="K838" s="1"/>
      <c r="M838" s="1"/>
      <c r="N838" s="1"/>
      <c r="O838" s="1"/>
      <c r="T838" s="1"/>
    </row>
    <row r="839" spans="1:20" x14ac:dyDescent="0.3">
      <c r="A839" s="1" t="s">
        <v>177</v>
      </c>
      <c r="B839" s="1"/>
      <c r="C839" s="2"/>
      <c r="D839" s="1"/>
      <c r="E839" s="1"/>
      <c r="H839" s="1"/>
      <c r="K839" s="1"/>
      <c r="M839" s="1"/>
      <c r="N839" s="1"/>
      <c r="O839" s="1"/>
      <c r="T839" s="1"/>
    </row>
    <row r="840" spans="1:20" x14ac:dyDescent="0.3">
      <c r="A840" s="1" t="s">
        <v>177</v>
      </c>
      <c r="B840" s="1"/>
      <c r="C840" s="2"/>
      <c r="D840" s="1"/>
      <c r="E840" s="1"/>
      <c r="H840" s="1"/>
      <c r="K840" s="1"/>
      <c r="M840" s="1"/>
      <c r="N840" s="1"/>
      <c r="O840" s="1"/>
      <c r="T840" s="1"/>
    </row>
    <row r="841" spans="1:20" x14ac:dyDescent="0.3">
      <c r="A841" s="1" t="s">
        <v>177</v>
      </c>
      <c r="B841" s="1"/>
      <c r="C841" s="2"/>
      <c r="D841" s="1"/>
      <c r="E841" s="1"/>
      <c r="H841" s="1"/>
      <c r="K841" s="1"/>
      <c r="M841" s="1"/>
      <c r="N841" s="1"/>
      <c r="O841" s="1"/>
      <c r="T841" s="1"/>
    </row>
    <row r="842" spans="1:20" x14ac:dyDescent="0.3">
      <c r="A842" s="1" t="s">
        <v>177</v>
      </c>
      <c r="B842" s="1"/>
      <c r="C842" s="2"/>
      <c r="D842" s="1"/>
      <c r="E842" s="1"/>
      <c r="H842" s="1"/>
      <c r="K842" s="1"/>
      <c r="M842" s="1"/>
      <c r="N842" s="1"/>
      <c r="O842" s="1"/>
      <c r="T842" s="1"/>
    </row>
    <row r="843" spans="1:20" x14ac:dyDescent="0.3">
      <c r="A843" s="1" t="s">
        <v>177</v>
      </c>
      <c r="B843" s="1"/>
      <c r="C843" s="2"/>
      <c r="D843" s="1"/>
      <c r="E843" s="1"/>
      <c r="H843" s="1"/>
      <c r="K843" s="1"/>
      <c r="M843" s="1"/>
      <c r="N843" s="1"/>
      <c r="O843" s="1"/>
      <c r="T843" s="1"/>
    </row>
    <row r="844" spans="1:20" x14ac:dyDescent="0.3">
      <c r="A844" s="1" t="s">
        <v>177</v>
      </c>
      <c r="B844" s="1"/>
      <c r="C844" s="2"/>
      <c r="D844" s="1"/>
      <c r="E844" s="1"/>
      <c r="H844" s="1"/>
      <c r="K844" s="1"/>
      <c r="M844" s="1"/>
      <c r="N844" s="1"/>
      <c r="O844" s="1"/>
      <c r="T844" s="1"/>
    </row>
    <row r="845" spans="1:20" x14ac:dyDescent="0.3">
      <c r="A845" s="1" t="s">
        <v>177</v>
      </c>
      <c r="B845" s="1"/>
      <c r="C845" s="2"/>
      <c r="D845" s="1"/>
      <c r="E845" s="1"/>
      <c r="H845" s="1"/>
      <c r="K845" s="1"/>
      <c r="M845" s="1"/>
      <c r="N845" s="1"/>
      <c r="O845" s="1"/>
      <c r="T845" s="1"/>
    </row>
    <row r="846" spans="1:20" x14ac:dyDescent="0.3">
      <c r="A846" s="1" t="s">
        <v>177</v>
      </c>
      <c r="B846" s="1"/>
      <c r="C846" s="2"/>
      <c r="D846" s="1"/>
      <c r="E846" s="1"/>
      <c r="H846" s="1"/>
      <c r="K846" s="1"/>
      <c r="M846" s="1"/>
      <c r="N846" s="1"/>
      <c r="O846" s="1"/>
      <c r="T846" s="1"/>
    </row>
    <row r="847" spans="1:20" x14ac:dyDescent="0.3">
      <c r="A847" s="1" t="s">
        <v>177</v>
      </c>
      <c r="B847" s="1"/>
      <c r="C847" s="2"/>
      <c r="D847" s="1"/>
      <c r="E847" s="1"/>
      <c r="H847" s="1"/>
      <c r="K847" s="1"/>
      <c r="M847" s="1"/>
      <c r="N847" s="1"/>
      <c r="O847" s="1"/>
      <c r="T847" s="1"/>
    </row>
    <row r="848" spans="1:20" x14ac:dyDescent="0.3">
      <c r="A848" s="1" t="s">
        <v>177</v>
      </c>
      <c r="B848" s="1"/>
      <c r="C848" s="2"/>
      <c r="D848" s="1"/>
      <c r="E848" s="1"/>
      <c r="H848" s="1"/>
      <c r="K848" s="1"/>
      <c r="M848" s="1"/>
      <c r="N848" s="1"/>
      <c r="O848" s="1"/>
      <c r="T848" s="1"/>
    </row>
    <row r="849" spans="1:20" x14ac:dyDescent="0.3">
      <c r="A849" s="1" t="s">
        <v>177</v>
      </c>
      <c r="B849" s="1"/>
      <c r="C849" s="2"/>
      <c r="D849" s="1"/>
      <c r="E849" s="1"/>
      <c r="H849" s="1"/>
      <c r="K849" s="1"/>
      <c r="M849" s="1"/>
      <c r="N849" s="1"/>
      <c r="O849" s="1"/>
      <c r="T849" s="1"/>
    </row>
    <row r="850" spans="1:20" x14ac:dyDescent="0.3">
      <c r="A850" s="1" t="s">
        <v>177</v>
      </c>
      <c r="B850" s="1"/>
      <c r="C850" s="2"/>
      <c r="D850" s="1"/>
      <c r="E850" s="1"/>
      <c r="H850" s="1"/>
      <c r="K850" s="1"/>
      <c r="M850" s="1"/>
      <c r="N850" s="1"/>
      <c r="O850" s="1"/>
      <c r="T850" s="1"/>
    </row>
    <row r="851" spans="1:20" x14ac:dyDescent="0.3">
      <c r="A851" s="1" t="s">
        <v>177</v>
      </c>
      <c r="B851" s="1"/>
      <c r="C851" s="2"/>
      <c r="D851" s="1"/>
      <c r="E851" s="1"/>
      <c r="H851" s="1"/>
      <c r="K851" s="1"/>
      <c r="M851" s="1"/>
      <c r="N851" s="1"/>
      <c r="O851" s="1"/>
      <c r="T851" s="1"/>
    </row>
    <row r="852" spans="1:20" x14ac:dyDescent="0.3">
      <c r="A852" s="1" t="s">
        <v>177</v>
      </c>
      <c r="B852" s="1"/>
      <c r="C852" s="2"/>
      <c r="D852" s="1"/>
      <c r="E852" s="1"/>
      <c r="H852" s="1"/>
      <c r="K852" s="1"/>
      <c r="M852" s="1"/>
      <c r="N852" s="1"/>
      <c r="O852" s="1"/>
      <c r="T852" s="1"/>
    </row>
    <row r="853" spans="1:20" x14ac:dyDescent="0.3">
      <c r="A853" s="1" t="s">
        <v>177</v>
      </c>
      <c r="B853" s="1"/>
      <c r="C853" s="2"/>
      <c r="D853" s="1"/>
      <c r="E853" s="1"/>
      <c r="H853" s="1"/>
      <c r="K853" s="1"/>
      <c r="M853" s="1"/>
      <c r="N853" s="1"/>
      <c r="O853" s="1"/>
      <c r="T853" s="1"/>
    </row>
    <row r="854" spans="1:20" x14ac:dyDescent="0.3">
      <c r="A854" s="1" t="s">
        <v>177</v>
      </c>
      <c r="B854" s="1"/>
      <c r="C854" s="2"/>
      <c r="D854" s="1"/>
      <c r="E854" s="1"/>
      <c r="H854" s="1"/>
      <c r="K854" s="1"/>
      <c r="M854" s="1"/>
      <c r="N854" s="1"/>
      <c r="O854" s="1"/>
      <c r="T854" s="1"/>
    </row>
    <row r="855" spans="1:20" x14ac:dyDescent="0.3">
      <c r="A855" s="1" t="s">
        <v>177</v>
      </c>
      <c r="B855" s="1"/>
      <c r="C855" s="2"/>
      <c r="D855" s="1"/>
      <c r="E855" s="1"/>
      <c r="H855" s="1"/>
      <c r="K855" s="1"/>
      <c r="M855" s="1"/>
      <c r="N855" s="1"/>
      <c r="O855" s="1"/>
      <c r="T855" s="1"/>
    </row>
    <row r="856" spans="1:20" x14ac:dyDescent="0.3">
      <c r="A856" s="1" t="s">
        <v>177</v>
      </c>
      <c r="B856" s="1"/>
      <c r="C856" s="2"/>
      <c r="D856" s="1"/>
      <c r="E856" s="1"/>
      <c r="H856" s="1"/>
      <c r="K856" s="1"/>
      <c r="M856" s="1"/>
      <c r="N856" s="1"/>
      <c r="O856" s="1"/>
      <c r="T856" s="1"/>
    </row>
    <row r="857" spans="1:20" x14ac:dyDescent="0.3">
      <c r="A857" s="1" t="s">
        <v>177</v>
      </c>
      <c r="B857" s="1"/>
      <c r="C857" s="2"/>
      <c r="D857" s="1"/>
      <c r="E857" s="1"/>
      <c r="H857" s="1"/>
      <c r="K857" s="1"/>
      <c r="M857" s="1"/>
      <c r="N857" s="1"/>
      <c r="O857" s="1"/>
      <c r="T857" s="1"/>
    </row>
    <row r="858" spans="1:20" x14ac:dyDescent="0.3">
      <c r="A858" s="1" t="s">
        <v>177</v>
      </c>
      <c r="B858" s="1"/>
      <c r="C858" s="2"/>
      <c r="D858" s="1"/>
      <c r="E858" s="1"/>
      <c r="H858" s="1"/>
      <c r="K858" s="1"/>
      <c r="M858" s="1"/>
      <c r="N858" s="1"/>
      <c r="O858" s="1"/>
      <c r="T858" s="1"/>
    </row>
    <row r="859" spans="1:20" x14ac:dyDescent="0.3">
      <c r="A859" s="1" t="s">
        <v>177</v>
      </c>
      <c r="B859" s="1"/>
      <c r="C859" s="2"/>
      <c r="D859" s="1"/>
      <c r="E859" s="1"/>
      <c r="H859" s="1"/>
      <c r="K859" s="1"/>
      <c r="M859" s="1"/>
      <c r="N859" s="1"/>
      <c r="O859" s="1"/>
      <c r="T859" s="1"/>
    </row>
    <row r="860" spans="1:20" x14ac:dyDescent="0.3">
      <c r="A860" s="1" t="s">
        <v>177</v>
      </c>
      <c r="B860" s="1"/>
      <c r="C860" s="2"/>
      <c r="D860" s="1"/>
      <c r="E860" s="1"/>
      <c r="H860" s="1"/>
      <c r="K860" s="1"/>
      <c r="M860" s="1"/>
      <c r="N860" s="1"/>
      <c r="O860" s="1"/>
      <c r="T860" s="1"/>
    </row>
    <row r="861" spans="1:20" x14ac:dyDescent="0.3">
      <c r="A861" s="1" t="s">
        <v>177</v>
      </c>
      <c r="B861" s="1"/>
      <c r="C861" s="2"/>
      <c r="D861" s="1"/>
      <c r="E861" s="1"/>
      <c r="H861" s="1"/>
      <c r="K861" s="1"/>
      <c r="M861" s="1"/>
      <c r="N861" s="1"/>
      <c r="O861" s="1"/>
      <c r="T861" s="1"/>
    </row>
    <row r="862" spans="1:20" x14ac:dyDescent="0.3">
      <c r="A862" s="1" t="s">
        <v>177</v>
      </c>
      <c r="B862" s="1"/>
      <c r="C862" s="2"/>
      <c r="D862" s="1"/>
      <c r="E862" s="1"/>
      <c r="H862" s="1"/>
      <c r="K862" s="1"/>
      <c r="M862" s="1"/>
      <c r="N862" s="1"/>
      <c r="O862" s="1"/>
      <c r="T862" s="1"/>
    </row>
    <row r="863" spans="1:20" x14ac:dyDescent="0.3">
      <c r="A863" s="1" t="s">
        <v>177</v>
      </c>
      <c r="B863" s="1"/>
      <c r="C863" s="2"/>
      <c r="D863" s="1"/>
      <c r="E863" s="1"/>
      <c r="H863" s="1"/>
      <c r="K863" s="1"/>
      <c r="M863" s="1"/>
      <c r="N863" s="1"/>
      <c r="O863" s="1"/>
      <c r="T863" s="1"/>
    </row>
    <row r="864" spans="1:20" x14ac:dyDescent="0.3">
      <c r="A864" s="1" t="s">
        <v>177</v>
      </c>
      <c r="B864" s="1"/>
      <c r="C864" s="2"/>
      <c r="D864" s="1"/>
      <c r="E864" s="1"/>
      <c r="H864" s="1"/>
      <c r="K864" s="1"/>
      <c r="M864" s="1"/>
      <c r="N864" s="1"/>
      <c r="O864" s="1"/>
      <c r="T864" s="1"/>
    </row>
    <row r="865" spans="1:20" x14ac:dyDescent="0.3">
      <c r="A865" s="1" t="s">
        <v>177</v>
      </c>
      <c r="B865" s="1"/>
      <c r="C865" s="2"/>
      <c r="D865" s="1"/>
      <c r="E865" s="1"/>
      <c r="H865" s="1"/>
      <c r="K865" s="1"/>
      <c r="M865" s="1"/>
      <c r="N865" s="1"/>
      <c r="O865" s="1"/>
      <c r="T865" s="1"/>
    </row>
    <row r="866" spans="1:20" x14ac:dyDescent="0.3">
      <c r="A866" s="1" t="s">
        <v>177</v>
      </c>
      <c r="B866" s="1"/>
      <c r="C866" s="2"/>
      <c r="D866" s="1"/>
      <c r="E866" s="1"/>
      <c r="H866" s="1"/>
      <c r="K866" s="1"/>
      <c r="M866" s="1"/>
      <c r="N866" s="1"/>
      <c r="O866" s="1"/>
      <c r="T866" s="1"/>
    </row>
    <row r="867" spans="1:20" x14ac:dyDescent="0.3">
      <c r="A867" s="1" t="s">
        <v>177</v>
      </c>
      <c r="B867" s="1"/>
      <c r="C867" s="2"/>
      <c r="D867" s="1"/>
      <c r="E867" s="1"/>
      <c r="H867" s="1"/>
      <c r="K867" s="1"/>
      <c r="M867" s="1"/>
      <c r="N867" s="1"/>
      <c r="O867" s="1"/>
      <c r="T867" s="1"/>
    </row>
    <row r="868" spans="1:20" x14ac:dyDescent="0.3">
      <c r="A868" s="1" t="s">
        <v>177</v>
      </c>
      <c r="B868" s="1"/>
      <c r="C868" s="2"/>
      <c r="D868" s="1"/>
      <c r="E868" s="1"/>
      <c r="H868" s="1"/>
      <c r="K868" s="1"/>
      <c r="M868" s="1"/>
      <c r="N868" s="1"/>
      <c r="O868" s="1"/>
      <c r="T868" s="1"/>
    </row>
    <row r="869" spans="1:20" x14ac:dyDescent="0.3">
      <c r="A869" s="1" t="s">
        <v>177</v>
      </c>
      <c r="B869" s="1"/>
      <c r="C869" s="2"/>
      <c r="D869" s="1"/>
      <c r="E869" s="1"/>
      <c r="H869" s="1"/>
      <c r="K869" s="1"/>
      <c r="M869" s="1"/>
      <c r="N869" s="1"/>
      <c r="O869" s="1"/>
      <c r="T869" s="1"/>
    </row>
    <row r="870" spans="1:20" x14ac:dyDescent="0.3">
      <c r="A870" s="1" t="s">
        <v>177</v>
      </c>
      <c r="B870" s="1"/>
      <c r="C870" s="2"/>
      <c r="D870" s="1"/>
      <c r="E870" s="1"/>
      <c r="H870" s="1"/>
      <c r="K870" s="1"/>
      <c r="M870" s="1"/>
      <c r="N870" s="1"/>
      <c r="O870" s="1"/>
      <c r="T870" s="1"/>
    </row>
    <row r="871" spans="1:20" x14ac:dyDescent="0.3">
      <c r="A871" s="1" t="s">
        <v>177</v>
      </c>
      <c r="B871" s="1"/>
      <c r="C871" s="2"/>
      <c r="D871" s="1"/>
      <c r="E871" s="1"/>
      <c r="H871" s="1"/>
      <c r="K871" s="1"/>
      <c r="M871" s="1"/>
      <c r="N871" s="1"/>
      <c r="O871" s="1"/>
      <c r="T871" s="1"/>
    </row>
    <row r="872" spans="1:20" x14ac:dyDescent="0.3">
      <c r="A872" s="1" t="s">
        <v>177</v>
      </c>
      <c r="B872" s="1"/>
      <c r="C872" s="2"/>
      <c r="D872" s="1"/>
      <c r="E872" s="1"/>
      <c r="H872" s="1"/>
      <c r="K872" s="1"/>
      <c r="M872" s="1"/>
      <c r="N872" s="1"/>
      <c r="O872" s="1"/>
      <c r="T872" s="1"/>
    </row>
    <row r="873" spans="1:20" x14ac:dyDescent="0.3">
      <c r="A873" s="1" t="s">
        <v>177</v>
      </c>
      <c r="B873" s="1"/>
      <c r="C873" s="2"/>
      <c r="D873" s="1"/>
      <c r="E873" s="1"/>
      <c r="H873" s="1"/>
      <c r="K873" s="1"/>
      <c r="M873" s="1"/>
      <c r="N873" s="1"/>
      <c r="O873" s="1"/>
      <c r="T873" s="1"/>
    </row>
    <row r="874" spans="1:20" x14ac:dyDescent="0.3">
      <c r="A874" s="1" t="s">
        <v>177</v>
      </c>
      <c r="B874" s="1"/>
      <c r="C874" s="2"/>
      <c r="D874" s="1"/>
      <c r="E874" s="1"/>
      <c r="H874" s="1"/>
      <c r="K874" s="1"/>
      <c r="M874" s="1"/>
      <c r="N874" s="1"/>
      <c r="O874" s="1"/>
      <c r="T874" s="1"/>
    </row>
    <row r="875" spans="1:20" x14ac:dyDescent="0.3">
      <c r="A875" s="1" t="s">
        <v>177</v>
      </c>
      <c r="B875" s="1"/>
      <c r="C875" s="2"/>
      <c r="D875" s="1"/>
      <c r="E875" s="1"/>
      <c r="H875" s="1"/>
      <c r="K875" s="1"/>
      <c r="M875" s="1"/>
      <c r="N875" s="1"/>
      <c r="O875" s="1"/>
      <c r="T875" s="1"/>
    </row>
    <row r="876" spans="1:20" x14ac:dyDescent="0.3">
      <c r="A876" s="1" t="s">
        <v>177</v>
      </c>
      <c r="B876" s="1"/>
      <c r="C876" s="2"/>
      <c r="D876" s="1"/>
      <c r="E876" s="1"/>
      <c r="H876" s="1"/>
      <c r="K876" s="1"/>
      <c r="M876" s="1"/>
      <c r="N876" s="1"/>
      <c r="O876" s="1"/>
      <c r="T876" s="1"/>
    </row>
    <row r="877" spans="1:20" x14ac:dyDescent="0.3">
      <c r="A877" s="1" t="s">
        <v>177</v>
      </c>
      <c r="B877" s="1"/>
      <c r="C877" s="2"/>
      <c r="D877" s="1"/>
      <c r="E877" s="1"/>
      <c r="H877" s="1"/>
      <c r="K877" s="1"/>
      <c r="M877" s="1"/>
      <c r="N877" s="1"/>
      <c r="O877" s="1"/>
      <c r="T877" s="1"/>
    </row>
    <row r="878" spans="1:20" x14ac:dyDescent="0.3">
      <c r="A878" s="1" t="s">
        <v>177</v>
      </c>
      <c r="B878" s="1"/>
      <c r="C878" s="2"/>
      <c r="D878" s="1"/>
      <c r="E878" s="1"/>
      <c r="H878" s="1"/>
      <c r="K878" s="1"/>
      <c r="M878" s="1"/>
      <c r="N878" s="1"/>
      <c r="O878" s="1"/>
      <c r="T878" s="1"/>
    </row>
    <row r="879" spans="1:20" x14ac:dyDescent="0.3">
      <c r="A879" s="1" t="s">
        <v>177</v>
      </c>
      <c r="B879" s="1"/>
      <c r="C879" s="2"/>
      <c r="D879" s="1"/>
      <c r="E879" s="1"/>
      <c r="H879" s="1"/>
      <c r="K879" s="1"/>
      <c r="M879" s="1"/>
      <c r="N879" s="1"/>
      <c r="O879" s="1"/>
      <c r="T879" s="1"/>
    </row>
    <row r="880" spans="1:20" x14ac:dyDescent="0.3">
      <c r="A880" s="1" t="s">
        <v>177</v>
      </c>
      <c r="B880" s="1"/>
      <c r="C880" s="2"/>
      <c r="D880" s="1"/>
      <c r="E880" s="1"/>
      <c r="H880" s="1"/>
      <c r="K880" s="1"/>
      <c r="M880" s="1"/>
      <c r="N880" s="1"/>
      <c r="O880" s="1"/>
      <c r="T880" s="1"/>
    </row>
    <row r="881" spans="1:20" x14ac:dyDescent="0.3">
      <c r="A881" s="1" t="s">
        <v>177</v>
      </c>
      <c r="B881" s="1"/>
      <c r="C881" s="2"/>
      <c r="D881" s="1"/>
      <c r="E881" s="1"/>
      <c r="H881" s="1"/>
      <c r="K881" s="1"/>
      <c r="M881" s="1"/>
      <c r="N881" s="1"/>
      <c r="O881" s="1"/>
      <c r="T881" s="1"/>
    </row>
    <row r="882" spans="1:20" x14ac:dyDescent="0.3">
      <c r="A882" s="1" t="s">
        <v>177</v>
      </c>
      <c r="B882" s="1"/>
      <c r="C882" s="2"/>
      <c r="D882" s="1"/>
      <c r="E882" s="1"/>
      <c r="H882" s="1"/>
      <c r="K882" s="1"/>
      <c r="M882" s="1"/>
      <c r="N882" s="1"/>
      <c r="O882" s="1"/>
      <c r="T882" s="1"/>
    </row>
    <row r="883" spans="1:20" x14ac:dyDescent="0.3">
      <c r="A883" s="1" t="s">
        <v>177</v>
      </c>
      <c r="B883" s="1"/>
      <c r="C883" s="2"/>
      <c r="D883" s="1"/>
      <c r="E883" s="1"/>
      <c r="H883" s="1"/>
      <c r="K883" s="1"/>
      <c r="M883" s="1"/>
      <c r="N883" s="1"/>
      <c r="O883" s="1"/>
      <c r="T883" s="1"/>
    </row>
    <row r="884" spans="1:20" x14ac:dyDescent="0.3">
      <c r="A884" s="1" t="s">
        <v>177</v>
      </c>
      <c r="B884" s="1"/>
      <c r="C884" s="2"/>
      <c r="D884" s="1"/>
      <c r="E884" s="1"/>
      <c r="H884" s="1"/>
      <c r="K884" s="1"/>
      <c r="M884" s="1"/>
      <c r="N884" s="1"/>
      <c r="O884" s="1"/>
      <c r="T884" s="1"/>
    </row>
    <row r="885" spans="1:20" x14ac:dyDescent="0.3">
      <c r="A885" s="1" t="s">
        <v>177</v>
      </c>
      <c r="B885" s="1"/>
      <c r="C885" s="2"/>
      <c r="D885" s="1"/>
      <c r="E885" s="1"/>
      <c r="H885" s="1"/>
      <c r="K885" s="1"/>
      <c r="M885" s="1"/>
      <c r="N885" s="1"/>
      <c r="O885" s="1"/>
      <c r="T885" s="1"/>
    </row>
    <row r="886" spans="1:20" x14ac:dyDescent="0.3">
      <c r="A886" s="1" t="s">
        <v>177</v>
      </c>
      <c r="B886" s="1"/>
      <c r="C886" s="2"/>
      <c r="D886" s="1"/>
      <c r="E886" s="1"/>
      <c r="H886" s="1"/>
      <c r="K886" s="1"/>
      <c r="M886" s="1"/>
      <c r="N886" s="1"/>
      <c r="O886" s="1"/>
      <c r="T886" s="1"/>
    </row>
    <row r="887" spans="1:20" x14ac:dyDescent="0.3">
      <c r="A887" s="1" t="s">
        <v>177</v>
      </c>
      <c r="B887" s="1"/>
      <c r="C887" s="2"/>
      <c r="D887" s="1"/>
      <c r="E887" s="1"/>
      <c r="H887" s="1"/>
      <c r="K887" s="1"/>
      <c r="M887" s="1"/>
      <c r="N887" s="1"/>
      <c r="O887" s="1"/>
      <c r="T887" s="1"/>
    </row>
    <row r="888" spans="1:20" x14ac:dyDescent="0.3">
      <c r="A888" s="1" t="s">
        <v>177</v>
      </c>
      <c r="B888" s="1"/>
      <c r="C888" s="2"/>
      <c r="D888" s="1"/>
      <c r="E888" s="1"/>
      <c r="H888" s="1"/>
      <c r="K888" s="1"/>
      <c r="M888" s="1"/>
      <c r="N888" s="1"/>
      <c r="O888" s="1"/>
      <c r="T888" s="1"/>
    </row>
    <row r="889" spans="1:20" x14ac:dyDescent="0.3">
      <c r="A889" s="1" t="s">
        <v>177</v>
      </c>
      <c r="B889" s="1"/>
      <c r="C889" s="2"/>
      <c r="D889" s="1"/>
      <c r="E889" s="1"/>
      <c r="H889" s="1"/>
      <c r="K889" s="1"/>
      <c r="M889" s="1"/>
      <c r="N889" s="1"/>
      <c r="O889" s="1"/>
      <c r="T889" s="1"/>
    </row>
    <row r="890" spans="1:20" x14ac:dyDescent="0.3">
      <c r="A890" s="1" t="s">
        <v>177</v>
      </c>
      <c r="B890" s="1"/>
      <c r="C890" s="2"/>
      <c r="D890" s="1"/>
      <c r="E890" s="1"/>
      <c r="H890" s="1"/>
      <c r="K890" s="1"/>
      <c r="M890" s="1"/>
      <c r="N890" s="1"/>
      <c r="O890" s="1"/>
      <c r="T890" s="1"/>
    </row>
    <row r="891" spans="1:20" x14ac:dyDescent="0.3">
      <c r="A891" s="1" t="s">
        <v>177</v>
      </c>
      <c r="B891" s="1"/>
      <c r="C891" s="2"/>
      <c r="D891" s="1"/>
      <c r="E891" s="1"/>
      <c r="H891" s="1"/>
      <c r="K891" s="1"/>
      <c r="M891" s="1"/>
      <c r="N891" s="1"/>
      <c r="O891" s="1"/>
      <c r="T891" s="1"/>
    </row>
    <row r="892" spans="1:20" x14ac:dyDescent="0.3">
      <c r="A892" s="1" t="s">
        <v>177</v>
      </c>
      <c r="B892" s="1"/>
      <c r="C892" s="2"/>
      <c r="D892" s="1"/>
      <c r="E892" s="1"/>
      <c r="H892" s="1"/>
      <c r="K892" s="1"/>
      <c r="M892" s="1"/>
      <c r="N892" s="1"/>
      <c r="O892" s="1"/>
      <c r="T892" s="1"/>
    </row>
    <row r="893" spans="1:20" x14ac:dyDescent="0.3">
      <c r="A893" s="1" t="s">
        <v>177</v>
      </c>
      <c r="B893" s="1"/>
      <c r="C893" s="2"/>
      <c r="D893" s="1"/>
      <c r="E893" s="1"/>
      <c r="H893" s="1"/>
      <c r="K893" s="1"/>
      <c r="M893" s="1"/>
      <c r="N893" s="1"/>
      <c r="O893" s="1"/>
      <c r="T893" s="1"/>
    </row>
    <row r="894" spans="1:20" x14ac:dyDescent="0.3">
      <c r="A894" s="1" t="s">
        <v>177</v>
      </c>
      <c r="B894" s="1"/>
      <c r="C894" s="2"/>
      <c r="D894" s="1"/>
      <c r="E894" s="1"/>
      <c r="H894" s="1"/>
      <c r="K894" s="1"/>
      <c r="M894" s="1"/>
      <c r="N894" s="1"/>
      <c r="O894" s="1"/>
      <c r="T894" s="1"/>
    </row>
    <row r="895" spans="1:20" x14ac:dyDescent="0.3">
      <c r="A895" s="1" t="s">
        <v>177</v>
      </c>
      <c r="B895" s="1"/>
      <c r="C895" s="2"/>
      <c r="D895" s="1"/>
      <c r="E895" s="1"/>
      <c r="H895" s="1"/>
      <c r="K895" s="1"/>
      <c r="M895" s="1"/>
      <c r="N895" s="1"/>
      <c r="O895" s="1"/>
      <c r="T895" s="1"/>
    </row>
    <row r="896" spans="1:20" x14ac:dyDescent="0.3">
      <c r="A896" s="1" t="s">
        <v>177</v>
      </c>
      <c r="B896" s="1"/>
      <c r="C896" s="2"/>
      <c r="D896" s="1"/>
      <c r="E896" s="1"/>
      <c r="H896" s="1"/>
      <c r="K896" s="1"/>
      <c r="M896" s="1"/>
      <c r="N896" s="1"/>
      <c r="O896" s="1"/>
      <c r="T896" s="1"/>
    </row>
    <row r="897" spans="1:20" x14ac:dyDescent="0.3">
      <c r="A897" s="1" t="s">
        <v>177</v>
      </c>
      <c r="B897" s="1"/>
      <c r="C897" s="2"/>
      <c r="D897" s="1"/>
      <c r="E897" s="1"/>
      <c r="H897" s="1"/>
      <c r="K897" s="1"/>
      <c r="M897" s="1"/>
      <c r="N897" s="1"/>
      <c r="O897" s="1"/>
      <c r="T897" s="1"/>
    </row>
    <row r="898" spans="1:20" x14ac:dyDescent="0.3">
      <c r="A898" s="1" t="s">
        <v>177</v>
      </c>
      <c r="B898" s="1"/>
      <c r="C898" s="2"/>
      <c r="D898" s="1"/>
      <c r="E898" s="1"/>
      <c r="H898" s="1"/>
      <c r="K898" s="1"/>
      <c r="M898" s="1"/>
      <c r="N898" s="1"/>
      <c r="O898" s="1"/>
      <c r="T898" s="1"/>
    </row>
    <row r="899" spans="1:20" x14ac:dyDescent="0.3">
      <c r="A899" s="1" t="s">
        <v>177</v>
      </c>
      <c r="B899" s="1"/>
      <c r="C899" s="2"/>
      <c r="D899" s="1"/>
      <c r="E899" s="1"/>
      <c r="H899" s="1"/>
      <c r="K899" s="1"/>
      <c r="M899" s="1"/>
      <c r="N899" s="1"/>
      <c r="O899" s="1"/>
      <c r="T899" s="1"/>
    </row>
    <row r="900" spans="1:20" x14ac:dyDescent="0.3">
      <c r="A900" s="1" t="s">
        <v>177</v>
      </c>
      <c r="B900" s="1"/>
      <c r="C900" s="2"/>
      <c r="D900" s="1"/>
      <c r="E900" s="1"/>
      <c r="H900" s="1"/>
      <c r="K900" s="1"/>
      <c r="M900" s="1"/>
      <c r="N900" s="1"/>
      <c r="O900" s="1"/>
      <c r="T900" s="1"/>
    </row>
    <row r="901" spans="1:20" x14ac:dyDescent="0.3">
      <c r="A901" s="1" t="s">
        <v>177</v>
      </c>
      <c r="B901" s="1"/>
      <c r="C901" s="2"/>
      <c r="D901" s="1"/>
      <c r="E901" s="1"/>
      <c r="H901" s="1"/>
      <c r="K901" s="1"/>
      <c r="M901" s="1"/>
      <c r="N901" s="1"/>
      <c r="O901" s="1"/>
      <c r="T901" s="1"/>
    </row>
    <row r="902" spans="1:20" x14ac:dyDescent="0.3">
      <c r="A902" s="1" t="s">
        <v>177</v>
      </c>
      <c r="B902" s="1"/>
      <c r="C902" s="2"/>
      <c r="D902" s="1"/>
      <c r="E902" s="1"/>
      <c r="H902" s="1"/>
      <c r="K902" s="1"/>
      <c r="M902" s="1"/>
      <c r="N902" s="1"/>
      <c r="O902" s="1"/>
      <c r="T902" s="1"/>
    </row>
    <row r="903" spans="1:20" x14ac:dyDescent="0.3">
      <c r="A903" s="1" t="s">
        <v>177</v>
      </c>
      <c r="B903" s="1"/>
      <c r="C903" s="2"/>
      <c r="D903" s="1"/>
      <c r="E903" s="1"/>
      <c r="H903" s="1"/>
      <c r="K903" s="1"/>
      <c r="M903" s="1"/>
      <c r="N903" s="1"/>
      <c r="O903" s="1"/>
      <c r="T903" s="1"/>
    </row>
    <row r="904" spans="1:20" x14ac:dyDescent="0.3">
      <c r="A904" s="1" t="s">
        <v>177</v>
      </c>
      <c r="B904" s="1"/>
      <c r="C904" s="2"/>
      <c r="D904" s="1"/>
      <c r="E904" s="1"/>
      <c r="H904" s="1"/>
      <c r="K904" s="1"/>
      <c r="M904" s="1"/>
      <c r="N904" s="1"/>
      <c r="O904" s="1"/>
      <c r="T904" s="1"/>
    </row>
    <row r="905" spans="1:20" x14ac:dyDescent="0.3">
      <c r="A905" s="1" t="s">
        <v>177</v>
      </c>
      <c r="B905" s="1"/>
      <c r="C905" s="2"/>
      <c r="D905" s="1"/>
      <c r="E905" s="1"/>
      <c r="H905" s="1"/>
      <c r="K905" s="1"/>
      <c r="M905" s="1"/>
      <c r="N905" s="1"/>
      <c r="O905" s="1"/>
      <c r="T905" s="1"/>
    </row>
    <row r="906" spans="1:20" x14ac:dyDescent="0.3">
      <c r="A906" s="1" t="s">
        <v>177</v>
      </c>
      <c r="B906" s="1"/>
      <c r="C906" s="2"/>
      <c r="D906" s="1"/>
      <c r="E906" s="1"/>
      <c r="H906" s="1"/>
      <c r="K906" s="1"/>
      <c r="M906" s="1"/>
      <c r="N906" s="1"/>
      <c r="O906" s="1"/>
      <c r="T906" s="1"/>
    </row>
    <row r="907" spans="1:20" x14ac:dyDescent="0.3">
      <c r="A907" s="1" t="s">
        <v>177</v>
      </c>
      <c r="B907" s="1"/>
      <c r="C907" s="2"/>
      <c r="D907" s="1"/>
      <c r="E907" s="1"/>
      <c r="H907" s="1"/>
      <c r="K907" s="1"/>
      <c r="M907" s="1"/>
      <c r="N907" s="1"/>
      <c r="O907" s="1"/>
      <c r="T907" s="1"/>
    </row>
    <row r="908" spans="1:20" x14ac:dyDescent="0.3">
      <c r="A908" s="1" t="s">
        <v>177</v>
      </c>
      <c r="B908" s="1"/>
      <c r="C908" s="2"/>
      <c r="D908" s="1"/>
      <c r="E908" s="1"/>
      <c r="H908" s="1"/>
      <c r="K908" s="1"/>
      <c r="M908" s="1"/>
      <c r="N908" s="1"/>
      <c r="O908" s="1"/>
      <c r="T908" s="1"/>
    </row>
    <row r="909" spans="1:20" x14ac:dyDescent="0.3">
      <c r="A909" s="1" t="s">
        <v>177</v>
      </c>
      <c r="B909" s="1"/>
      <c r="C909" s="2"/>
      <c r="D909" s="1"/>
      <c r="E909" s="1"/>
      <c r="H909" s="1"/>
      <c r="K909" s="1"/>
      <c r="M909" s="1"/>
      <c r="N909" s="1"/>
      <c r="O909" s="1"/>
      <c r="T909" s="1"/>
    </row>
    <row r="910" spans="1:20" x14ac:dyDescent="0.3">
      <c r="A910" s="1" t="s">
        <v>177</v>
      </c>
      <c r="B910" s="1"/>
      <c r="C910" s="2"/>
      <c r="D910" s="1"/>
      <c r="E910" s="1"/>
      <c r="H910" s="1"/>
      <c r="K910" s="1"/>
      <c r="M910" s="1"/>
      <c r="N910" s="1"/>
      <c r="O910" s="1"/>
      <c r="T910" s="1"/>
    </row>
    <row r="911" spans="1:20" x14ac:dyDescent="0.3">
      <c r="A911" s="1" t="s">
        <v>177</v>
      </c>
      <c r="B911" s="1"/>
      <c r="C911" s="2"/>
      <c r="D911" s="1"/>
      <c r="E911" s="1"/>
      <c r="H911" s="1"/>
      <c r="K911" s="1"/>
      <c r="M911" s="1"/>
      <c r="N911" s="1"/>
      <c r="O911" s="1"/>
      <c r="T911" s="1"/>
    </row>
    <row r="912" spans="1:20" x14ac:dyDescent="0.3">
      <c r="A912" s="1" t="s">
        <v>177</v>
      </c>
      <c r="B912" s="1"/>
      <c r="C912" s="2"/>
      <c r="D912" s="1"/>
      <c r="E912" s="1"/>
      <c r="H912" s="1"/>
      <c r="K912" s="1"/>
      <c r="M912" s="1"/>
      <c r="N912" s="1"/>
      <c r="O912" s="1"/>
      <c r="T912" s="1"/>
    </row>
    <row r="913" spans="1:20" x14ac:dyDescent="0.3">
      <c r="A913" s="1" t="s">
        <v>177</v>
      </c>
      <c r="B913" s="1"/>
      <c r="C913" s="2"/>
      <c r="D913" s="1"/>
      <c r="E913" s="1"/>
      <c r="H913" s="1"/>
      <c r="K913" s="1"/>
      <c r="M913" s="1"/>
      <c r="N913" s="1"/>
      <c r="O913" s="1"/>
      <c r="T913" s="1"/>
    </row>
    <row r="914" spans="1:20" x14ac:dyDescent="0.3">
      <c r="A914" s="1" t="s">
        <v>177</v>
      </c>
      <c r="B914" s="1"/>
      <c r="C914" s="2"/>
      <c r="D914" s="1"/>
      <c r="E914" s="1"/>
      <c r="H914" s="1"/>
      <c r="K914" s="1"/>
      <c r="M914" s="1"/>
      <c r="N914" s="1"/>
      <c r="O914" s="1"/>
      <c r="T914" s="1"/>
    </row>
    <row r="915" spans="1:20" x14ac:dyDescent="0.3">
      <c r="A915" s="1" t="s">
        <v>177</v>
      </c>
      <c r="B915" s="1"/>
      <c r="C915" s="2"/>
      <c r="D915" s="1"/>
      <c r="E915" s="1"/>
      <c r="H915" s="1"/>
      <c r="K915" s="1"/>
      <c r="M915" s="1"/>
      <c r="N915" s="1"/>
      <c r="O915" s="1"/>
      <c r="T915" s="1"/>
    </row>
    <row r="916" spans="1:20" x14ac:dyDescent="0.3">
      <c r="A916" s="1" t="s">
        <v>177</v>
      </c>
      <c r="B916" s="1"/>
      <c r="C916" s="2"/>
      <c r="D916" s="1"/>
      <c r="E916" s="1"/>
      <c r="H916" s="1"/>
      <c r="K916" s="1"/>
      <c r="M916" s="1"/>
      <c r="N916" s="1"/>
      <c r="O916" s="1"/>
      <c r="T916" s="1"/>
    </row>
    <row r="917" spans="1:20" x14ac:dyDescent="0.3">
      <c r="A917" s="1" t="s">
        <v>177</v>
      </c>
      <c r="B917" s="1"/>
      <c r="C917" s="2"/>
      <c r="D917" s="1"/>
      <c r="E917" s="1"/>
      <c r="H917" s="1"/>
      <c r="K917" s="1"/>
      <c r="M917" s="1"/>
      <c r="N917" s="1"/>
      <c r="O917" s="1"/>
      <c r="T917" s="1"/>
    </row>
    <row r="918" spans="1:20" x14ac:dyDescent="0.3">
      <c r="A918" s="1" t="s">
        <v>177</v>
      </c>
      <c r="B918" s="1"/>
      <c r="C918" s="2"/>
      <c r="D918" s="1"/>
      <c r="E918" s="1"/>
      <c r="H918" s="1"/>
      <c r="K918" s="1"/>
      <c r="M918" s="1"/>
      <c r="N918" s="1"/>
      <c r="O918" s="1"/>
      <c r="T918" s="1"/>
    </row>
    <row r="919" spans="1:20" x14ac:dyDescent="0.3">
      <c r="A919" s="1" t="s">
        <v>177</v>
      </c>
      <c r="B919" s="1"/>
      <c r="C919" s="2"/>
      <c r="D919" s="1"/>
      <c r="E919" s="1"/>
      <c r="H919" s="1"/>
      <c r="K919" s="1"/>
      <c r="M919" s="1"/>
      <c r="N919" s="1"/>
      <c r="O919" s="1"/>
      <c r="T919" s="1"/>
    </row>
    <row r="920" spans="1:20" x14ac:dyDescent="0.3">
      <c r="A920" s="1" t="s">
        <v>177</v>
      </c>
      <c r="B920" s="1"/>
      <c r="C920" s="2"/>
      <c r="D920" s="1"/>
      <c r="E920" s="1"/>
      <c r="H920" s="1"/>
      <c r="K920" s="1"/>
      <c r="M920" s="1"/>
      <c r="N920" s="1"/>
      <c r="O920" s="1"/>
      <c r="T920" s="1"/>
    </row>
    <row r="921" spans="1:20" x14ac:dyDescent="0.3">
      <c r="A921" s="1" t="s">
        <v>177</v>
      </c>
      <c r="B921" s="1"/>
      <c r="C921" s="2"/>
      <c r="D921" s="1"/>
      <c r="E921" s="1"/>
      <c r="H921" s="1"/>
      <c r="K921" s="1"/>
      <c r="M921" s="1"/>
      <c r="N921" s="1"/>
      <c r="O921" s="1"/>
      <c r="T921" s="1"/>
    </row>
    <row r="922" spans="1:20" x14ac:dyDescent="0.3">
      <c r="A922" s="1" t="s">
        <v>177</v>
      </c>
      <c r="B922" s="1"/>
      <c r="C922" s="2"/>
      <c r="D922" s="1"/>
      <c r="E922" s="1"/>
      <c r="H922" s="1"/>
      <c r="K922" s="1"/>
      <c r="M922" s="1"/>
      <c r="N922" s="1"/>
      <c r="O922" s="1"/>
      <c r="T922" s="1"/>
    </row>
    <row r="923" spans="1:20" x14ac:dyDescent="0.3">
      <c r="A923" s="1" t="s">
        <v>177</v>
      </c>
      <c r="B923" s="1"/>
      <c r="C923" s="2"/>
      <c r="D923" s="1"/>
      <c r="E923" s="1"/>
      <c r="H923" s="1"/>
      <c r="K923" s="1"/>
      <c r="M923" s="1"/>
      <c r="N923" s="1"/>
      <c r="O923" s="1"/>
      <c r="T923" s="1"/>
    </row>
    <row r="924" spans="1:20" x14ac:dyDescent="0.3">
      <c r="A924" s="1" t="s">
        <v>177</v>
      </c>
      <c r="B924" s="1"/>
      <c r="C924" s="2"/>
      <c r="D924" s="1"/>
      <c r="E924" s="1"/>
      <c r="H924" s="1"/>
      <c r="K924" s="1"/>
      <c r="M924" s="1"/>
      <c r="N924" s="1"/>
      <c r="O924" s="1"/>
      <c r="T924" s="1"/>
    </row>
    <row r="925" spans="1:20" x14ac:dyDescent="0.3">
      <c r="A925" s="1" t="s">
        <v>177</v>
      </c>
      <c r="B925" s="1"/>
      <c r="C925" s="2"/>
      <c r="D925" s="1"/>
      <c r="E925" s="1"/>
      <c r="H925" s="1"/>
      <c r="K925" s="1"/>
      <c r="M925" s="1"/>
      <c r="N925" s="1"/>
      <c r="O925" s="1"/>
      <c r="T925" s="1"/>
    </row>
    <row r="926" spans="1:20" x14ac:dyDescent="0.3">
      <c r="A926" s="1" t="s">
        <v>177</v>
      </c>
      <c r="B926" s="1"/>
      <c r="C926" s="2"/>
      <c r="D926" s="1"/>
      <c r="E926" s="1"/>
      <c r="H926" s="1"/>
      <c r="K926" s="1"/>
      <c r="M926" s="1"/>
      <c r="N926" s="1"/>
      <c r="O926" s="1"/>
      <c r="T926" s="1"/>
    </row>
    <row r="927" spans="1:20" x14ac:dyDescent="0.3">
      <c r="A927" s="1" t="s">
        <v>177</v>
      </c>
      <c r="B927" s="1"/>
      <c r="C927" s="2"/>
      <c r="D927" s="1"/>
      <c r="E927" s="1"/>
      <c r="H927" s="1"/>
      <c r="K927" s="1"/>
      <c r="M927" s="1"/>
      <c r="N927" s="1"/>
      <c r="O927" s="1"/>
      <c r="T927" s="1"/>
    </row>
    <row r="928" spans="1:20" x14ac:dyDescent="0.3">
      <c r="A928" s="1" t="s">
        <v>177</v>
      </c>
      <c r="B928" s="1"/>
      <c r="C928" s="2"/>
      <c r="D928" s="1"/>
      <c r="E928" s="1"/>
      <c r="H928" s="1"/>
      <c r="K928" s="1"/>
      <c r="M928" s="1"/>
      <c r="N928" s="1"/>
      <c r="O928" s="1"/>
      <c r="T928" s="1"/>
    </row>
    <row r="929" spans="1:20" x14ac:dyDescent="0.3">
      <c r="A929" s="1" t="s">
        <v>177</v>
      </c>
      <c r="B929" s="1"/>
      <c r="C929" s="2"/>
      <c r="D929" s="1"/>
      <c r="E929" s="1"/>
      <c r="H929" s="1"/>
      <c r="K929" s="1"/>
      <c r="M929" s="1"/>
      <c r="N929" s="1"/>
      <c r="O929" s="1"/>
      <c r="T929" s="1"/>
    </row>
    <row r="930" spans="1:20" x14ac:dyDescent="0.3">
      <c r="A930" s="1" t="s">
        <v>177</v>
      </c>
      <c r="B930" s="1"/>
      <c r="C930" s="2"/>
      <c r="D930" s="1"/>
      <c r="E930" s="1"/>
      <c r="H930" s="1"/>
      <c r="K930" s="1"/>
      <c r="M930" s="1"/>
      <c r="N930" s="1"/>
      <c r="O930" s="1"/>
      <c r="T930" s="1"/>
    </row>
    <row r="931" spans="1:20" x14ac:dyDescent="0.3">
      <c r="A931" s="1" t="s">
        <v>177</v>
      </c>
      <c r="B931" s="1"/>
      <c r="C931" s="2"/>
      <c r="D931" s="1"/>
      <c r="E931" s="1"/>
      <c r="H931" s="1"/>
      <c r="K931" s="1"/>
      <c r="M931" s="1"/>
      <c r="N931" s="1"/>
      <c r="O931" s="1"/>
      <c r="T931" s="1"/>
    </row>
    <row r="932" spans="1:20" x14ac:dyDescent="0.3">
      <c r="A932" s="1" t="s">
        <v>177</v>
      </c>
      <c r="B932" s="1"/>
      <c r="C932" s="2"/>
      <c r="D932" s="1"/>
      <c r="E932" s="1"/>
      <c r="H932" s="1"/>
      <c r="K932" s="1"/>
      <c r="M932" s="1"/>
      <c r="N932" s="1"/>
      <c r="O932" s="1"/>
      <c r="T932" s="1"/>
    </row>
    <row r="933" spans="1:20" x14ac:dyDescent="0.3">
      <c r="A933" s="1" t="s">
        <v>177</v>
      </c>
      <c r="B933" s="1"/>
      <c r="C933" s="2"/>
      <c r="D933" s="1"/>
      <c r="E933" s="1"/>
      <c r="H933" s="1"/>
      <c r="K933" s="1"/>
      <c r="M933" s="1"/>
      <c r="N933" s="1"/>
      <c r="O933" s="1"/>
      <c r="T933" s="1"/>
    </row>
    <row r="934" spans="1:20" x14ac:dyDescent="0.3">
      <c r="A934" s="1" t="s">
        <v>177</v>
      </c>
      <c r="B934" s="1"/>
      <c r="C934" s="2"/>
      <c r="D934" s="1"/>
      <c r="E934" s="1"/>
      <c r="H934" s="1"/>
      <c r="K934" s="1"/>
      <c r="M934" s="1"/>
      <c r="N934" s="1"/>
      <c r="O934" s="1"/>
      <c r="T934" s="1"/>
    </row>
    <row r="935" spans="1:20" x14ac:dyDescent="0.3">
      <c r="A935" s="1" t="s">
        <v>177</v>
      </c>
      <c r="B935" s="1"/>
      <c r="C935" s="2"/>
      <c r="D935" s="1"/>
      <c r="E935" s="1"/>
      <c r="H935" s="1"/>
      <c r="K935" s="1"/>
      <c r="M935" s="1"/>
      <c r="N935" s="1"/>
      <c r="O935" s="1"/>
      <c r="T935" s="1"/>
    </row>
    <row r="936" spans="1:20" x14ac:dyDescent="0.3">
      <c r="A936" s="1" t="s">
        <v>177</v>
      </c>
      <c r="B936" s="1"/>
      <c r="C936" s="2"/>
      <c r="D936" s="1"/>
      <c r="E936" s="1"/>
      <c r="H936" s="1"/>
      <c r="K936" s="1"/>
      <c r="M936" s="1"/>
      <c r="N936" s="1"/>
      <c r="O936" s="1"/>
      <c r="T936" s="1"/>
    </row>
    <row r="937" spans="1:20" x14ac:dyDescent="0.3">
      <c r="A937" s="1" t="s">
        <v>177</v>
      </c>
      <c r="B937" s="1"/>
      <c r="C937" s="2"/>
      <c r="D937" s="1"/>
      <c r="E937" s="1"/>
      <c r="H937" s="1"/>
      <c r="K937" s="1"/>
      <c r="M937" s="1"/>
      <c r="N937" s="1"/>
      <c r="O937" s="1"/>
      <c r="T937" s="1"/>
    </row>
    <row r="938" spans="1:20" x14ac:dyDescent="0.3">
      <c r="A938" s="1" t="s">
        <v>177</v>
      </c>
      <c r="B938" s="1"/>
      <c r="C938" s="2"/>
      <c r="D938" s="1"/>
      <c r="E938" s="1"/>
      <c r="H938" s="1"/>
      <c r="K938" s="1"/>
      <c r="M938" s="1"/>
      <c r="N938" s="1"/>
      <c r="O938" s="1"/>
      <c r="T938" s="1"/>
    </row>
    <row r="939" spans="1:20" x14ac:dyDescent="0.3">
      <c r="A939" s="1" t="s">
        <v>177</v>
      </c>
      <c r="B939" s="1"/>
      <c r="C939" s="2"/>
      <c r="D939" s="1"/>
      <c r="E939" s="1"/>
      <c r="H939" s="1"/>
      <c r="K939" s="1"/>
      <c r="M939" s="1"/>
      <c r="N939" s="1"/>
      <c r="O939" s="1"/>
      <c r="T939" s="1"/>
    </row>
    <row r="940" spans="1:20" x14ac:dyDescent="0.3">
      <c r="A940" s="1" t="s">
        <v>177</v>
      </c>
      <c r="B940" s="1"/>
      <c r="C940" s="2"/>
      <c r="D940" s="1"/>
      <c r="E940" s="1"/>
      <c r="H940" s="1"/>
      <c r="K940" s="1"/>
      <c r="M940" s="1"/>
      <c r="N940" s="1"/>
      <c r="O940" s="1"/>
      <c r="T940" s="1"/>
    </row>
    <row r="941" spans="1:20" x14ac:dyDescent="0.3">
      <c r="A941" s="1" t="s">
        <v>177</v>
      </c>
      <c r="B941" s="1"/>
      <c r="C941" s="2"/>
      <c r="D941" s="1"/>
      <c r="E941" s="1"/>
      <c r="H941" s="1"/>
      <c r="K941" s="1"/>
      <c r="M941" s="1"/>
      <c r="N941" s="1"/>
      <c r="O941" s="1"/>
      <c r="T941" s="1"/>
    </row>
    <row r="942" spans="1:20" x14ac:dyDescent="0.3">
      <c r="A942" s="1" t="s">
        <v>177</v>
      </c>
      <c r="B942" s="1"/>
      <c r="C942" s="2"/>
      <c r="D942" s="1"/>
      <c r="E942" s="1"/>
      <c r="H942" s="1"/>
      <c r="K942" s="1"/>
      <c r="M942" s="1"/>
      <c r="N942" s="1"/>
      <c r="O942" s="1"/>
      <c r="T942" s="1"/>
    </row>
    <row r="943" spans="1:20" x14ac:dyDescent="0.3">
      <c r="A943" s="1" t="s">
        <v>177</v>
      </c>
      <c r="B943" s="1"/>
      <c r="C943" s="2"/>
      <c r="D943" s="1"/>
      <c r="E943" s="1"/>
      <c r="H943" s="1"/>
      <c r="K943" s="1"/>
      <c r="M943" s="1"/>
      <c r="N943" s="1"/>
      <c r="O943" s="1"/>
      <c r="T943" s="1"/>
    </row>
    <row r="944" spans="1:20" x14ac:dyDescent="0.3">
      <c r="A944" s="1" t="s">
        <v>177</v>
      </c>
      <c r="B944" s="1"/>
      <c r="C944" s="2"/>
      <c r="D944" s="1"/>
      <c r="E944" s="1"/>
      <c r="H944" s="1"/>
      <c r="K944" s="1"/>
      <c r="M944" s="1"/>
      <c r="N944" s="1"/>
      <c r="O944" s="1"/>
      <c r="T944" s="1"/>
    </row>
    <row r="945" spans="1:20" x14ac:dyDescent="0.3">
      <c r="A945" s="1" t="s">
        <v>177</v>
      </c>
      <c r="B945" s="1"/>
      <c r="C945" s="2"/>
      <c r="D945" s="1"/>
      <c r="E945" s="1"/>
      <c r="H945" s="1"/>
      <c r="K945" s="1"/>
      <c r="M945" s="1"/>
      <c r="N945" s="1"/>
      <c r="O945" s="1"/>
      <c r="T945" s="1"/>
    </row>
    <row r="946" spans="1:20" x14ac:dyDescent="0.3">
      <c r="A946" s="1" t="s">
        <v>177</v>
      </c>
      <c r="B946" s="1"/>
      <c r="C946" s="2"/>
      <c r="D946" s="1"/>
      <c r="E946" s="1"/>
      <c r="H946" s="1"/>
      <c r="K946" s="1"/>
      <c r="M946" s="1"/>
      <c r="N946" s="1"/>
      <c r="O946" s="1"/>
      <c r="T946" s="1"/>
    </row>
    <row r="947" spans="1:20" x14ac:dyDescent="0.3">
      <c r="A947" s="1" t="s">
        <v>177</v>
      </c>
      <c r="B947" s="1"/>
      <c r="C947" s="2"/>
      <c r="D947" s="1"/>
      <c r="E947" s="1"/>
      <c r="H947" s="1"/>
      <c r="K947" s="1"/>
      <c r="M947" s="1"/>
      <c r="N947" s="1"/>
      <c r="O947" s="1"/>
      <c r="T947" s="1"/>
    </row>
    <row r="948" spans="1:20" x14ac:dyDescent="0.3">
      <c r="A948" s="1" t="s">
        <v>177</v>
      </c>
      <c r="B948" s="1"/>
      <c r="C948" s="2"/>
      <c r="D948" s="1"/>
      <c r="E948" s="1"/>
      <c r="H948" s="1"/>
      <c r="K948" s="1"/>
      <c r="M948" s="1"/>
      <c r="N948" s="1"/>
      <c r="O948" s="1"/>
      <c r="T948" s="1"/>
    </row>
    <row r="949" spans="1:20" x14ac:dyDescent="0.3">
      <c r="A949" s="1" t="s">
        <v>177</v>
      </c>
      <c r="B949" s="1"/>
      <c r="C949" s="2"/>
      <c r="D949" s="1"/>
      <c r="E949" s="1"/>
      <c r="H949" s="1"/>
      <c r="K949" s="1"/>
      <c r="M949" s="1"/>
      <c r="N949" s="1"/>
      <c r="O949" s="1"/>
      <c r="T949" s="1"/>
    </row>
    <row r="950" spans="1:20" x14ac:dyDescent="0.3">
      <c r="A950" s="1" t="s">
        <v>177</v>
      </c>
      <c r="B950" s="1"/>
      <c r="C950" s="2"/>
      <c r="D950" s="1"/>
      <c r="E950" s="1"/>
      <c r="H950" s="1"/>
      <c r="K950" s="1"/>
      <c r="M950" s="1"/>
      <c r="N950" s="1"/>
      <c r="O950" s="1"/>
      <c r="T950" s="1"/>
    </row>
    <row r="951" spans="1:20" x14ac:dyDescent="0.3">
      <c r="A951" s="1" t="s">
        <v>177</v>
      </c>
      <c r="B951" s="1"/>
      <c r="C951" s="2"/>
      <c r="D951" s="1"/>
      <c r="E951" s="1"/>
      <c r="H951" s="1"/>
      <c r="K951" s="1"/>
      <c r="M951" s="1"/>
      <c r="N951" s="1"/>
      <c r="O951" s="1"/>
      <c r="T951" s="1"/>
    </row>
    <row r="952" spans="1:20" x14ac:dyDescent="0.3">
      <c r="A952" s="1" t="s">
        <v>177</v>
      </c>
      <c r="B952" s="1"/>
      <c r="C952" s="2"/>
      <c r="D952" s="1"/>
      <c r="E952" s="1"/>
      <c r="H952" s="1"/>
      <c r="K952" s="1"/>
      <c r="M952" s="1"/>
      <c r="N952" s="1"/>
      <c r="O952" s="1"/>
      <c r="T952" s="1"/>
    </row>
    <row r="953" spans="1:20" x14ac:dyDescent="0.3">
      <c r="A953" s="1" t="s">
        <v>177</v>
      </c>
      <c r="B953" s="1"/>
      <c r="C953" s="2"/>
      <c r="D953" s="1"/>
      <c r="E953" s="1"/>
      <c r="H953" s="1"/>
      <c r="K953" s="1"/>
      <c r="M953" s="1"/>
      <c r="N953" s="1"/>
      <c r="O953" s="1"/>
      <c r="T953" s="1"/>
    </row>
    <row r="954" spans="1:20" x14ac:dyDescent="0.3">
      <c r="A954" s="1" t="s">
        <v>177</v>
      </c>
      <c r="B954" s="1"/>
      <c r="C954" s="2"/>
      <c r="D954" s="1"/>
      <c r="E954" s="1"/>
      <c r="H954" s="1"/>
      <c r="K954" s="1"/>
      <c r="M954" s="1"/>
      <c r="N954" s="1"/>
      <c r="O954" s="1"/>
      <c r="T954" s="1"/>
    </row>
    <row r="955" spans="1:20" x14ac:dyDescent="0.3">
      <c r="A955" s="1" t="s">
        <v>177</v>
      </c>
      <c r="B955" s="1"/>
      <c r="C955" s="2"/>
      <c r="D955" s="1"/>
      <c r="E955" s="1"/>
      <c r="H955" s="1"/>
      <c r="K955" s="1"/>
      <c r="M955" s="1"/>
      <c r="N955" s="1"/>
      <c r="O955" s="1"/>
      <c r="T955" s="1"/>
    </row>
    <row r="956" spans="1:20" x14ac:dyDescent="0.3">
      <c r="A956" s="1" t="s">
        <v>177</v>
      </c>
      <c r="B956" s="1"/>
      <c r="C956" s="2"/>
      <c r="D956" s="1"/>
      <c r="E956" s="1"/>
      <c r="H956" s="1"/>
      <c r="K956" s="1"/>
      <c r="M956" s="1"/>
      <c r="N956" s="1"/>
      <c r="O956" s="1"/>
      <c r="T956" s="1"/>
    </row>
    <row r="957" spans="1:20" x14ac:dyDescent="0.3">
      <c r="A957" s="1" t="s">
        <v>177</v>
      </c>
      <c r="B957" s="1"/>
      <c r="C957" s="2"/>
      <c r="D957" s="1"/>
      <c r="E957" s="1"/>
      <c r="H957" s="1"/>
      <c r="K957" s="1"/>
      <c r="M957" s="1"/>
      <c r="N957" s="1"/>
      <c r="O957" s="1"/>
      <c r="T957" s="1"/>
    </row>
    <row r="958" spans="1:20" x14ac:dyDescent="0.3">
      <c r="A958" s="1" t="s">
        <v>177</v>
      </c>
      <c r="B958" s="1"/>
      <c r="C958" s="2"/>
      <c r="D958" s="1"/>
      <c r="E958" s="1"/>
      <c r="H958" s="1"/>
      <c r="K958" s="1"/>
      <c r="M958" s="1"/>
      <c r="N958" s="1"/>
      <c r="O958" s="1"/>
      <c r="T958" s="1"/>
    </row>
    <row r="959" spans="1:20" x14ac:dyDescent="0.3">
      <c r="A959" s="1" t="s">
        <v>177</v>
      </c>
      <c r="B959" s="1"/>
      <c r="C959" s="2"/>
      <c r="D959" s="1"/>
      <c r="E959" s="1"/>
      <c r="H959" s="1"/>
      <c r="K959" s="1"/>
      <c r="M959" s="1"/>
      <c r="N959" s="1"/>
      <c r="O959" s="1"/>
      <c r="T959" s="1"/>
    </row>
    <row r="960" spans="1:20" x14ac:dyDescent="0.3">
      <c r="A960" s="1" t="s">
        <v>177</v>
      </c>
      <c r="B960" s="1"/>
      <c r="C960" s="2"/>
      <c r="D960" s="1"/>
      <c r="E960" s="1"/>
      <c r="H960" s="1"/>
      <c r="K960" s="1"/>
      <c r="M960" s="1"/>
      <c r="N960" s="1"/>
      <c r="O960" s="1"/>
      <c r="T960" s="1"/>
    </row>
    <row r="961" spans="1:20" x14ac:dyDescent="0.3">
      <c r="A961" s="1" t="s">
        <v>177</v>
      </c>
      <c r="B961" s="1"/>
      <c r="C961" s="2"/>
      <c r="D961" s="1"/>
      <c r="E961" s="1"/>
      <c r="H961" s="1"/>
      <c r="K961" s="1"/>
      <c r="M961" s="1"/>
      <c r="N961" s="1"/>
      <c r="O961" s="1"/>
      <c r="T961" s="1"/>
    </row>
    <row r="962" spans="1:20" x14ac:dyDescent="0.3">
      <c r="A962" s="1" t="s">
        <v>177</v>
      </c>
      <c r="B962" s="1"/>
      <c r="C962" s="2"/>
      <c r="D962" s="1"/>
      <c r="E962" s="1"/>
      <c r="H962" s="1"/>
      <c r="K962" s="1"/>
      <c r="M962" s="1"/>
      <c r="N962" s="1"/>
      <c r="O962" s="1"/>
      <c r="T962" s="1"/>
    </row>
    <row r="963" spans="1:20" x14ac:dyDescent="0.3">
      <c r="A963" s="1" t="s">
        <v>177</v>
      </c>
      <c r="B963" s="1"/>
      <c r="C963" s="2"/>
      <c r="D963" s="1"/>
      <c r="E963" s="1"/>
      <c r="H963" s="1"/>
      <c r="K963" s="1"/>
      <c r="M963" s="1"/>
      <c r="N963" s="1"/>
      <c r="O963" s="1"/>
      <c r="T963" s="1"/>
    </row>
    <row r="964" spans="1:20" x14ac:dyDescent="0.3">
      <c r="A964" s="1" t="s">
        <v>177</v>
      </c>
      <c r="B964" s="1"/>
      <c r="C964" s="2"/>
      <c r="D964" s="1"/>
      <c r="E964" s="1"/>
      <c r="H964" s="1"/>
      <c r="K964" s="1"/>
      <c r="M964" s="1"/>
      <c r="N964" s="1"/>
      <c r="O964" s="1"/>
      <c r="T964" s="1"/>
    </row>
    <row r="965" spans="1:20" x14ac:dyDescent="0.3">
      <c r="A965" s="1" t="s">
        <v>177</v>
      </c>
      <c r="B965" s="1"/>
      <c r="C965" s="2"/>
      <c r="D965" s="1"/>
      <c r="E965" s="1"/>
      <c r="H965" s="1"/>
      <c r="K965" s="1"/>
      <c r="M965" s="1"/>
      <c r="N965" s="1"/>
      <c r="O965" s="1"/>
      <c r="T965" s="1"/>
    </row>
    <row r="966" spans="1:20" x14ac:dyDescent="0.3">
      <c r="A966" s="1" t="s">
        <v>177</v>
      </c>
      <c r="B966" s="1"/>
      <c r="C966" s="2"/>
      <c r="D966" s="1"/>
      <c r="E966" s="1"/>
      <c r="H966" s="1"/>
      <c r="K966" s="1"/>
      <c r="M966" s="1"/>
      <c r="N966" s="1"/>
      <c r="O966" s="1"/>
      <c r="T966" s="1"/>
    </row>
    <row r="967" spans="1:20" x14ac:dyDescent="0.3">
      <c r="A967" s="1" t="s">
        <v>177</v>
      </c>
      <c r="B967" s="1"/>
      <c r="C967" s="2"/>
      <c r="D967" s="1"/>
      <c r="E967" s="1"/>
      <c r="H967" s="1"/>
      <c r="K967" s="1"/>
      <c r="M967" s="1"/>
      <c r="N967" s="1"/>
      <c r="O967" s="1"/>
      <c r="T967" s="1"/>
    </row>
    <row r="968" spans="1:20" x14ac:dyDescent="0.3">
      <c r="A968" s="1" t="s">
        <v>177</v>
      </c>
      <c r="B968" s="1"/>
      <c r="C968" s="2"/>
      <c r="D968" s="1"/>
      <c r="E968" s="1"/>
      <c r="H968" s="1"/>
      <c r="K968" s="1"/>
      <c r="M968" s="1"/>
      <c r="N968" s="1"/>
      <c r="O968" s="1"/>
      <c r="T968" s="1"/>
    </row>
    <row r="969" spans="1:20" x14ac:dyDescent="0.3">
      <c r="A969" s="1" t="s">
        <v>177</v>
      </c>
      <c r="B969" s="1"/>
      <c r="C969" s="2"/>
      <c r="D969" s="1"/>
      <c r="E969" s="1"/>
      <c r="H969" s="1"/>
      <c r="K969" s="1"/>
      <c r="M969" s="1"/>
      <c r="N969" s="1"/>
      <c r="O969" s="1"/>
      <c r="T969" s="1"/>
    </row>
    <row r="970" spans="1:20" x14ac:dyDescent="0.3">
      <c r="A970" s="1" t="s">
        <v>177</v>
      </c>
      <c r="B970" s="1"/>
      <c r="C970" s="2"/>
      <c r="D970" s="1"/>
      <c r="E970" s="1"/>
      <c r="H970" s="1"/>
      <c r="K970" s="1"/>
      <c r="M970" s="1"/>
      <c r="N970" s="1"/>
      <c r="O970" s="1"/>
      <c r="T970" s="1"/>
    </row>
    <row r="971" spans="1:20" x14ac:dyDescent="0.3">
      <c r="A971" s="1" t="s">
        <v>177</v>
      </c>
      <c r="B971" s="1"/>
      <c r="C971" s="2"/>
      <c r="D971" s="1"/>
      <c r="E971" s="1"/>
      <c r="H971" s="1"/>
      <c r="K971" s="1"/>
      <c r="M971" s="1"/>
      <c r="N971" s="1"/>
      <c r="O971" s="1"/>
      <c r="T971" s="1"/>
    </row>
    <row r="972" spans="1:20" x14ac:dyDescent="0.3">
      <c r="A972" s="1" t="s">
        <v>177</v>
      </c>
      <c r="B972" s="1"/>
      <c r="C972" s="2"/>
      <c r="D972" s="1"/>
      <c r="E972" s="1"/>
      <c r="H972" s="1"/>
      <c r="K972" s="1"/>
      <c r="M972" s="1"/>
      <c r="N972" s="1"/>
      <c r="O972" s="1"/>
      <c r="T972" s="1"/>
    </row>
    <row r="973" spans="1:20" x14ac:dyDescent="0.3">
      <c r="A973" s="1" t="s">
        <v>177</v>
      </c>
      <c r="B973" s="1"/>
      <c r="C973" s="2"/>
      <c r="D973" s="1"/>
      <c r="E973" s="1"/>
      <c r="H973" s="1"/>
      <c r="K973" s="1"/>
      <c r="M973" s="1"/>
      <c r="N973" s="1"/>
      <c r="O973" s="1"/>
      <c r="T973" s="1"/>
    </row>
    <row r="974" spans="1:20" x14ac:dyDescent="0.3">
      <c r="A974" s="1" t="s">
        <v>177</v>
      </c>
      <c r="B974" s="1"/>
      <c r="C974" s="2"/>
      <c r="D974" s="1"/>
      <c r="E974" s="1"/>
      <c r="H974" s="1"/>
      <c r="K974" s="1"/>
      <c r="M974" s="1"/>
      <c r="N974" s="1"/>
      <c r="O974" s="1"/>
      <c r="T974" s="1"/>
    </row>
    <row r="975" spans="1:20" x14ac:dyDescent="0.3">
      <c r="A975" s="1" t="s">
        <v>177</v>
      </c>
      <c r="B975" s="1"/>
      <c r="C975" s="2"/>
      <c r="D975" s="1"/>
      <c r="E975" s="1"/>
      <c r="H975" s="1"/>
      <c r="K975" s="1"/>
      <c r="M975" s="1"/>
      <c r="N975" s="1"/>
      <c r="O975" s="1"/>
      <c r="T975" s="1"/>
    </row>
    <row r="976" spans="1:20" x14ac:dyDescent="0.3">
      <c r="A976" s="1" t="s">
        <v>177</v>
      </c>
      <c r="B976" s="1"/>
      <c r="C976" s="2"/>
      <c r="D976" s="1"/>
      <c r="E976" s="1"/>
      <c r="H976" s="1"/>
      <c r="K976" s="1"/>
      <c r="M976" s="1"/>
      <c r="N976" s="1"/>
      <c r="O976" s="1"/>
      <c r="T976" s="1"/>
    </row>
    <row r="977" spans="1:20" x14ac:dyDescent="0.3">
      <c r="A977" s="1" t="s">
        <v>177</v>
      </c>
      <c r="B977" s="1"/>
      <c r="C977" s="2"/>
      <c r="D977" s="1"/>
      <c r="E977" s="1"/>
      <c r="H977" s="1"/>
      <c r="K977" s="1"/>
      <c r="M977" s="1"/>
      <c r="N977" s="1"/>
      <c r="O977" s="1"/>
      <c r="T977" s="1"/>
    </row>
    <row r="978" spans="1:20" x14ac:dyDescent="0.3">
      <c r="A978" s="1" t="s">
        <v>177</v>
      </c>
      <c r="B978" s="1"/>
      <c r="C978" s="2"/>
      <c r="D978" s="1"/>
      <c r="E978" s="1"/>
      <c r="H978" s="1"/>
      <c r="K978" s="1"/>
      <c r="M978" s="1"/>
      <c r="N978" s="1"/>
      <c r="O978" s="1"/>
      <c r="T978" s="1"/>
    </row>
    <row r="979" spans="1:20" x14ac:dyDescent="0.3">
      <c r="A979" s="1" t="s">
        <v>177</v>
      </c>
      <c r="B979" s="1"/>
      <c r="C979" s="2"/>
      <c r="D979" s="1"/>
      <c r="E979" s="1"/>
      <c r="H979" s="1"/>
      <c r="K979" s="1"/>
      <c r="M979" s="1"/>
      <c r="N979" s="1"/>
      <c r="O979" s="1"/>
      <c r="T979" s="1"/>
    </row>
    <row r="980" spans="1:20" x14ac:dyDescent="0.3">
      <c r="A980" s="1" t="s">
        <v>177</v>
      </c>
      <c r="B980" s="1"/>
      <c r="C980" s="2"/>
      <c r="D980" s="1"/>
      <c r="E980" s="1"/>
      <c r="H980" s="1"/>
      <c r="K980" s="1"/>
      <c r="M980" s="1"/>
      <c r="N980" s="1"/>
      <c r="O980" s="1"/>
      <c r="T980" s="1"/>
    </row>
    <row r="981" spans="1:20" x14ac:dyDescent="0.3">
      <c r="A981" s="1" t="s">
        <v>177</v>
      </c>
      <c r="B981" s="1"/>
      <c r="C981" s="2"/>
      <c r="D981" s="1"/>
      <c r="E981" s="1"/>
      <c r="H981" s="1"/>
      <c r="K981" s="1"/>
      <c r="M981" s="1"/>
      <c r="N981" s="1"/>
      <c r="O981" s="1"/>
      <c r="T981" s="1"/>
    </row>
    <row r="982" spans="1:20" x14ac:dyDescent="0.3">
      <c r="A982" s="1" t="s">
        <v>177</v>
      </c>
      <c r="B982" s="1"/>
      <c r="C982" s="2"/>
      <c r="D982" s="1"/>
      <c r="E982" s="1"/>
      <c r="H982" s="1"/>
      <c r="K982" s="1"/>
      <c r="M982" s="1"/>
      <c r="N982" s="1"/>
      <c r="O982" s="1"/>
      <c r="T982" s="1"/>
    </row>
    <row r="983" spans="1:20" x14ac:dyDescent="0.3">
      <c r="A983" s="1" t="s">
        <v>177</v>
      </c>
      <c r="B983" s="1"/>
      <c r="C983" s="2"/>
      <c r="D983" s="1"/>
      <c r="E983" s="1"/>
      <c r="H983" s="1"/>
      <c r="K983" s="1"/>
      <c r="M983" s="1"/>
      <c r="N983" s="1"/>
      <c r="O983" s="1"/>
      <c r="T983" s="1"/>
    </row>
    <row r="984" spans="1:20" x14ac:dyDescent="0.3">
      <c r="A984" s="1" t="s">
        <v>177</v>
      </c>
      <c r="B984" s="1"/>
      <c r="C984" s="2"/>
      <c r="D984" s="1"/>
      <c r="E984" s="1"/>
      <c r="H984" s="1"/>
      <c r="K984" s="1"/>
      <c r="M984" s="1"/>
      <c r="N984" s="1"/>
      <c r="O984" s="1"/>
      <c r="T984" s="1"/>
    </row>
    <row r="985" spans="1:20" x14ac:dyDescent="0.3">
      <c r="A985" s="1" t="s">
        <v>177</v>
      </c>
      <c r="B985" s="1"/>
      <c r="C985" s="2"/>
      <c r="D985" s="1"/>
      <c r="E985" s="1"/>
      <c r="H985" s="1"/>
      <c r="K985" s="1"/>
      <c r="M985" s="1"/>
      <c r="N985" s="1"/>
      <c r="O985" s="1"/>
      <c r="T985" s="1"/>
    </row>
    <row r="986" spans="1:20" x14ac:dyDescent="0.3">
      <c r="A986" s="1" t="s">
        <v>177</v>
      </c>
      <c r="B986" s="1"/>
      <c r="C986" s="2"/>
      <c r="D986" s="1"/>
      <c r="E986" s="1"/>
      <c r="H986" s="1"/>
      <c r="K986" s="1"/>
      <c r="M986" s="1"/>
      <c r="N986" s="1"/>
      <c r="O986" s="1"/>
      <c r="T986" s="1"/>
    </row>
    <row r="987" spans="1:20" x14ac:dyDescent="0.3">
      <c r="A987" s="1" t="s">
        <v>177</v>
      </c>
      <c r="B987" s="1"/>
      <c r="C987" s="2"/>
      <c r="D987" s="1"/>
      <c r="E987" s="1"/>
      <c r="H987" s="1"/>
      <c r="K987" s="1"/>
      <c r="M987" s="1"/>
      <c r="N987" s="1"/>
      <c r="O987" s="1"/>
      <c r="T987" s="1"/>
    </row>
    <row r="988" spans="1:20" x14ac:dyDescent="0.3">
      <c r="A988" s="1" t="s">
        <v>177</v>
      </c>
      <c r="B988" s="1"/>
      <c r="C988" s="2"/>
      <c r="D988" s="1"/>
      <c r="E988" s="1"/>
      <c r="H988" s="1"/>
      <c r="K988" s="1"/>
      <c r="M988" s="1"/>
      <c r="N988" s="1"/>
      <c r="O988" s="1"/>
      <c r="T988" s="1"/>
    </row>
    <row r="989" spans="1:20" x14ac:dyDescent="0.3">
      <c r="A989" s="1" t="s">
        <v>177</v>
      </c>
      <c r="B989" s="1"/>
      <c r="C989" s="2"/>
      <c r="D989" s="1"/>
      <c r="E989" s="1"/>
      <c r="H989" s="1"/>
      <c r="K989" s="1"/>
      <c r="M989" s="1"/>
      <c r="N989" s="1"/>
      <c r="O989" s="1"/>
      <c r="T989" s="1"/>
    </row>
    <row r="990" spans="1:20" x14ac:dyDescent="0.3">
      <c r="A990" s="1" t="s">
        <v>177</v>
      </c>
      <c r="B990" s="1"/>
      <c r="C990" s="2"/>
      <c r="D990" s="1"/>
      <c r="E990" s="1"/>
      <c r="H990" s="1"/>
      <c r="K990" s="1"/>
      <c r="M990" s="1"/>
      <c r="N990" s="1"/>
      <c r="O990" s="1"/>
      <c r="T990" s="1"/>
    </row>
    <row r="991" spans="1:20" x14ac:dyDescent="0.3">
      <c r="A991" s="1" t="s">
        <v>177</v>
      </c>
      <c r="B991" s="1"/>
      <c r="C991" s="2"/>
      <c r="D991" s="1"/>
      <c r="E991" s="1"/>
      <c r="H991" s="1"/>
      <c r="K991" s="1"/>
      <c r="M991" s="1"/>
      <c r="N991" s="1"/>
      <c r="O991" s="1"/>
      <c r="T991" s="1"/>
    </row>
    <row r="992" spans="1:20" x14ac:dyDescent="0.3">
      <c r="A992" s="1" t="s">
        <v>177</v>
      </c>
      <c r="B992" s="1"/>
      <c r="C992" s="2"/>
      <c r="D992" s="1"/>
      <c r="E992" s="1"/>
      <c r="H992" s="1"/>
      <c r="K992" s="1"/>
      <c r="M992" s="1"/>
      <c r="N992" s="1"/>
      <c r="O992" s="1"/>
      <c r="T992" s="1"/>
    </row>
    <row r="993" spans="1:20" x14ac:dyDescent="0.3">
      <c r="A993" s="1" t="s">
        <v>177</v>
      </c>
      <c r="B993" s="1"/>
      <c r="C993" s="2"/>
      <c r="D993" s="1"/>
      <c r="E993" s="1"/>
      <c r="H993" s="1"/>
      <c r="K993" s="1"/>
      <c r="M993" s="1"/>
      <c r="N993" s="1"/>
      <c r="O993" s="1"/>
      <c r="T993" s="1"/>
    </row>
    <row r="994" spans="1:20" x14ac:dyDescent="0.3">
      <c r="A994" s="1" t="s">
        <v>177</v>
      </c>
      <c r="B994" s="1"/>
      <c r="C994" s="2"/>
      <c r="D994" s="1"/>
      <c r="E994" s="1"/>
      <c r="H994" s="1"/>
      <c r="K994" s="1"/>
      <c r="M994" s="1"/>
      <c r="N994" s="1"/>
      <c r="O994" s="1"/>
      <c r="T994" s="1"/>
    </row>
    <row r="995" spans="1:20" x14ac:dyDescent="0.3">
      <c r="A995" s="1" t="s">
        <v>177</v>
      </c>
      <c r="B995" s="1"/>
      <c r="C995" s="2"/>
      <c r="D995" s="1"/>
      <c r="E995" s="1"/>
      <c r="H995" s="1"/>
      <c r="K995" s="1"/>
      <c r="M995" s="1"/>
      <c r="N995" s="1"/>
      <c r="O995" s="1"/>
      <c r="T995" s="1"/>
    </row>
    <row r="996" spans="1:20" x14ac:dyDescent="0.3">
      <c r="A996" s="1" t="s">
        <v>177</v>
      </c>
      <c r="B996" s="1"/>
      <c r="C996" s="2"/>
      <c r="D996" s="1"/>
      <c r="E996" s="1"/>
      <c r="H996" s="1"/>
      <c r="K996" s="1"/>
      <c r="M996" s="1"/>
      <c r="N996" s="1"/>
      <c r="O996" s="1"/>
      <c r="T996" s="1"/>
    </row>
    <row r="997" spans="1:20" x14ac:dyDescent="0.3">
      <c r="A997" s="1" t="s">
        <v>177</v>
      </c>
      <c r="B997" s="1"/>
      <c r="C997" s="2"/>
      <c r="D997" s="1"/>
      <c r="E997" s="1"/>
      <c r="H997" s="1"/>
      <c r="K997" s="1"/>
      <c r="M997" s="1"/>
      <c r="N997" s="1"/>
      <c r="O997" s="1"/>
      <c r="T997" s="1"/>
    </row>
    <row r="998" spans="1:20" x14ac:dyDescent="0.3">
      <c r="A998" s="1" t="s">
        <v>177</v>
      </c>
      <c r="B998" s="1"/>
      <c r="C998" s="2"/>
      <c r="D998" s="1"/>
      <c r="E998" s="1"/>
      <c r="H998" s="1"/>
      <c r="K998" s="1"/>
      <c r="M998" s="1"/>
      <c r="N998" s="1"/>
      <c r="O998" s="1"/>
      <c r="T998" s="1"/>
    </row>
    <row r="999" spans="1:20" x14ac:dyDescent="0.3">
      <c r="A999" s="1" t="s">
        <v>177</v>
      </c>
      <c r="B999" s="1"/>
      <c r="C999" s="2"/>
      <c r="D999" s="1"/>
      <c r="E999" s="1"/>
      <c r="H999" s="1"/>
      <c r="K999" s="1"/>
      <c r="M999" s="1"/>
      <c r="N999" s="1"/>
      <c r="O999" s="1"/>
      <c r="T999" s="1"/>
    </row>
    <row r="1000" spans="1:20" x14ac:dyDescent="0.3">
      <c r="A1000" s="1" t="s">
        <v>177</v>
      </c>
      <c r="B1000" s="1"/>
      <c r="C1000" s="2"/>
      <c r="D1000" s="1"/>
      <c r="E1000" s="1"/>
      <c r="H1000" s="1"/>
      <c r="K1000" s="1"/>
      <c r="M1000" s="1"/>
      <c r="N1000" s="1"/>
      <c r="O1000" s="1"/>
      <c r="T1000" s="1"/>
    </row>
    <row r="1001" spans="1:20" x14ac:dyDescent="0.3">
      <c r="A1001" s="1" t="s">
        <v>177</v>
      </c>
      <c r="B1001" s="1"/>
      <c r="C1001" s="2"/>
      <c r="D1001" s="1"/>
      <c r="E1001" s="1"/>
      <c r="H1001" s="1"/>
      <c r="K1001" s="1"/>
      <c r="M1001" s="1"/>
      <c r="N1001" s="1"/>
      <c r="O1001" s="1"/>
      <c r="T1001" s="1"/>
    </row>
    <row r="1002" spans="1:20" x14ac:dyDescent="0.3">
      <c r="A1002" s="1" t="s">
        <v>177</v>
      </c>
      <c r="B1002" s="1"/>
      <c r="C1002" s="2"/>
      <c r="D1002" s="1"/>
      <c r="E1002" s="1"/>
      <c r="H1002" s="1"/>
      <c r="K1002" s="1"/>
      <c r="M1002" s="1"/>
      <c r="N1002" s="1"/>
      <c r="O1002" s="1"/>
      <c r="T1002" s="1"/>
    </row>
    <row r="1003" spans="1:20" x14ac:dyDescent="0.3">
      <c r="A1003" s="1" t="s">
        <v>177</v>
      </c>
      <c r="B1003" s="1"/>
      <c r="C1003" s="2"/>
      <c r="D1003" s="1"/>
      <c r="E1003" s="1"/>
      <c r="H1003" s="1"/>
      <c r="K1003" s="1"/>
      <c r="M1003" s="1"/>
      <c r="N1003" s="1"/>
      <c r="O1003" s="1"/>
      <c r="T1003" s="1"/>
    </row>
    <row r="1004" spans="1:20" x14ac:dyDescent="0.3">
      <c r="A1004" s="1" t="s">
        <v>177</v>
      </c>
      <c r="B1004" s="1"/>
      <c r="C1004" s="2"/>
      <c r="D1004" s="1"/>
      <c r="E1004" s="1"/>
      <c r="H1004" s="1"/>
      <c r="K1004" s="1"/>
      <c r="M1004" s="1"/>
      <c r="N1004" s="1"/>
      <c r="O1004" s="1"/>
      <c r="T1004" s="1"/>
    </row>
    <row r="1005" spans="1:20" x14ac:dyDescent="0.3">
      <c r="A1005" s="1" t="s">
        <v>177</v>
      </c>
      <c r="B1005" s="1"/>
      <c r="C1005" s="2"/>
      <c r="D1005" s="1"/>
      <c r="E1005" s="1"/>
      <c r="H1005" s="1"/>
      <c r="K1005" s="1"/>
      <c r="M1005" s="1"/>
      <c r="N1005" s="1"/>
      <c r="O1005" s="1"/>
      <c r="T1005" s="1"/>
    </row>
    <row r="1006" spans="1:20" x14ac:dyDescent="0.3">
      <c r="A1006" s="1" t="s">
        <v>177</v>
      </c>
      <c r="B1006" s="1"/>
      <c r="C1006" s="2"/>
      <c r="D1006" s="1"/>
      <c r="E1006" s="1"/>
      <c r="H1006" s="1"/>
      <c r="K1006" s="1"/>
      <c r="M1006" s="1"/>
      <c r="N1006" s="1"/>
      <c r="O1006" s="1"/>
      <c r="T1006" s="1"/>
    </row>
    <row r="1007" spans="1:20" x14ac:dyDescent="0.3">
      <c r="A1007" s="1" t="s">
        <v>177</v>
      </c>
      <c r="B1007" s="1"/>
      <c r="C1007" s="2"/>
      <c r="D1007" s="1"/>
      <c r="E1007" s="1"/>
      <c r="H1007" s="1"/>
      <c r="K1007" s="1"/>
      <c r="M1007" s="1"/>
      <c r="N1007" s="1"/>
      <c r="O1007" s="1"/>
      <c r="T1007" s="1"/>
    </row>
    <row r="1008" spans="1:20" x14ac:dyDescent="0.3">
      <c r="A1008" s="1" t="s">
        <v>177</v>
      </c>
      <c r="B1008" s="1"/>
      <c r="C1008" s="2"/>
      <c r="D1008" s="1"/>
      <c r="E1008" s="1"/>
      <c r="H1008" s="1"/>
      <c r="K1008" s="1"/>
      <c r="M1008" s="1"/>
      <c r="N1008" s="1"/>
      <c r="O1008" s="1"/>
      <c r="T1008" s="1"/>
    </row>
    <row r="1009" spans="1:20" x14ac:dyDescent="0.3">
      <c r="A1009" s="1" t="s">
        <v>177</v>
      </c>
      <c r="B1009" s="1"/>
      <c r="C1009" s="2"/>
      <c r="D1009" s="1"/>
      <c r="E1009" s="1"/>
      <c r="H1009" s="1"/>
      <c r="K1009" s="1"/>
      <c r="M1009" s="1"/>
      <c r="N1009" s="1"/>
      <c r="O1009" s="1"/>
      <c r="T1009" s="1"/>
    </row>
    <row r="1010" spans="1:20" x14ac:dyDescent="0.3">
      <c r="A1010" s="1" t="s">
        <v>177</v>
      </c>
      <c r="B1010" s="1"/>
      <c r="C1010" s="2"/>
      <c r="D1010" s="1"/>
      <c r="E1010" s="1"/>
      <c r="H1010" s="1"/>
      <c r="K1010" s="1"/>
      <c r="M1010" s="1"/>
      <c r="N1010" s="1"/>
      <c r="O1010" s="1"/>
      <c r="T1010" s="1"/>
    </row>
    <row r="1011" spans="1:20" x14ac:dyDescent="0.3">
      <c r="A1011" s="1" t="s">
        <v>177</v>
      </c>
      <c r="B1011" s="1"/>
      <c r="C1011" s="2"/>
      <c r="D1011" s="1"/>
      <c r="E1011" s="1"/>
      <c r="H1011" s="1"/>
      <c r="K1011" s="1"/>
      <c r="M1011" s="1"/>
      <c r="N1011" s="1"/>
      <c r="O1011" s="1"/>
      <c r="T1011" s="1"/>
    </row>
    <row r="1012" spans="1:20" x14ac:dyDescent="0.3">
      <c r="A1012" s="1" t="s">
        <v>177</v>
      </c>
      <c r="B1012" s="1"/>
      <c r="C1012" s="2"/>
      <c r="D1012" s="1"/>
      <c r="E1012" s="1"/>
      <c r="H1012" s="1"/>
      <c r="K1012" s="1"/>
      <c r="M1012" s="1"/>
      <c r="N1012" s="1"/>
      <c r="O1012" s="1"/>
      <c r="T1012" s="1"/>
    </row>
    <row r="1013" spans="1:20" x14ac:dyDescent="0.3">
      <c r="A1013" s="1" t="s">
        <v>177</v>
      </c>
      <c r="B1013" s="1"/>
      <c r="C1013" s="2"/>
      <c r="D1013" s="1"/>
      <c r="E1013" s="1"/>
      <c r="H1013" s="1"/>
      <c r="K1013" s="1"/>
      <c r="M1013" s="1"/>
      <c r="N1013" s="1"/>
      <c r="O1013" s="1"/>
      <c r="T1013" s="1"/>
    </row>
    <row r="1014" spans="1:20" x14ac:dyDescent="0.3">
      <c r="A1014" s="1" t="s">
        <v>177</v>
      </c>
      <c r="B1014" s="1"/>
      <c r="C1014" s="2"/>
      <c r="D1014" s="1"/>
      <c r="E1014" s="1"/>
      <c r="H1014" s="1"/>
      <c r="K1014" s="1"/>
      <c r="M1014" s="1"/>
      <c r="N1014" s="1"/>
      <c r="O1014" s="1"/>
      <c r="T1014" s="1"/>
    </row>
    <row r="1015" spans="1:20" x14ac:dyDescent="0.3">
      <c r="A1015" s="1" t="s">
        <v>177</v>
      </c>
      <c r="B1015" s="1"/>
      <c r="C1015" s="2"/>
      <c r="D1015" s="1"/>
      <c r="E1015" s="1"/>
      <c r="H1015" s="1"/>
      <c r="K1015" s="1"/>
      <c r="M1015" s="1"/>
      <c r="N1015" s="1"/>
      <c r="O1015" s="1"/>
      <c r="T1015" s="1"/>
    </row>
    <row r="1016" spans="1:20" x14ac:dyDescent="0.3">
      <c r="A1016" s="1" t="s">
        <v>177</v>
      </c>
      <c r="B1016" s="1"/>
      <c r="C1016" s="2"/>
      <c r="D1016" s="1"/>
      <c r="E1016" s="1"/>
      <c r="H1016" s="1"/>
      <c r="K1016" s="1"/>
      <c r="M1016" s="1"/>
      <c r="N1016" s="1"/>
      <c r="O1016" s="1"/>
      <c r="T1016" s="1"/>
    </row>
    <row r="1017" spans="1:20" x14ac:dyDescent="0.3">
      <c r="A1017" s="1" t="s">
        <v>177</v>
      </c>
      <c r="B1017" s="1"/>
      <c r="C1017" s="2"/>
      <c r="D1017" s="1"/>
      <c r="E1017" s="1"/>
      <c r="H1017" s="1"/>
      <c r="K1017" s="1"/>
      <c r="M1017" s="1"/>
      <c r="N1017" s="1"/>
      <c r="O1017" s="1"/>
      <c r="T1017" s="1"/>
    </row>
    <row r="1018" spans="1:20" x14ac:dyDescent="0.3">
      <c r="A1018" s="1" t="s">
        <v>177</v>
      </c>
      <c r="B1018" s="1"/>
      <c r="C1018" s="2"/>
      <c r="D1018" s="1"/>
      <c r="E1018" s="1"/>
      <c r="H1018" s="1"/>
      <c r="K1018" s="1"/>
      <c r="M1018" s="1"/>
      <c r="N1018" s="1"/>
      <c r="O1018" s="1"/>
      <c r="T1018" s="1"/>
    </row>
    <row r="1019" spans="1:20" x14ac:dyDescent="0.3">
      <c r="A1019" s="1" t="s">
        <v>177</v>
      </c>
      <c r="B1019" s="1"/>
      <c r="C1019" s="2"/>
      <c r="D1019" s="1"/>
      <c r="E1019" s="1"/>
      <c r="H1019" s="1"/>
      <c r="K1019" s="1"/>
      <c r="M1019" s="1"/>
      <c r="N1019" s="1"/>
      <c r="O1019" s="1"/>
      <c r="T1019" s="1"/>
    </row>
    <row r="1020" spans="1:20" x14ac:dyDescent="0.3">
      <c r="A1020" s="1" t="s">
        <v>177</v>
      </c>
      <c r="B1020" s="1"/>
      <c r="C1020" s="2"/>
      <c r="D1020" s="1"/>
      <c r="E1020" s="1"/>
      <c r="H1020" s="1"/>
      <c r="K1020" s="1"/>
      <c r="M1020" s="1"/>
      <c r="N1020" s="1"/>
      <c r="O1020" s="1"/>
      <c r="T1020" s="1"/>
    </row>
    <row r="1021" spans="1:20" x14ac:dyDescent="0.3">
      <c r="A1021" s="1" t="s">
        <v>177</v>
      </c>
      <c r="B1021" s="1"/>
      <c r="C1021" s="2"/>
      <c r="D1021" s="1"/>
      <c r="E1021" s="1"/>
      <c r="H1021" s="1"/>
      <c r="K1021" s="1"/>
      <c r="M1021" s="1"/>
      <c r="N1021" s="1"/>
      <c r="O1021" s="1"/>
      <c r="T1021" s="1"/>
    </row>
    <row r="1022" spans="1:20" x14ac:dyDescent="0.3">
      <c r="A1022" s="1" t="s">
        <v>177</v>
      </c>
      <c r="B1022" s="1"/>
      <c r="C1022" s="2"/>
      <c r="D1022" s="1"/>
      <c r="E1022" s="1"/>
      <c r="H1022" s="1"/>
      <c r="K1022" s="1"/>
      <c r="M1022" s="1"/>
      <c r="N1022" s="1"/>
      <c r="O1022" s="1"/>
      <c r="T1022" s="1"/>
    </row>
    <row r="1023" spans="1:20" x14ac:dyDescent="0.3">
      <c r="A1023" s="1" t="s">
        <v>177</v>
      </c>
      <c r="B1023" s="1"/>
      <c r="C1023" s="2"/>
      <c r="D1023" s="1"/>
      <c r="E1023" s="1"/>
      <c r="H1023" s="1"/>
      <c r="K1023" s="1"/>
      <c r="M1023" s="1"/>
      <c r="N1023" s="1"/>
      <c r="O1023" s="1"/>
      <c r="T1023" s="1"/>
    </row>
    <row r="1024" spans="1:20" x14ac:dyDescent="0.3">
      <c r="A1024" s="1" t="s">
        <v>177</v>
      </c>
      <c r="B1024" s="1"/>
      <c r="C1024" s="2"/>
      <c r="D1024" s="1"/>
      <c r="E1024" s="1"/>
      <c r="H1024" s="1"/>
      <c r="K1024" s="1"/>
      <c r="M1024" s="1"/>
      <c r="N1024" s="1"/>
      <c r="O1024" s="1"/>
      <c r="T1024" s="1"/>
    </row>
    <row r="1025" spans="1:20" x14ac:dyDescent="0.3">
      <c r="A1025" s="1" t="s">
        <v>177</v>
      </c>
      <c r="B1025" s="1"/>
      <c r="C1025" s="2"/>
      <c r="D1025" s="1"/>
      <c r="E1025" s="1"/>
      <c r="H1025" s="1"/>
      <c r="K1025" s="1"/>
      <c r="M1025" s="1"/>
      <c r="N1025" s="1"/>
      <c r="O1025" s="1"/>
      <c r="T1025" s="1"/>
    </row>
    <row r="1026" spans="1:20" x14ac:dyDescent="0.3">
      <c r="A1026" s="1" t="s">
        <v>177</v>
      </c>
      <c r="B1026" s="1"/>
      <c r="C1026" s="2"/>
      <c r="D1026" s="1"/>
      <c r="E1026" s="1"/>
      <c r="H1026" s="1"/>
      <c r="K1026" s="1"/>
      <c r="M1026" s="1"/>
      <c r="N1026" s="1"/>
      <c r="O1026" s="1"/>
      <c r="T1026" s="1"/>
    </row>
    <row r="1027" spans="1:20" x14ac:dyDescent="0.3">
      <c r="A1027" s="1" t="s">
        <v>177</v>
      </c>
      <c r="B1027" s="1"/>
      <c r="C1027" s="2"/>
      <c r="D1027" s="1"/>
      <c r="E1027" s="1"/>
      <c r="H1027" s="1"/>
      <c r="K1027" s="1"/>
      <c r="M1027" s="1"/>
      <c r="N1027" s="1"/>
      <c r="O1027" s="1"/>
      <c r="T1027" s="1"/>
    </row>
    <row r="1028" spans="1:20" x14ac:dyDescent="0.3">
      <c r="A1028" s="1" t="s">
        <v>177</v>
      </c>
      <c r="B1028" s="1"/>
      <c r="C1028" s="2"/>
      <c r="D1028" s="1"/>
      <c r="E1028" s="1"/>
      <c r="H1028" s="1"/>
      <c r="K1028" s="1"/>
      <c r="M1028" s="1"/>
      <c r="N1028" s="1"/>
      <c r="O1028" s="1"/>
      <c r="T1028" s="1"/>
    </row>
    <row r="1029" spans="1:20" x14ac:dyDescent="0.3">
      <c r="A1029" s="1" t="s">
        <v>177</v>
      </c>
      <c r="B1029" s="1"/>
      <c r="C1029" s="2"/>
      <c r="D1029" s="1"/>
      <c r="E1029" s="1"/>
      <c r="H1029" s="1"/>
      <c r="K1029" s="1"/>
      <c r="M1029" s="1"/>
      <c r="N1029" s="1"/>
      <c r="O1029" s="1"/>
      <c r="T1029" s="1"/>
    </row>
    <row r="1030" spans="1:20" x14ac:dyDescent="0.3">
      <c r="A1030" s="1" t="s">
        <v>177</v>
      </c>
      <c r="B1030" s="1"/>
      <c r="C1030" s="2"/>
      <c r="D1030" s="1"/>
      <c r="E1030" s="1"/>
      <c r="H1030" s="1"/>
      <c r="K1030" s="1"/>
      <c r="M1030" s="1"/>
      <c r="N1030" s="1"/>
      <c r="O1030" s="1"/>
      <c r="T1030" s="1"/>
    </row>
    <row r="1031" spans="1:20" x14ac:dyDescent="0.3">
      <c r="A1031" s="1" t="s">
        <v>177</v>
      </c>
      <c r="B1031" s="1"/>
      <c r="C1031" s="2"/>
      <c r="D1031" s="1"/>
      <c r="E1031" s="1"/>
      <c r="H1031" s="1"/>
      <c r="K1031" s="1"/>
      <c r="M1031" s="1"/>
      <c r="N1031" s="1"/>
      <c r="O1031" s="1"/>
      <c r="T1031" s="1"/>
    </row>
    <row r="1032" spans="1:20" x14ac:dyDescent="0.3">
      <c r="A1032" s="1" t="s">
        <v>177</v>
      </c>
      <c r="B1032" s="1"/>
      <c r="C1032" s="2"/>
      <c r="D1032" s="1"/>
      <c r="E1032" s="1"/>
      <c r="H1032" s="1"/>
      <c r="K1032" s="1"/>
      <c r="M1032" s="1"/>
      <c r="N1032" s="1"/>
      <c r="O1032" s="1"/>
      <c r="T1032" s="1"/>
    </row>
    <row r="1033" spans="1:20" x14ac:dyDescent="0.3">
      <c r="A1033" s="1" t="s">
        <v>177</v>
      </c>
      <c r="B1033" s="1"/>
      <c r="C1033" s="2"/>
      <c r="D1033" s="1"/>
      <c r="E1033" s="1"/>
      <c r="H1033" s="1"/>
      <c r="K1033" s="1"/>
      <c r="M1033" s="1"/>
      <c r="N1033" s="1"/>
      <c r="O1033" s="1"/>
      <c r="T1033" s="1"/>
    </row>
    <row r="1034" spans="1:20" x14ac:dyDescent="0.3">
      <c r="A1034" s="1" t="s">
        <v>177</v>
      </c>
      <c r="B1034" s="1"/>
      <c r="C1034" s="2"/>
      <c r="D1034" s="1"/>
      <c r="E1034" s="1"/>
      <c r="H1034" s="1"/>
      <c r="K1034" s="1"/>
      <c r="M1034" s="1"/>
      <c r="N1034" s="1"/>
      <c r="O1034" s="1"/>
      <c r="T1034" s="1"/>
    </row>
    <row r="1035" spans="1:20" x14ac:dyDescent="0.3">
      <c r="A1035" s="1" t="s">
        <v>177</v>
      </c>
      <c r="B1035" s="1"/>
      <c r="C1035" s="2"/>
      <c r="D1035" s="1"/>
      <c r="E1035" s="1"/>
      <c r="H1035" s="1"/>
      <c r="K1035" s="1"/>
      <c r="M1035" s="1"/>
      <c r="N1035" s="1"/>
      <c r="O1035" s="1"/>
      <c r="T1035" s="1"/>
    </row>
    <row r="1036" spans="1:20" x14ac:dyDescent="0.3">
      <c r="A1036" s="1" t="s">
        <v>177</v>
      </c>
      <c r="B1036" s="1"/>
      <c r="C1036" s="2"/>
      <c r="D1036" s="1"/>
      <c r="E1036" s="1"/>
      <c r="H1036" s="1"/>
      <c r="K1036" s="1"/>
      <c r="M1036" s="1"/>
      <c r="N1036" s="1"/>
      <c r="O1036" s="1"/>
      <c r="T1036" s="1"/>
    </row>
    <row r="1037" spans="1:20" x14ac:dyDescent="0.3">
      <c r="A1037" s="1" t="s">
        <v>177</v>
      </c>
      <c r="B1037" s="1"/>
      <c r="C1037" s="2"/>
      <c r="D1037" s="1"/>
      <c r="E1037" s="1"/>
      <c r="H1037" s="1"/>
      <c r="K1037" s="1"/>
      <c r="M1037" s="1"/>
      <c r="N1037" s="1"/>
      <c r="O1037" s="1"/>
      <c r="T1037" s="1"/>
    </row>
    <row r="1038" spans="1:20" x14ac:dyDescent="0.3">
      <c r="A1038" s="1" t="s">
        <v>177</v>
      </c>
      <c r="B1038" s="1"/>
      <c r="C1038" s="2"/>
      <c r="D1038" s="1"/>
      <c r="E1038" s="1"/>
      <c r="H1038" s="1"/>
      <c r="K1038" s="1"/>
      <c r="M1038" s="1"/>
      <c r="N1038" s="1"/>
      <c r="O1038" s="1"/>
      <c r="T1038" s="1"/>
    </row>
    <row r="1039" spans="1:20" x14ac:dyDescent="0.3">
      <c r="A1039" s="1" t="s">
        <v>177</v>
      </c>
      <c r="B1039" s="1"/>
      <c r="C1039" s="2"/>
      <c r="D1039" s="1"/>
      <c r="E1039" s="1"/>
      <c r="H1039" s="1"/>
      <c r="K1039" s="1"/>
      <c r="M1039" s="1"/>
      <c r="N1039" s="1"/>
      <c r="O1039" s="1"/>
      <c r="T1039" s="1"/>
    </row>
    <row r="1040" spans="1:20" x14ac:dyDescent="0.3">
      <c r="A1040" s="1" t="s">
        <v>177</v>
      </c>
      <c r="B1040" s="1"/>
      <c r="C1040" s="2"/>
      <c r="D1040" s="1"/>
      <c r="E1040" s="1"/>
      <c r="H1040" s="1"/>
      <c r="K1040" s="1"/>
      <c r="M1040" s="1"/>
      <c r="N1040" s="1"/>
      <c r="O1040" s="1"/>
      <c r="T1040" s="1"/>
    </row>
    <row r="1041" spans="1:20" x14ac:dyDescent="0.3">
      <c r="A1041" s="1" t="s">
        <v>177</v>
      </c>
      <c r="B1041" s="1"/>
      <c r="C1041" s="2"/>
      <c r="D1041" s="1"/>
      <c r="E1041" s="1"/>
      <c r="H1041" s="1"/>
      <c r="K1041" s="1"/>
      <c r="M1041" s="1"/>
      <c r="N1041" s="1"/>
      <c r="O1041" s="1"/>
      <c r="T1041" s="1"/>
    </row>
    <row r="1042" spans="1:20" x14ac:dyDescent="0.3">
      <c r="A1042" s="1" t="s">
        <v>177</v>
      </c>
      <c r="B1042" s="1"/>
      <c r="C1042" s="2"/>
      <c r="D1042" s="1"/>
      <c r="E1042" s="1"/>
      <c r="H1042" s="1"/>
      <c r="K1042" s="1"/>
      <c r="M1042" s="1"/>
      <c r="N1042" s="1"/>
      <c r="O1042" s="1"/>
      <c r="T1042" s="1"/>
    </row>
    <row r="1043" spans="1:20" x14ac:dyDescent="0.3">
      <c r="A1043" s="1" t="s">
        <v>177</v>
      </c>
      <c r="B1043" s="1"/>
      <c r="C1043" s="2"/>
      <c r="D1043" s="1"/>
      <c r="E1043" s="1"/>
      <c r="H1043" s="1"/>
      <c r="K1043" s="1"/>
      <c r="M1043" s="1"/>
      <c r="N1043" s="1"/>
      <c r="O1043" s="1"/>
      <c r="T1043" s="1"/>
    </row>
    <row r="1044" spans="1:20" x14ac:dyDescent="0.3">
      <c r="A1044" s="1" t="s">
        <v>177</v>
      </c>
      <c r="B1044" s="1"/>
      <c r="C1044" s="2"/>
      <c r="D1044" s="1"/>
      <c r="E1044" s="1"/>
      <c r="H1044" s="1"/>
      <c r="K1044" s="1"/>
      <c r="M1044" s="1"/>
      <c r="N1044" s="1"/>
      <c r="O1044" s="1"/>
      <c r="T1044" s="1"/>
    </row>
    <row r="1045" spans="1:20" x14ac:dyDescent="0.3">
      <c r="A1045" s="1" t="s">
        <v>177</v>
      </c>
      <c r="B1045" s="1"/>
      <c r="C1045" s="2"/>
      <c r="D1045" s="1"/>
      <c r="E1045" s="1"/>
      <c r="H1045" s="1"/>
      <c r="K1045" s="1"/>
      <c r="M1045" s="1"/>
      <c r="N1045" s="1"/>
      <c r="O1045" s="1"/>
      <c r="T1045" s="1"/>
    </row>
    <row r="1046" spans="1:20" x14ac:dyDescent="0.3">
      <c r="A1046" s="1" t="s">
        <v>177</v>
      </c>
      <c r="B1046" s="1"/>
      <c r="C1046" s="2"/>
      <c r="D1046" s="1"/>
      <c r="E1046" s="1"/>
      <c r="H1046" s="1"/>
      <c r="K1046" s="1"/>
      <c r="M1046" s="1"/>
      <c r="N1046" s="1"/>
      <c r="O1046" s="1"/>
      <c r="T1046" s="1"/>
    </row>
    <row r="1047" spans="1:20" x14ac:dyDescent="0.3">
      <c r="A1047" s="1" t="s">
        <v>177</v>
      </c>
      <c r="B1047" s="1"/>
      <c r="C1047" s="2"/>
      <c r="D1047" s="1"/>
      <c r="E1047" s="1"/>
      <c r="H1047" s="1"/>
      <c r="K1047" s="1"/>
      <c r="M1047" s="1"/>
      <c r="N1047" s="1"/>
      <c r="O1047" s="1"/>
      <c r="T1047" s="1"/>
    </row>
    <row r="1048" spans="1:20" x14ac:dyDescent="0.3">
      <c r="A1048" s="1" t="s">
        <v>177</v>
      </c>
      <c r="B1048" s="1"/>
      <c r="C1048" s="2"/>
      <c r="D1048" s="1"/>
      <c r="E1048" s="1"/>
      <c r="H1048" s="1"/>
      <c r="K1048" s="1"/>
      <c r="M1048" s="1"/>
      <c r="N1048" s="1"/>
      <c r="O1048" s="1"/>
      <c r="T1048" s="1"/>
    </row>
    <row r="1049" spans="1:20" x14ac:dyDescent="0.3">
      <c r="A1049" s="1" t="s">
        <v>177</v>
      </c>
      <c r="B1049" s="1"/>
      <c r="C1049" s="2"/>
      <c r="D1049" s="1"/>
      <c r="E1049" s="1"/>
      <c r="H1049" s="1"/>
      <c r="K1049" s="1"/>
      <c r="M1049" s="1"/>
      <c r="N1049" s="1"/>
      <c r="O1049" s="1"/>
      <c r="T1049" s="1"/>
    </row>
    <row r="1050" spans="1:20" x14ac:dyDescent="0.3">
      <c r="A1050" s="1" t="s">
        <v>177</v>
      </c>
      <c r="B1050" s="1"/>
      <c r="C1050" s="2"/>
      <c r="D1050" s="1"/>
      <c r="E1050" s="1"/>
      <c r="H1050" s="1"/>
      <c r="K1050" s="1"/>
      <c r="M1050" s="1"/>
      <c r="N1050" s="1"/>
      <c r="O1050" s="1"/>
      <c r="T1050" s="1"/>
    </row>
    <row r="1051" spans="1:20" x14ac:dyDescent="0.3">
      <c r="A1051" s="1" t="s">
        <v>177</v>
      </c>
      <c r="B1051" s="1"/>
      <c r="C1051" s="2"/>
      <c r="D1051" s="1"/>
      <c r="E1051" s="1"/>
      <c r="H1051" s="1"/>
      <c r="K1051" s="1"/>
      <c r="M1051" s="1"/>
      <c r="N1051" s="1"/>
      <c r="O1051" s="1"/>
      <c r="T1051" s="1"/>
    </row>
    <row r="1052" spans="1:20" x14ac:dyDescent="0.3">
      <c r="A1052" s="1" t="s">
        <v>177</v>
      </c>
      <c r="B1052" s="1"/>
      <c r="C1052" s="2"/>
      <c r="D1052" s="1"/>
      <c r="E1052" s="1"/>
      <c r="H1052" s="1"/>
      <c r="K1052" s="1"/>
      <c r="M1052" s="1"/>
      <c r="N1052" s="1"/>
      <c r="O1052" s="1"/>
      <c r="T1052" s="1"/>
    </row>
    <row r="1053" spans="1:20" x14ac:dyDescent="0.3">
      <c r="A1053" s="1" t="s">
        <v>177</v>
      </c>
      <c r="B1053" s="1"/>
      <c r="C1053" s="2"/>
      <c r="D1053" s="1"/>
      <c r="E1053" s="1"/>
      <c r="H1053" s="1"/>
      <c r="K1053" s="1"/>
      <c r="M1053" s="1"/>
      <c r="N1053" s="1"/>
      <c r="O1053" s="1"/>
      <c r="T1053" s="1"/>
    </row>
    <row r="1054" spans="1:20" x14ac:dyDescent="0.3">
      <c r="A1054" s="1" t="s">
        <v>177</v>
      </c>
      <c r="B1054" s="1"/>
      <c r="C1054" s="2"/>
      <c r="D1054" s="1"/>
      <c r="E1054" s="1"/>
      <c r="H1054" s="1"/>
      <c r="K1054" s="1"/>
      <c r="M1054" s="1"/>
      <c r="N1054" s="1"/>
      <c r="O1054" s="1"/>
      <c r="T1054" s="1"/>
    </row>
    <row r="1055" spans="1:20" x14ac:dyDescent="0.3">
      <c r="A1055" s="1" t="s">
        <v>177</v>
      </c>
      <c r="B1055" s="1"/>
      <c r="C1055" s="2"/>
      <c r="D1055" s="1"/>
      <c r="E1055" s="1"/>
      <c r="H1055" s="1"/>
      <c r="K1055" s="1"/>
      <c r="M1055" s="1"/>
      <c r="N1055" s="1"/>
      <c r="O1055" s="1"/>
      <c r="T1055" s="1"/>
    </row>
    <row r="1056" spans="1:20" x14ac:dyDescent="0.3">
      <c r="A1056" s="1" t="s">
        <v>177</v>
      </c>
      <c r="B1056" s="1"/>
      <c r="C1056" s="2"/>
      <c r="D1056" s="1"/>
      <c r="E1056" s="1"/>
      <c r="H1056" s="1"/>
      <c r="K1056" s="1"/>
      <c r="M1056" s="1"/>
      <c r="N1056" s="1"/>
      <c r="O1056" s="1"/>
      <c r="T1056" s="1"/>
    </row>
    <row r="1057" spans="1:20" x14ac:dyDescent="0.3">
      <c r="A1057" s="1" t="s">
        <v>177</v>
      </c>
      <c r="B1057" s="1"/>
      <c r="C1057" s="2"/>
      <c r="D1057" s="1"/>
      <c r="E1057" s="1"/>
      <c r="H1057" s="1"/>
      <c r="K1057" s="1"/>
      <c r="M1057" s="1"/>
      <c r="N1057" s="1"/>
      <c r="O1057" s="1"/>
      <c r="T1057" s="1"/>
    </row>
    <row r="1058" spans="1:20" x14ac:dyDescent="0.3">
      <c r="A1058" s="1" t="s">
        <v>177</v>
      </c>
      <c r="B1058" s="1"/>
      <c r="C1058" s="2"/>
      <c r="D1058" s="1"/>
      <c r="E1058" s="1"/>
      <c r="H1058" s="1"/>
      <c r="K1058" s="1"/>
      <c r="M1058" s="1"/>
      <c r="N1058" s="1"/>
      <c r="O1058" s="1"/>
      <c r="T1058" s="1"/>
    </row>
    <row r="1059" spans="1:20" x14ac:dyDescent="0.3">
      <c r="A1059" s="1" t="s">
        <v>177</v>
      </c>
      <c r="B1059" s="1"/>
      <c r="C1059" s="2"/>
      <c r="D1059" s="1"/>
      <c r="E1059" s="1"/>
      <c r="H1059" s="1"/>
      <c r="K1059" s="1"/>
      <c r="M1059" s="1"/>
      <c r="N1059" s="1"/>
      <c r="O1059" s="1"/>
      <c r="T1059" s="1"/>
    </row>
    <row r="1060" spans="1:20" x14ac:dyDescent="0.3">
      <c r="A1060" s="1" t="s">
        <v>177</v>
      </c>
      <c r="B1060" s="1"/>
      <c r="C1060" s="2"/>
      <c r="D1060" s="1"/>
      <c r="E1060" s="1"/>
      <c r="H1060" s="1"/>
      <c r="K1060" s="1"/>
      <c r="M1060" s="1"/>
      <c r="N1060" s="1"/>
      <c r="O1060" s="1"/>
      <c r="T1060" s="1"/>
    </row>
    <row r="1061" spans="1:20" x14ac:dyDescent="0.3">
      <c r="A1061" s="1" t="s">
        <v>177</v>
      </c>
      <c r="B1061" s="1"/>
      <c r="C1061" s="2"/>
      <c r="D1061" s="1"/>
      <c r="E1061" s="1"/>
      <c r="H1061" s="1"/>
      <c r="K1061" s="1"/>
      <c r="M1061" s="1"/>
      <c r="N1061" s="1"/>
      <c r="O1061" s="1"/>
      <c r="T1061" s="1"/>
    </row>
    <row r="1062" spans="1:20" x14ac:dyDescent="0.3">
      <c r="A1062" s="1" t="s">
        <v>177</v>
      </c>
      <c r="B1062" s="1"/>
      <c r="C1062" s="2"/>
      <c r="D1062" s="1"/>
      <c r="E1062" s="1"/>
      <c r="H1062" s="1"/>
      <c r="K1062" s="1"/>
      <c r="M1062" s="1"/>
      <c r="N1062" s="1"/>
      <c r="O1062" s="1"/>
      <c r="T1062" s="1"/>
    </row>
    <row r="1063" spans="1:20" x14ac:dyDescent="0.3">
      <c r="A1063" s="1" t="s">
        <v>177</v>
      </c>
      <c r="B1063" s="1"/>
      <c r="C1063" s="2"/>
      <c r="D1063" s="1"/>
      <c r="E1063" s="1"/>
      <c r="H1063" s="1"/>
      <c r="K1063" s="1"/>
      <c r="M1063" s="1"/>
      <c r="N1063" s="1"/>
      <c r="O1063" s="1"/>
      <c r="T1063" s="1"/>
    </row>
    <row r="1064" spans="1:20" x14ac:dyDescent="0.3">
      <c r="A1064" s="1" t="s">
        <v>177</v>
      </c>
      <c r="B1064" s="1"/>
      <c r="C1064" s="2"/>
      <c r="D1064" s="1"/>
      <c r="E1064" s="1"/>
      <c r="H1064" s="1"/>
      <c r="K1064" s="1"/>
      <c r="M1064" s="1"/>
      <c r="N1064" s="1"/>
      <c r="O1064" s="1"/>
      <c r="T1064" s="1"/>
    </row>
    <row r="1065" spans="1:20" x14ac:dyDescent="0.3">
      <c r="A1065" s="1" t="s">
        <v>177</v>
      </c>
      <c r="B1065" s="1"/>
      <c r="C1065" s="2"/>
      <c r="D1065" s="1"/>
      <c r="E1065" s="1"/>
      <c r="H1065" s="1"/>
      <c r="K1065" s="1"/>
      <c r="M1065" s="1"/>
      <c r="N1065" s="1"/>
      <c r="O1065" s="1"/>
      <c r="T1065" s="1"/>
    </row>
    <row r="1066" spans="1:20" x14ac:dyDescent="0.3">
      <c r="A1066" s="1" t="s">
        <v>177</v>
      </c>
      <c r="B1066" s="1"/>
      <c r="C1066" s="2"/>
      <c r="D1066" s="1"/>
      <c r="E1066" s="1"/>
      <c r="H1066" s="1"/>
      <c r="K1066" s="1"/>
      <c r="M1066" s="1"/>
      <c r="N1066" s="1"/>
      <c r="O1066" s="1"/>
      <c r="T1066" s="1"/>
    </row>
    <row r="1067" spans="1:20" x14ac:dyDescent="0.3">
      <c r="A1067" s="1" t="s">
        <v>177</v>
      </c>
      <c r="B1067" s="1"/>
      <c r="C1067" s="2"/>
      <c r="D1067" s="1"/>
      <c r="E1067" s="1"/>
      <c r="H1067" s="1"/>
      <c r="K1067" s="1"/>
      <c r="M1067" s="1"/>
      <c r="N1067" s="1"/>
      <c r="O1067" s="1"/>
      <c r="T1067" s="1"/>
    </row>
    <row r="1068" spans="1:20" x14ac:dyDescent="0.3">
      <c r="A1068" s="1" t="s">
        <v>177</v>
      </c>
      <c r="B1068" s="1"/>
      <c r="C1068" s="2"/>
      <c r="D1068" s="1"/>
      <c r="E1068" s="1"/>
      <c r="H1068" s="1"/>
      <c r="K1068" s="1"/>
      <c r="M1068" s="1"/>
      <c r="N1068" s="1"/>
      <c r="O1068" s="1"/>
      <c r="T1068" s="1"/>
    </row>
    <row r="1069" spans="1:20" x14ac:dyDescent="0.3">
      <c r="A1069" s="1" t="s">
        <v>177</v>
      </c>
      <c r="B1069" s="1"/>
      <c r="C1069" s="2"/>
      <c r="D1069" s="1"/>
      <c r="E1069" s="1"/>
      <c r="H1069" s="1"/>
      <c r="K1069" s="1"/>
      <c r="M1069" s="1"/>
      <c r="N1069" s="1"/>
      <c r="O1069" s="1"/>
      <c r="T1069" s="1"/>
    </row>
    <row r="1070" spans="1:20" x14ac:dyDescent="0.3">
      <c r="A1070" s="1" t="s">
        <v>177</v>
      </c>
      <c r="B1070" s="1"/>
      <c r="C1070" s="2"/>
      <c r="D1070" s="1"/>
      <c r="E1070" s="1"/>
      <c r="H1070" s="1"/>
      <c r="K1070" s="1"/>
      <c r="M1070" s="1"/>
      <c r="N1070" s="1"/>
      <c r="O1070" s="1"/>
      <c r="T1070" s="1"/>
    </row>
    <row r="1071" spans="1:20" x14ac:dyDescent="0.3">
      <c r="A1071" s="1" t="s">
        <v>177</v>
      </c>
      <c r="B1071" s="1"/>
      <c r="C1071" s="2"/>
      <c r="D1071" s="1"/>
      <c r="E1071" s="1"/>
      <c r="H1071" s="1"/>
      <c r="K1071" s="1"/>
      <c r="M1071" s="1"/>
      <c r="N1071" s="1"/>
      <c r="O1071" s="1"/>
      <c r="T1071" s="1"/>
    </row>
    <row r="1072" spans="1:20" x14ac:dyDescent="0.3">
      <c r="A1072" s="1" t="s">
        <v>177</v>
      </c>
      <c r="B1072" s="1"/>
      <c r="C1072" s="2"/>
      <c r="D1072" s="1"/>
      <c r="E1072" s="1"/>
      <c r="H1072" s="1"/>
      <c r="K1072" s="1"/>
      <c r="M1072" s="1"/>
      <c r="N1072" s="1"/>
      <c r="O1072" s="1"/>
      <c r="T1072" s="1"/>
    </row>
    <row r="1073" spans="1:20" x14ac:dyDescent="0.3">
      <c r="A1073" s="1" t="s">
        <v>177</v>
      </c>
      <c r="B1073" s="1"/>
      <c r="C1073" s="2"/>
      <c r="D1073" s="1"/>
      <c r="E1073" s="1"/>
      <c r="H1073" s="1"/>
      <c r="K1073" s="1"/>
      <c r="M1073" s="1"/>
      <c r="N1073" s="1"/>
      <c r="O1073" s="1"/>
      <c r="T1073" s="1"/>
    </row>
    <row r="1074" spans="1:20" x14ac:dyDescent="0.3">
      <c r="A1074" s="1" t="s">
        <v>177</v>
      </c>
      <c r="B1074" s="1"/>
      <c r="C1074" s="2"/>
      <c r="D1074" s="1"/>
      <c r="E1074" s="1"/>
      <c r="H1074" s="1"/>
      <c r="K1074" s="1"/>
      <c r="M1074" s="1"/>
      <c r="N1074" s="1"/>
      <c r="O1074" s="1"/>
      <c r="T1074" s="1"/>
    </row>
    <row r="1075" spans="1:20" x14ac:dyDescent="0.3">
      <c r="A1075" s="1" t="s">
        <v>177</v>
      </c>
      <c r="B1075" s="1"/>
      <c r="C1075" s="2"/>
      <c r="D1075" s="1"/>
      <c r="E1075" s="1"/>
      <c r="H1075" s="1"/>
      <c r="K1075" s="1"/>
      <c r="M1075" s="1"/>
      <c r="N1075" s="1"/>
      <c r="O1075" s="1"/>
      <c r="T1075" s="1"/>
    </row>
    <row r="1076" spans="1:20" x14ac:dyDescent="0.3">
      <c r="A1076" s="1" t="s">
        <v>177</v>
      </c>
      <c r="B1076" s="1"/>
      <c r="C1076" s="2"/>
      <c r="D1076" s="1"/>
      <c r="E1076" s="1"/>
      <c r="H1076" s="1"/>
      <c r="K1076" s="1"/>
      <c r="M1076" s="1"/>
      <c r="N1076" s="1"/>
      <c r="O1076" s="1"/>
      <c r="T1076" s="1"/>
    </row>
    <row r="1077" spans="1:20" x14ac:dyDescent="0.3">
      <c r="A1077" s="1" t="s">
        <v>177</v>
      </c>
      <c r="B1077" s="1"/>
      <c r="C1077" s="2"/>
      <c r="D1077" s="1"/>
      <c r="E1077" s="1"/>
      <c r="H1077" s="1"/>
      <c r="K1077" s="1"/>
      <c r="M1077" s="1"/>
      <c r="N1077" s="1"/>
      <c r="O1077" s="1"/>
      <c r="T1077" s="1"/>
    </row>
    <row r="1078" spans="1:20" x14ac:dyDescent="0.3">
      <c r="A1078" s="1" t="s">
        <v>177</v>
      </c>
      <c r="B1078" s="1"/>
      <c r="C1078" s="2"/>
      <c r="D1078" s="1"/>
      <c r="E1078" s="1"/>
      <c r="H1078" s="1"/>
      <c r="K1078" s="1"/>
      <c r="M1078" s="1"/>
      <c r="N1078" s="1"/>
      <c r="O1078" s="1"/>
      <c r="T1078" s="1"/>
    </row>
    <row r="1079" spans="1:20" x14ac:dyDescent="0.3">
      <c r="A1079" s="1" t="s">
        <v>177</v>
      </c>
      <c r="B1079" s="1"/>
      <c r="C1079" s="2"/>
      <c r="D1079" s="1"/>
      <c r="E1079" s="1"/>
      <c r="H1079" s="1"/>
      <c r="K1079" s="1"/>
      <c r="M1079" s="1"/>
      <c r="N1079" s="1"/>
      <c r="O1079" s="1"/>
      <c r="T1079" s="1"/>
    </row>
    <row r="1080" spans="1:20" x14ac:dyDescent="0.3">
      <c r="A1080" s="1" t="s">
        <v>177</v>
      </c>
      <c r="B1080" s="1"/>
      <c r="C1080" s="2"/>
      <c r="D1080" s="1"/>
      <c r="E1080" s="1"/>
      <c r="H1080" s="1"/>
      <c r="K1080" s="1"/>
      <c r="M1080" s="1"/>
      <c r="N1080" s="1"/>
      <c r="O1080" s="1"/>
      <c r="T1080" s="1"/>
    </row>
    <row r="1081" spans="1:20" x14ac:dyDescent="0.3">
      <c r="A1081" s="1" t="s">
        <v>177</v>
      </c>
      <c r="B1081" s="1"/>
      <c r="C1081" s="2"/>
      <c r="D1081" s="1"/>
      <c r="E1081" s="1"/>
      <c r="H1081" s="1"/>
      <c r="K1081" s="1"/>
      <c r="M1081" s="1"/>
      <c r="N1081" s="1"/>
      <c r="O1081" s="1"/>
      <c r="T1081" s="1"/>
    </row>
    <row r="1082" spans="1:20" x14ac:dyDescent="0.3">
      <c r="A1082" s="1" t="s">
        <v>177</v>
      </c>
      <c r="B1082" s="1"/>
      <c r="C1082" s="2"/>
      <c r="D1082" s="1"/>
      <c r="E1082" s="1"/>
      <c r="H1082" s="1"/>
      <c r="K1082" s="1"/>
      <c r="M1082" s="1"/>
      <c r="N1082" s="1"/>
      <c r="O1082" s="1"/>
      <c r="T1082" s="1"/>
    </row>
    <row r="1083" spans="1:20" x14ac:dyDescent="0.3">
      <c r="A1083" s="1" t="s">
        <v>177</v>
      </c>
      <c r="B1083" s="1"/>
      <c r="C1083" s="2"/>
      <c r="D1083" s="1"/>
      <c r="E1083" s="1"/>
      <c r="H1083" s="1"/>
      <c r="K1083" s="1"/>
      <c r="M1083" s="1"/>
      <c r="N1083" s="1"/>
      <c r="O1083" s="1"/>
      <c r="T1083" s="1"/>
    </row>
    <row r="1084" spans="1:20" x14ac:dyDescent="0.3">
      <c r="A1084" s="1" t="s">
        <v>177</v>
      </c>
      <c r="B1084" s="1"/>
      <c r="C1084" s="2"/>
      <c r="D1084" s="1"/>
      <c r="E1084" s="1"/>
      <c r="H1084" s="1"/>
      <c r="K1084" s="1"/>
      <c r="M1084" s="1"/>
      <c r="N1084" s="1"/>
      <c r="O1084" s="1"/>
      <c r="T1084" s="1"/>
    </row>
    <row r="1085" spans="1:20" x14ac:dyDescent="0.3">
      <c r="A1085" s="1" t="s">
        <v>177</v>
      </c>
      <c r="B1085" s="1"/>
      <c r="C1085" s="2"/>
      <c r="D1085" s="1"/>
      <c r="E1085" s="1"/>
      <c r="H1085" s="1"/>
      <c r="K1085" s="1"/>
      <c r="M1085" s="1"/>
      <c r="N1085" s="1"/>
      <c r="O1085" s="1"/>
      <c r="T1085" s="1"/>
    </row>
    <row r="1086" spans="1:20" x14ac:dyDescent="0.3">
      <c r="A1086" s="1" t="s">
        <v>177</v>
      </c>
      <c r="B1086" s="1"/>
      <c r="C1086" s="2"/>
      <c r="D1086" s="1"/>
      <c r="E1086" s="1"/>
      <c r="H1086" s="1"/>
      <c r="K1086" s="1"/>
      <c r="M1086" s="1"/>
      <c r="N1086" s="1"/>
      <c r="O1086" s="1"/>
      <c r="T1086" s="1"/>
    </row>
    <row r="1087" spans="1:20" x14ac:dyDescent="0.3">
      <c r="A1087" s="1" t="s">
        <v>177</v>
      </c>
      <c r="B1087" s="1"/>
      <c r="C1087" s="2"/>
      <c r="D1087" s="1"/>
      <c r="E1087" s="1"/>
      <c r="H1087" s="1"/>
      <c r="K1087" s="1"/>
      <c r="M1087" s="1"/>
      <c r="N1087" s="1"/>
      <c r="O1087" s="1"/>
      <c r="T1087" s="1"/>
    </row>
    <row r="1088" spans="1:20" x14ac:dyDescent="0.3">
      <c r="A1088" s="1" t="s">
        <v>177</v>
      </c>
      <c r="B1088" s="1"/>
      <c r="C1088" s="2"/>
      <c r="D1088" s="1"/>
      <c r="E1088" s="1"/>
      <c r="H1088" s="1"/>
      <c r="K1088" s="1"/>
      <c r="M1088" s="1"/>
      <c r="N1088" s="1"/>
      <c r="O1088" s="1"/>
      <c r="T1088" s="1"/>
    </row>
    <row r="1089" spans="1:20" x14ac:dyDescent="0.3">
      <c r="A1089" s="1" t="s">
        <v>177</v>
      </c>
      <c r="B1089" s="1"/>
      <c r="C1089" s="2"/>
      <c r="D1089" s="1"/>
      <c r="E1089" s="1"/>
      <c r="H1089" s="1"/>
      <c r="K1089" s="1"/>
      <c r="M1089" s="1"/>
      <c r="N1089" s="1"/>
      <c r="O1089" s="1"/>
      <c r="T1089" s="1"/>
    </row>
    <row r="1090" spans="1:20" x14ac:dyDescent="0.3">
      <c r="A1090" s="1" t="s">
        <v>177</v>
      </c>
      <c r="B1090" s="1"/>
      <c r="C1090" s="2"/>
      <c r="D1090" s="1"/>
      <c r="E1090" s="1"/>
      <c r="H1090" s="1"/>
      <c r="K1090" s="1"/>
      <c r="M1090" s="1"/>
      <c r="N1090" s="1"/>
      <c r="O1090" s="1"/>
      <c r="T1090" s="1"/>
    </row>
    <row r="1091" spans="1:20" x14ac:dyDescent="0.3">
      <c r="A1091" s="1" t="s">
        <v>177</v>
      </c>
      <c r="B1091" s="1"/>
      <c r="C1091" s="2"/>
      <c r="D1091" s="1"/>
      <c r="E1091" s="1"/>
      <c r="H1091" s="1"/>
      <c r="K1091" s="1"/>
      <c r="M1091" s="1"/>
      <c r="N1091" s="1"/>
      <c r="O1091" s="1"/>
      <c r="T1091" s="1"/>
    </row>
    <row r="1092" spans="1:20" x14ac:dyDescent="0.3">
      <c r="A1092" s="1" t="s">
        <v>177</v>
      </c>
      <c r="B1092" s="1"/>
      <c r="C1092" s="2"/>
      <c r="D1092" s="1"/>
      <c r="E1092" s="1"/>
      <c r="H1092" s="1"/>
      <c r="K1092" s="1"/>
      <c r="M1092" s="1"/>
      <c r="N1092" s="1"/>
      <c r="O1092" s="1"/>
      <c r="T1092" s="1"/>
    </row>
    <row r="1093" spans="1:20" x14ac:dyDescent="0.3">
      <c r="A1093" s="1" t="s">
        <v>177</v>
      </c>
      <c r="B1093" s="1"/>
      <c r="C1093" s="2"/>
      <c r="D1093" s="1"/>
      <c r="E1093" s="1"/>
      <c r="H1093" s="1"/>
      <c r="K1093" s="1"/>
      <c r="M1093" s="1"/>
      <c r="N1093" s="1"/>
      <c r="O1093" s="1"/>
      <c r="T1093" s="1"/>
    </row>
    <row r="1094" spans="1:20" x14ac:dyDescent="0.3">
      <c r="A1094" s="1" t="s">
        <v>177</v>
      </c>
      <c r="B1094" s="1"/>
      <c r="C1094" s="2"/>
      <c r="D1094" s="1"/>
      <c r="E1094" s="1"/>
      <c r="H1094" s="1"/>
      <c r="K1094" s="1"/>
      <c r="M1094" s="1"/>
      <c r="N1094" s="1"/>
      <c r="O1094" s="1"/>
      <c r="T1094" s="1"/>
    </row>
    <row r="1095" spans="1:20" x14ac:dyDescent="0.3">
      <c r="A1095" s="1" t="s">
        <v>177</v>
      </c>
      <c r="B1095" s="1"/>
      <c r="C1095" s="2"/>
      <c r="D1095" s="1"/>
      <c r="E1095" s="1"/>
      <c r="H1095" s="1"/>
      <c r="K1095" s="1"/>
      <c r="M1095" s="1"/>
      <c r="N1095" s="1"/>
      <c r="O1095" s="1"/>
      <c r="T1095" s="1"/>
    </row>
    <row r="1096" spans="1:20" x14ac:dyDescent="0.3">
      <c r="A1096" s="1" t="s">
        <v>177</v>
      </c>
      <c r="B1096" s="1"/>
      <c r="C1096" s="2"/>
      <c r="D1096" s="1"/>
      <c r="E1096" s="1"/>
      <c r="H1096" s="1"/>
      <c r="K1096" s="1"/>
      <c r="M1096" s="1"/>
      <c r="N1096" s="1"/>
      <c r="O1096" s="1"/>
      <c r="T1096" s="1"/>
    </row>
    <row r="1097" spans="1:20" x14ac:dyDescent="0.3">
      <c r="A1097" s="1" t="s">
        <v>177</v>
      </c>
      <c r="B1097" s="1"/>
      <c r="C1097" s="2"/>
      <c r="D1097" s="1"/>
      <c r="E1097" s="1"/>
      <c r="H1097" s="1"/>
      <c r="K1097" s="1"/>
      <c r="M1097" s="1"/>
      <c r="N1097" s="1"/>
      <c r="O1097" s="1"/>
      <c r="T1097" s="1"/>
    </row>
    <row r="1098" spans="1:20" x14ac:dyDescent="0.3">
      <c r="A1098" s="1" t="s">
        <v>177</v>
      </c>
      <c r="B1098" s="1"/>
      <c r="C1098" s="2"/>
      <c r="D1098" s="1"/>
      <c r="E1098" s="1"/>
      <c r="H1098" s="1"/>
      <c r="K1098" s="1"/>
      <c r="M1098" s="1"/>
      <c r="N1098" s="1"/>
      <c r="O1098" s="1"/>
      <c r="T1098" s="1"/>
    </row>
    <row r="1099" spans="1:20" x14ac:dyDescent="0.3">
      <c r="A1099" s="1" t="s">
        <v>177</v>
      </c>
      <c r="B1099" s="1"/>
      <c r="C1099" s="2"/>
      <c r="D1099" s="1"/>
      <c r="E1099" s="1"/>
      <c r="H1099" s="1"/>
      <c r="K1099" s="1"/>
      <c r="M1099" s="1"/>
      <c r="N1099" s="1"/>
      <c r="O1099" s="1"/>
      <c r="T1099" s="1"/>
    </row>
    <row r="1100" spans="1:20" x14ac:dyDescent="0.3">
      <c r="A1100" s="1" t="s">
        <v>177</v>
      </c>
      <c r="B1100" s="1"/>
      <c r="C1100" s="2"/>
      <c r="D1100" s="1"/>
      <c r="E1100" s="1"/>
      <c r="H1100" s="1"/>
      <c r="K1100" s="1"/>
      <c r="M1100" s="1"/>
      <c r="N1100" s="1"/>
      <c r="O1100" s="1"/>
      <c r="T1100" s="1"/>
    </row>
    <row r="1101" spans="1:20" x14ac:dyDescent="0.3">
      <c r="A1101" s="1" t="s">
        <v>177</v>
      </c>
      <c r="B1101" s="1"/>
      <c r="C1101" s="2"/>
      <c r="D1101" s="1"/>
      <c r="E1101" s="1"/>
      <c r="H1101" s="1"/>
      <c r="K1101" s="1"/>
      <c r="M1101" s="1"/>
      <c r="N1101" s="1"/>
      <c r="O1101" s="1"/>
      <c r="T1101" s="1"/>
    </row>
    <row r="1102" spans="1:20" x14ac:dyDescent="0.3">
      <c r="A1102" s="1" t="s">
        <v>177</v>
      </c>
      <c r="B1102" s="1"/>
      <c r="C1102" s="2"/>
      <c r="D1102" s="1"/>
      <c r="E1102" s="1"/>
      <c r="H1102" s="1"/>
      <c r="K1102" s="1"/>
      <c r="M1102" s="1"/>
      <c r="N1102" s="1"/>
      <c r="O1102" s="1"/>
      <c r="T1102" s="1"/>
    </row>
    <row r="1103" spans="1:20" x14ac:dyDescent="0.3">
      <c r="A1103" s="1" t="s">
        <v>177</v>
      </c>
      <c r="B1103" s="1"/>
      <c r="C1103" s="2"/>
      <c r="D1103" s="1"/>
      <c r="E1103" s="1"/>
      <c r="H1103" s="1"/>
      <c r="K1103" s="1"/>
      <c r="M1103" s="1"/>
      <c r="N1103" s="1"/>
      <c r="O1103" s="1"/>
      <c r="T1103" s="1"/>
    </row>
    <row r="1104" spans="1:20" x14ac:dyDescent="0.3">
      <c r="A1104" s="1" t="s">
        <v>177</v>
      </c>
      <c r="B1104" s="1"/>
      <c r="C1104" s="2"/>
      <c r="D1104" s="1"/>
      <c r="E1104" s="1"/>
      <c r="H1104" s="1"/>
      <c r="K1104" s="1"/>
      <c r="M1104" s="1"/>
      <c r="N1104" s="1"/>
      <c r="O1104" s="1"/>
      <c r="T1104" s="1"/>
    </row>
    <row r="1105" spans="1:20" x14ac:dyDescent="0.3">
      <c r="A1105" s="1" t="s">
        <v>177</v>
      </c>
      <c r="B1105" s="1"/>
      <c r="C1105" s="2"/>
      <c r="D1105" s="1"/>
      <c r="E1105" s="1"/>
      <c r="H1105" s="1"/>
      <c r="K1105" s="1"/>
      <c r="M1105" s="1"/>
      <c r="N1105" s="1"/>
      <c r="O1105" s="1"/>
      <c r="T1105" s="1"/>
    </row>
    <row r="1106" spans="1:20" x14ac:dyDescent="0.3">
      <c r="A1106" s="1" t="s">
        <v>177</v>
      </c>
      <c r="B1106" s="1"/>
      <c r="C1106" s="2"/>
      <c r="D1106" s="1"/>
      <c r="E1106" s="1"/>
      <c r="H1106" s="1"/>
      <c r="K1106" s="1"/>
      <c r="M1106" s="1"/>
      <c r="N1106" s="1"/>
      <c r="O1106" s="1"/>
      <c r="T1106" s="1"/>
    </row>
    <row r="1107" spans="1:20" x14ac:dyDescent="0.3">
      <c r="A1107" s="1" t="s">
        <v>177</v>
      </c>
      <c r="B1107" s="1"/>
      <c r="C1107" s="2"/>
      <c r="D1107" s="1"/>
      <c r="E1107" s="1"/>
      <c r="H1107" s="1"/>
      <c r="K1107" s="1"/>
      <c r="M1107" s="1"/>
      <c r="N1107" s="1"/>
      <c r="O1107" s="1"/>
      <c r="T1107" s="1"/>
    </row>
    <row r="1108" spans="1:20" x14ac:dyDescent="0.3">
      <c r="A1108" s="1" t="s">
        <v>177</v>
      </c>
      <c r="B1108" s="1"/>
      <c r="C1108" s="2"/>
      <c r="D1108" s="1"/>
      <c r="E1108" s="1"/>
      <c r="H1108" s="1"/>
      <c r="K1108" s="1"/>
      <c r="M1108" s="1"/>
      <c r="N1108" s="1"/>
      <c r="O1108" s="1"/>
      <c r="T1108" s="1"/>
    </row>
    <row r="1109" spans="1:20" x14ac:dyDescent="0.3">
      <c r="A1109" s="1" t="s">
        <v>177</v>
      </c>
      <c r="B1109" s="1"/>
      <c r="C1109" s="2"/>
      <c r="D1109" s="1"/>
      <c r="E1109" s="1"/>
      <c r="H1109" s="1"/>
      <c r="K1109" s="1"/>
      <c r="M1109" s="1"/>
      <c r="N1109" s="1"/>
      <c r="O1109" s="1"/>
      <c r="T1109" s="1"/>
    </row>
    <row r="1110" spans="1:20" x14ac:dyDescent="0.3">
      <c r="A1110" s="1" t="s">
        <v>177</v>
      </c>
      <c r="B1110" s="1"/>
      <c r="C1110" s="2"/>
      <c r="D1110" s="1"/>
      <c r="E1110" s="1"/>
      <c r="H1110" s="1"/>
      <c r="K1110" s="1"/>
      <c r="M1110" s="1"/>
      <c r="N1110" s="1"/>
      <c r="O1110" s="1"/>
      <c r="T1110" s="1"/>
    </row>
    <row r="1111" spans="1:20" x14ac:dyDescent="0.3">
      <c r="A1111" s="1" t="s">
        <v>177</v>
      </c>
      <c r="B1111" s="1"/>
      <c r="C1111" s="2"/>
      <c r="D1111" s="1"/>
      <c r="E1111" s="1"/>
      <c r="H1111" s="1"/>
      <c r="K1111" s="1"/>
      <c r="M1111" s="1"/>
      <c r="N1111" s="1"/>
      <c r="O1111" s="1"/>
      <c r="T1111" s="1"/>
    </row>
    <row r="1112" spans="1:20" x14ac:dyDescent="0.3">
      <c r="A1112" s="1" t="s">
        <v>177</v>
      </c>
      <c r="B1112" s="1"/>
      <c r="C1112" s="2"/>
      <c r="D1112" s="1"/>
      <c r="E1112" s="1"/>
      <c r="H1112" s="1"/>
      <c r="K1112" s="1"/>
      <c r="M1112" s="1"/>
      <c r="N1112" s="1"/>
      <c r="O1112" s="1"/>
      <c r="T1112" s="1"/>
    </row>
    <row r="1113" spans="1:20" x14ac:dyDescent="0.3">
      <c r="A1113" s="1" t="s">
        <v>177</v>
      </c>
      <c r="B1113" s="1"/>
      <c r="C1113" s="2"/>
      <c r="D1113" s="1"/>
      <c r="E1113" s="1"/>
      <c r="H1113" s="1"/>
      <c r="K1113" s="1"/>
      <c r="M1113" s="1"/>
      <c r="N1113" s="1"/>
      <c r="O1113" s="1"/>
      <c r="T1113" s="1"/>
    </row>
    <row r="1114" spans="1:20" x14ac:dyDescent="0.3">
      <c r="A1114" s="1" t="s">
        <v>177</v>
      </c>
      <c r="B1114" s="1"/>
      <c r="C1114" s="2"/>
      <c r="D1114" s="1"/>
      <c r="E1114" s="1"/>
      <c r="H1114" s="1"/>
      <c r="K1114" s="1"/>
      <c r="M1114" s="1"/>
      <c r="N1114" s="1"/>
      <c r="O1114" s="1"/>
      <c r="T1114" s="1"/>
    </row>
    <row r="1115" spans="1:20" x14ac:dyDescent="0.3">
      <c r="A1115" s="1" t="s">
        <v>177</v>
      </c>
      <c r="B1115" s="1"/>
      <c r="C1115" s="2"/>
      <c r="D1115" s="1"/>
      <c r="E1115" s="1"/>
      <c r="H1115" s="1"/>
      <c r="K1115" s="1"/>
      <c r="M1115" s="1"/>
      <c r="N1115" s="1"/>
      <c r="O1115" s="1"/>
      <c r="T1115" s="1"/>
    </row>
    <row r="1116" spans="1:20" x14ac:dyDescent="0.3">
      <c r="A1116" s="1" t="s">
        <v>177</v>
      </c>
      <c r="B1116" s="1"/>
      <c r="C1116" s="2"/>
      <c r="D1116" s="1"/>
      <c r="E1116" s="1"/>
      <c r="H1116" s="1"/>
      <c r="K1116" s="1"/>
      <c r="M1116" s="1"/>
      <c r="N1116" s="1"/>
      <c r="O1116" s="1"/>
      <c r="T1116" s="1"/>
    </row>
    <row r="1117" spans="1:20" x14ac:dyDescent="0.3">
      <c r="A1117" s="1" t="s">
        <v>177</v>
      </c>
      <c r="B1117" s="1"/>
      <c r="C1117" s="2"/>
      <c r="D1117" s="1"/>
      <c r="E1117" s="1"/>
      <c r="H1117" s="1"/>
      <c r="K1117" s="1"/>
      <c r="M1117" s="1"/>
      <c r="N1117" s="1"/>
      <c r="O1117" s="1"/>
      <c r="T1117" s="1"/>
    </row>
    <row r="1118" spans="1:20" x14ac:dyDescent="0.3">
      <c r="A1118" s="1" t="s">
        <v>177</v>
      </c>
      <c r="B1118" s="1"/>
      <c r="C1118" s="2"/>
      <c r="D1118" s="1"/>
      <c r="E1118" s="1"/>
      <c r="H1118" s="1"/>
      <c r="K1118" s="1"/>
      <c r="M1118" s="1"/>
      <c r="N1118" s="1"/>
      <c r="O1118" s="1"/>
      <c r="T1118" s="1"/>
    </row>
    <row r="1119" spans="1:20" x14ac:dyDescent="0.3">
      <c r="A1119" s="1" t="s">
        <v>177</v>
      </c>
      <c r="B1119" s="1"/>
      <c r="C1119" s="2"/>
      <c r="D1119" s="1"/>
      <c r="E1119" s="1"/>
      <c r="H1119" s="1"/>
      <c r="K1119" s="1"/>
      <c r="M1119" s="1"/>
      <c r="N1119" s="1"/>
      <c r="O1119" s="1"/>
      <c r="T1119" s="1"/>
    </row>
    <row r="1120" spans="1:20" x14ac:dyDescent="0.3">
      <c r="A1120" s="1" t="s">
        <v>177</v>
      </c>
      <c r="B1120" s="1"/>
      <c r="C1120" s="2"/>
      <c r="D1120" s="1"/>
      <c r="E1120" s="1"/>
      <c r="H1120" s="1"/>
      <c r="K1120" s="1"/>
      <c r="M1120" s="1"/>
      <c r="N1120" s="1"/>
      <c r="O1120" s="1"/>
      <c r="T1120" s="1"/>
    </row>
    <row r="1121" spans="1:20" x14ac:dyDescent="0.3">
      <c r="A1121" s="1" t="s">
        <v>177</v>
      </c>
      <c r="B1121" s="1"/>
      <c r="C1121" s="2"/>
      <c r="D1121" s="1"/>
      <c r="E1121" s="1"/>
      <c r="H1121" s="1"/>
      <c r="K1121" s="1"/>
      <c r="M1121" s="1"/>
      <c r="N1121" s="1"/>
      <c r="O1121" s="1"/>
      <c r="T1121" s="1"/>
    </row>
    <row r="1122" spans="1:20" x14ac:dyDescent="0.3">
      <c r="A1122" s="1" t="s">
        <v>177</v>
      </c>
      <c r="B1122" s="1"/>
      <c r="C1122" s="2"/>
      <c r="D1122" s="1"/>
      <c r="E1122" s="1"/>
      <c r="H1122" s="1"/>
      <c r="K1122" s="1"/>
      <c r="M1122" s="1"/>
      <c r="N1122" s="1"/>
      <c r="O1122" s="1"/>
      <c r="T1122" s="1"/>
    </row>
    <row r="1123" spans="1:20" x14ac:dyDescent="0.3">
      <c r="A1123" s="1" t="s">
        <v>177</v>
      </c>
      <c r="B1123" s="1"/>
      <c r="C1123" s="2"/>
      <c r="D1123" s="1"/>
      <c r="E1123" s="1"/>
      <c r="H1123" s="1"/>
      <c r="K1123" s="1"/>
      <c r="M1123" s="1"/>
      <c r="N1123" s="1"/>
      <c r="O1123" s="1"/>
      <c r="T1123" s="1"/>
    </row>
    <row r="1124" spans="1:20" x14ac:dyDescent="0.3">
      <c r="A1124" s="1" t="s">
        <v>177</v>
      </c>
      <c r="B1124" s="1"/>
      <c r="C1124" s="2"/>
      <c r="D1124" s="1"/>
      <c r="E1124" s="1"/>
      <c r="H1124" s="1"/>
      <c r="K1124" s="1"/>
      <c r="M1124" s="1"/>
      <c r="N1124" s="1"/>
      <c r="O1124" s="1"/>
      <c r="T1124" s="1"/>
    </row>
    <row r="1125" spans="1:20" x14ac:dyDescent="0.3">
      <c r="A1125" s="1" t="s">
        <v>177</v>
      </c>
      <c r="B1125" s="1"/>
      <c r="C1125" s="2"/>
      <c r="D1125" s="1"/>
      <c r="E1125" s="1"/>
      <c r="H1125" s="1"/>
      <c r="K1125" s="1"/>
      <c r="M1125" s="1"/>
      <c r="N1125" s="1"/>
      <c r="O1125" s="1"/>
      <c r="T1125" s="1"/>
    </row>
    <row r="1126" spans="1:20" x14ac:dyDescent="0.3">
      <c r="A1126" s="1" t="s">
        <v>177</v>
      </c>
      <c r="B1126" s="1"/>
      <c r="C1126" s="2"/>
      <c r="D1126" s="1"/>
      <c r="E1126" s="1"/>
      <c r="H1126" s="1"/>
      <c r="K1126" s="1"/>
      <c r="M1126" s="1"/>
      <c r="N1126" s="1"/>
      <c r="O1126" s="1"/>
      <c r="T1126" s="1"/>
    </row>
    <row r="1127" spans="1:20" x14ac:dyDescent="0.3">
      <c r="A1127" s="1" t="s">
        <v>177</v>
      </c>
      <c r="B1127" s="1"/>
      <c r="C1127" s="2"/>
      <c r="D1127" s="1"/>
      <c r="E1127" s="1"/>
      <c r="H1127" s="1"/>
      <c r="K1127" s="1"/>
      <c r="M1127" s="1"/>
      <c r="N1127" s="1"/>
      <c r="O1127" s="1"/>
      <c r="T1127" s="1"/>
    </row>
    <row r="1128" spans="1:20" x14ac:dyDescent="0.3">
      <c r="A1128" s="1" t="s">
        <v>177</v>
      </c>
      <c r="B1128" s="1"/>
      <c r="C1128" s="2"/>
      <c r="D1128" s="1"/>
      <c r="E1128" s="1"/>
      <c r="H1128" s="1"/>
      <c r="K1128" s="1"/>
      <c r="M1128" s="1"/>
      <c r="N1128" s="1"/>
      <c r="O1128" s="1"/>
      <c r="T1128" s="1"/>
    </row>
    <row r="1129" spans="1:20" x14ac:dyDescent="0.3">
      <c r="A1129" s="1" t="s">
        <v>177</v>
      </c>
      <c r="B1129" s="1"/>
      <c r="C1129" s="2"/>
      <c r="D1129" s="1"/>
      <c r="E1129" s="1"/>
      <c r="H1129" s="1"/>
      <c r="K1129" s="1"/>
      <c r="M1129" s="1"/>
      <c r="N1129" s="1"/>
      <c r="O1129" s="1"/>
      <c r="T1129" s="1"/>
    </row>
    <row r="1130" spans="1:20" x14ac:dyDescent="0.3">
      <c r="A1130" s="1" t="s">
        <v>177</v>
      </c>
      <c r="B1130" s="1"/>
      <c r="C1130" s="2"/>
      <c r="D1130" s="1"/>
      <c r="E1130" s="1"/>
      <c r="H1130" s="1"/>
      <c r="K1130" s="1"/>
      <c r="M1130" s="1"/>
      <c r="N1130" s="1"/>
      <c r="O1130" s="1"/>
      <c r="T1130" s="1"/>
    </row>
    <row r="1131" spans="1:20" x14ac:dyDescent="0.3">
      <c r="A1131" s="1" t="s">
        <v>177</v>
      </c>
      <c r="B1131" s="1"/>
      <c r="C1131" s="2"/>
      <c r="D1131" s="1"/>
      <c r="E1131" s="1"/>
      <c r="H1131" s="1"/>
      <c r="K1131" s="1"/>
      <c r="M1131" s="1"/>
      <c r="N1131" s="1"/>
      <c r="O1131" s="1"/>
      <c r="T1131" s="1"/>
    </row>
    <row r="1132" spans="1:20" x14ac:dyDescent="0.3">
      <c r="A1132" s="1" t="s">
        <v>177</v>
      </c>
      <c r="B1132" s="1"/>
      <c r="C1132" s="2"/>
      <c r="D1132" s="1"/>
      <c r="E1132" s="1"/>
      <c r="H1132" s="1"/>
      <c r="K1132" s="1"/>
      <c r="M1132" s="1"/>
      <c r="N1132" s="1"/>
      <c r="O1132" s="1"/>
      <c r="T1132" s="1"/>
    </row>
    <row r="1133" spans="1:20" x14ac:dyDescent="0.3">
      <c r="A1133" s="1" t="s">
        <v>177</v>
      </c>
      <c r="B1133" s="1"/>
      <c r="C1133" s="2"/>
      <c r="D1133" s="1"/>
      <c r="E1133" s="1"/>
      <c r="H1133" s="1"/>
      <c r="K1133" s="1"/>
      <c r="M1133" s="1"/>
      <c r="N1133" s="1"/>
      <c r="O1133" s="1"/>
      <c r="T1133" s="1"/>
    </row>
    <row r="1134" spans="1:20" x14ac:dyDescent="0.3">
      <c r="A1134" s="1" t="s">
        <v>177</v>
      </c>
      <c r="B1134" s="1"/>
      <c r="C1134" s="2"/>
      <c r="D1134" s="1"/>
      <c r="E1134" s="1"/>
      <c r="H1134" s="1"/>
      <c r="K1134" s="1"/>
      <c r="M1134" s="1"/>
      <c r="N1134" s="1"/>
      <c r="O1134" s="1"/>
      <c r="T1134" s="1"/>
    </row>
    <row r="1135" spans="1:20" x14ac:dyDescent="0.3">
      <c r="A1135" s="1" t="s">
        <v>177</v>
      </c>
      <c r="B1135" s="1"/>
      <c r="C1135" s="2"/>
      <c r="D1135" s="1"/>
      <c r="E1135" s="1"/>
      <c r="H1135" s="1"/>
      <c r="K1135" s="1"/>
      <c r="M1135" s="1"/>
      <c r="N1135" s="1"/>
      <c r="O1135" s="1"/>
      <c r="T1135" s="1"/>
    </row>
    <row r="1136" spans="1:20" x14ac:dyDescent="0.3">
      <c r="A1136" s="1" t="s">
        <v>177</v>
      </c>
      <c r="B1136" s="1"/>
      <c r="C1136" s="2"/>
      <c r="D1136" s="1"/>
      <c r="E1136" s="1"/>
      <c r="H1136" s="1"/>
      <c r="K1136" s="1"/>
      <c r="M1136" s="1"/>
      <c r="N1136" s="1"/>
      <c r="O1136" s="1"/>
      <c r="T1136" s="1"/>
    </row>
    <row r="1137" spans="1:20" x14ac:dyDescent="0.3">
      <c r="A1137" s="1" t="s">
        <v>177</v>
      </c>
      <c r="B1137" s="1"/>
      <c r="C1137" s="2"/>
      <c r="D1137" s="1"/>
      <c r="E1137" s="1"/>
      <c r="H1137" s="1"/>
      <c r="K1137" s="1"/>
      <c r="M1137" s="1"/>
      <c r="N1137" s="1"/>
      <c r="O1137" s="1"/>
      <c r="T1137" s="1"/>
    </row>
    <row r="1138" spans="1:20" x14ac:dyDescent="0.3">
      <c r="A1138" s="1" t="s">
        <v>177</v>
      </c>
      <c r="B1138" s="1"/>
      <c r="C1138" s="2"/>
      <c r="D1138" s="1"/>
      <c r="E1138" s="1"/>
      <c r="H1138" s="1"/>
      <c r="K1138" s="1"/>
      <c r="M1138" s="1"/>
      <c r="N1138" s="1"/>
      <c r="O1138" s="1"/>
      <c r="T1138" s="1"/>
    </row>
    <row r="1139" spans="1:20" x14ac:dyDescent="0.3">
      <c r="A1139" s="1" t="s">
        <v>177</v>
      </c>
      <c r="B1139" s="1"/>
      <c r="C1139" s="2"/>
      <c r="D1139" s="1"/>
      <c r="E1139" s="1"/>
      <c r="H1139" s="1"/>
      <c r="K1139" s="1"/>
      <c r="M1139" s="1"/>
      <c r="N1139" s="1"/>
      <c r="O1139" s="1"/>
      <c r="T1139" s="1"/>
    </row>
    <row r="1140" spans="1:20" x14ac:dyDescent="0.3">
      <c r="A1140" s="1" t="s">
        <v>177</v>
      </c>
      <c r="B1140" s="1"/>
      <c r="C1140" s="2"/>
      <c r="D1140" s="1"/>
      <c r="E1140" s="1"/>
      <c r="H1140" s="1"/>
      <c r="K1140" s="1"/>
      <c r="M1140" s="1"/>
      <c r="N1140" s="1"/>
      <c r="O1140" s="1"/>
      <c r="T1140" s="1"/>
    </row>
    <row r="1141" spans="1:20" x14ac:dyDescent="0.3">
      <c r="A1141" s="1" t="s">
        <v>177</v>
      </c>
      <c r="B1141" s="1"/>
      <c r="C1141" s="2"/>
      <c r="D1141" s="1"/>
      <c r="E1141" s="1"/>
      <c r="H1141" s="1"/>
      <c r="K1141" s="1"/>
      <c r="M1141" s="1"/>
      <c r="N1141" s="1"/>
      <c r="O1141" s="1"/>
      <c r="T1141" s="1"/>
    </row>
    <row r="1142" spans="1:20" x14ac:dyDescent="0.3">
      <c r="A1142" s="1" t="s">
        <v>177</v>
      </c>
      <c r="B1142" s="1"/>
      <c r="C1142" s="2"/>
      <c r="D1142" s="1"/>
      <c r="E1142" s="1"/>
      <c r="H1142" s="1"/>
      <c r="K1142" s="1"/>
      <c r="M1142" s="1"/>
      <c r="N1142" s="1"/>
      <c r="O1142" s="1"/>
      <c r="T1142" s="1"/>
    </row>
    <row r="1143" spans="1:20" x14ac:dyDescent="0.3">
      <c r="A1143" s="1" t="s">
        <v>177</v>
      </c>
      <c r="B1143" s="1"/>
      <c r="C1143" s="2"/>
      <c r="D1143" s="1"/>
      <c r="E1143" s="1"/>
      <c r="H1143" s="1"/>
      <c r="K1143" s="1"/>
      <c r="M1143" s="1"/>
      <c r="N1143" s="1"/>
      <c r="O1143" s="1"/>
      <c r="T1143" s="1"/>
    </row>
    <row r="1144" spans="1:20" x14ac:dyDescent="0.3">
      <c r="A1144" s="1" t="s">
        <v>177</v>
      </c>
      <c r="B1144" s="1"/>
      <c r="C1144" s="2"/>
      <c r="D1144" s="1"/>
      <c r="E1144" s="1"/>
      <c r="H1144" s="1"/>
      <c r="K1144" s="1"/>
      <c r="M1144" s="1"/>
      <c r="N1144" s="1"/>
      <c r="O1144" s="1"/>
      <c r="T1144" s="1"/>
    </row>
    <row r="1145" spans="1:20" x14ac:dyDescent="0.3">
      <c r="A1145" s="1" t="s">
        <v>177</v>
      </c>
      <c r="B1145" s="1"/>
      <c r="C1145" s="2"/>
      <c r="D1145" s="1"/>
      <c r="E1145" s="1"/>
      <c r="H1145" s="1"/>
      <c r="K1145" s="1"/>
      <c r="M1145" s="1"/>
      <c r="N1145" s="1"/>
      <c r="O1145" s="1"/>
      <c r="T1145" s="1"/>
    </row>
    <row r="1146" spans="1:20" x14ac:dyDescent="0.3">
      <c r="A1146" s="1" t="s">
        <v>177</v>
      </c>
      <c r="B1146" s="1"/>
      <c r="C1146" s="2"/>
      <c r="D1146" s="1"/>
      <c r="E1146" s="1"/>
      <c r="H1146" s="1"/>
      <c r="K1146" s="1"/>
      <c r="M1146" s="1"/>
      <c r="N1146" s="1"/>
      <c r="O1146" s="1"/>
      <c r="T1146" s="1"/>
    </row>
    <row r="1147" spans="1:20" x14ac:dyDescent="0.3">
      <c r="A1147" s="1" t="s">
        <v>177</v>
      </c>
      <c r="B1147" s="1"/>
      <c r="C1147" s="2"/>
      <c r="D1147" s="1"/>
      <c r="E1147" s="1"/>
      <c r="H1147" s="1"/>
      <c r="K1147" s="1"/>
      <c r="M1147" s="1"/>
      <c r="N1147" s="1"/>
      <c r="O1147" s="1"/>
      <c r="T1147" s="1"/>
    </row>
    <row r="1148" spans="1:20" x14ac:dyDescent="0.3">
      <c r="A1148" s="1" t="s">
        <v>177</v>
      </c>
      <c r="B1148" s="1"/>
      <c r="C1148" s="2"/>
      <c r="D1148" s="1"/>
      <c r="E1148" s="1"/>
      <c r="H1148" s="1"/>
      <c r="K1148" s="1"/>
      <c r="M1148" s="1"/>
      <c r="N1148" s="1"/>
      <c r="O1148" s="1"/>
      <c r="T1148" s="1"/>
    </row>
    <row r="1149" spans="1:20" x14ac:dyDescent="0.3">
      <c r="A1149" s="1" t="s">
        <v>177</v>
      </c>
      <c r="B1149" s="1"/>
      <c r="C1149" s="2"/>
      <c r="D1149" s="1"/>
      <c r="E1149" s="1"/>
      <c r="H1149" s="1"/>
      <c r="K1149" s="1"/>
      <c r="M1149" s="1"/>
      <c r="N1149" s="1"/>
      <c r="O1149" s="1"/>
      <c r="T1149" s="1"/>
    </row>
    <row r="1150" spans="1:20" x14ac:dyDescent="0.3">
      <c r="A1150" s="1" t="s">
        <v>177</v>
      </c>
      <c r="B1150" s="1"/>
      <c r="C1150" s="2"/>
      <c r="D1150" s="1"/>
      <c r="E1150" s="1"/>
      <c r="H1150" s="1"/>
      <c r="K1150" s="1"/>
      <c r="M1150" s="1"/>
      <c r="N1150" s="1"/>
      <c r="O1150" s="1"/>
      <c r="T1150" s="1"/>
    </row>
    <row r="1151" spans="1:20" x14ac:dyDescent="0.3">
      <c r="A1151" s="1" t="s">
        <v>177</v>
      </c>
      <c r="B1151" s="1"/>
      <c r="C1151" s="2"/>
      <c r="D1151" s="1"/>
      <c r="E1151" s="1"/>
      <c r="H1151" s="1"/>
      <c r="K1151" s="1"/>
      <c r="M1151" s="1"/>
      <c r="N1151" s="1"/>
      <c r="O1151" s="1"/>
      <c r="T1151" s="1"/>
    </row>
    <row r="1152" spans="1:20" x14ac:dyDescent="0.3">
      <c r="A1152" s="1" t="s">
        <v>177</v>
      </c>
      <c r="B1152" s="1"/>
      <c r="C1152" s="2"/>
      <c r="D1152" s="1"/>
      <c r="E1152" s="1"/>
      <c r="H1152" s="1"/>
      <c r="K1152" s="1"/>
      <c r="M1152" s="1"/>
      <c r="N1152" s="1"/>
      <c r="O1152" s="1"/>
      <c r="T1152" s="1"/>
    </row>
    <row r="1153" spans="1:20" x14ac:dyDescent="0.3">
      <c r="A1153" s="1" t="s">
        <v>177</v>
      </c>
      <c r="B1153" s="1"/>
      <c r="C1153" s="2"/>
      <c r="D1153" s="1"/>
      <c r="E1153" s="1"/>
      <c r="H1153" s="1"/>
      <c r="K1153" s="1"/>
      <c r="M1153" s="1"/>
      <c r="N1153" s="1"/>
      <c r="O1153" s="1"/>
      <c r="T1153" s="1"/>
    </row>
    <row r="1154" spans="1:20" x14ac:dyDescent="0.3">
      <c r="A1154" s="1" t="s">
        <v>177</v>
      </c>
      <c r="B1154" s="1"/>
      <c r="C1154" s="2"/>
      <c r="D1154" s="1"/>
      <c r="E1154" s="1"/>
      <c r="H1154" s="1"/>
      <c r="K1154" s="1"/>
      <c r="M1154" s="1"/>
      <c r="N1154" s="1"/>
      <c r="O1154" s="1"/>
      <c r="T1154" s="1"/>
    </row>
    <row r="1155" spans="1:20" x14ac:dyDescent="0.3">
      <c r="A1155" s="1" t="s">
        <v>177</v>
      </c>
      <c r="B1155" s="1"/>
      <c r="C1155" s="2"/>
      <c r="D1155" s="1"/>
      <c r="E1155" s="1"/>
      <c r="H1155" s="1"/>
      <c r="K1155" s="1"/>
      <c r="M1155" s="1"/>
      <c r="N1155" s="1"/>
      <c r="O1155" s="1"/>
      <c r="T1155" s="1"/>
    </row>
    <row r="1156" spans="1:20" x14ac:dyDescent="0.3">
      <c r="A1156" s="1" t="s">
        <v>177</v>
      </c>
      <c r="B1156" s="1"/>
      <c r="C1156" s="2"/>
      <c r="D1156" s="1"/>
      <c r="E1156" s="1"/>
      <c r="H1156" s="1"/>
      <c r="K1156" s="1"/>
      <c r="M1156" s="1"/>
      <c r="N1156" s="1"/>
      <c r="O1156" s="1"/>
      <c r="T1156" s="1"/>
    </row>
    <row r="1157" spans="1:20" x14ac:dyDescent="0.3">
      <c r="A1157" s="1" t="s">
        <v>177</v>
      </c>
      <c r="B1157" s="1"/>
      <c r="C1157" s="2"/>
      <c r="D1157" s="1"/>
      <c r="E1157" s="1"/>
      <c r="H1157" s="1"/>
      <c r="K1157" s="1"/>
      <c r="M1157" s="1"/>
      <c r="N1157" s="1"/>
      <c r="O1157" s="1"/>
      <c r="T1157" s="1"/>
    </row>
    <row r="1158" spans="1:20" x14ac:dyDescent="0.3">
      <c r="A1158" s="1" t="s">
        <v>177</v>
      </c>
      <c r="B1158" s="1"/>
      <c r="C1158" s="2"/>
      <c r="D1158" s="1"/>
      <c r="E1158" s="1"/>
      <c r="H1158" s="1"/>
      <c r="K1158" s="1"/>
      <c r="M1158" s="1"/>
      <c r="N1158" s="1"/>
      <c r="O1158" s="1"/>
      <c r="T1158" s="1"/>
    </row>
    <row r="1159" spans="1:20" x14ac:dyDescent="0.3">
      <c r="A1159" s="1" t="s">
        <v>177</v>
      </c>
      <c r="B1159" s="1"/>
      <c r="C1159" s="2"/>
      <c r="D1159" s="1"/>
      <c r="E1159" s="1"/>
      <c r="H1159" s="1"/>
      <c r="K1159" s="1"/>
      <c r="M1159" s="1"/>
      <c r="N1159" s="1"/>
      <c r="O1159" s="1"/>
      <c r="T1159" s="1"/>
    </row>
    <row r="1160" spans="1:20" x14ac:dyDescent="0.3">
      <c r="A1160" s="1" t="s">
        <v>177</v>
      </c>
      <c r="B1160" s="1"/>
      <c r="C1160" s="2"/>
      <c r="D1160" s="1"/>
      <c r="E1160" s="1"/>
      <c r="H1160" s="1"/>
      <c r="K1160" s="1"/>
      <c r="M1160" s="1"/>
      <c r="N1160" s="1"/>
      <c r="O1160" s="1"/>
      <c r="T1160" s="1"/>
    </row>
    <row r="1161" spans="1:20" x14ac:dyDescent="0.3">
      <c r="A1161" s="1" t="s">
        <v>177</v>
      </c>
      <c r="B1161" s="1"/>
      <c r="C1161" s="2"/>
      <c r="D1161" s="1"/>
      <c r="E1161" s="1"/>
      <c r="H1161" s="1"/>
      <c r="K1161" s="1"/>
      <c r="M1161" s="1"/>
      <c r="N1161" s="1"/>
      <c r="O1161" s="1"/>
      <c r="T1161" s="1"/>
    </row>
    <row r="1162" spans="1:20" x14ac:dyDescent="0.3">
      <c r="A1162" s="1" t="s">
        <v>177</v>
      </c>
      <c r="B1162" s="1"/>
      <c r="C1162" s="2"/>
      <c r="D1162" s="1"/>
      <c r="E1162" s="1"/>
      <c r="H1162" s="1"/>
      <c r="K1162" s="1"/>
      <c r="M1162" s="1"/>
      <c r="N1162" s="1"/>
      <c r="O1162" s="1"/>
      <c r="T1162" s="1"/>
    </row>
    <row r="1163" spans="1:20" x14ac:dyDescent="0.3">
      <c r="A1163" s="1" t="s">
        <v>177</v>
      </c>
      <c r="B1163" s="1"/>
      <c r="C1163" s="2"/>
      <c r="D1163" s="1"/>
      <c r="E1163" s="1"/>
      <c r="H1163" s="1"/>
      <c r="K1163" s="1"/>
      <c r="M1163" s="1"/>
      <c r="N1163" s="1"/>
      <c r="O1163" s="1"/>
      <c r="T1163" s="1"/>
    </row>
    <row r="1164" spans="1:20" x14ac:dyDescent="0.3">
      <c r="A1164" s="1" t="s">
        <v>177</v>
      </c>
      <c r="B1164" s="1"/>
      <c r="C1164" s="2"/>
      <c r="D1164" s="1"/>
      <c r="E1164" s="1"/>
      <c r="H1164" s="1"/>
      <c r="K1164" s="1"/>
      <c r="M1164" s="1"/>
      <c r="N1164" s="1"/>
      <c r="O1164" s="1"/>
      <c r="T1164" s="1"/>
    </row>
    <row r="1165" spans="1:20" x14ac:dyDescent="0.3">
      <c r="A1165" s="1" t="s">
        <v>177</v>
      </c>
      <c r="B1165" s="1"/>
      <c r="C1165" s="2"/>
      <c r="D1165" s="1"/>
      <c r="E1165" s="1"/>
      <c r="H1165" s="1"/>
      <c r="K1165" s="1"/>
      <c r="M1165" s="1"/>
      <c r="N1165" s="1"/>
      <c r="O1165" s="1"/>
      <c r="T1165" s="1"/>
    </row>
    <row r="1166" spans="1:20" x14ac:dyDescent="0.3">
      <c r="A1166" s="1" t="s">
        <v>177</v>
      </c>
      <c r="B1166" s="1"/>
      <c r="C1166" s="2"/>
      <c r="D1166" s="1"/>
      <c r="E1166" s="1"/>
      <c r="H1166" s="1"/>
      <c r="K1166" s="1"/>
      <c r="M1166" s="1"/>
      <c r="N1166" s="1"/>
      <c r="O1166" s="1"/>
      <c r="T1166" s="1"/>
    </row>
    <row r="1167" spans="1:20" x14ac:dyDescent="0.3">
      <c r="A1167" s="1" t="s">
        <v>177</v>
      </c>
      <c r="B1167" s="1"/>
      <c r="C1167" s="2"/>
      <c r="D1167" s="1"/>
      <c r="E1167" s="1"/>
      <c r="H1167" s="1"/>
      <c r="K1167" s="1"/>
      <c r="M1167" s="1"/>
      <c r="N1167" s="1"/>
      <c r="O1167" s="1"/>
      <c r="T1167" s="1"/>
    </row>
    <row r="1168" spans="1:20" x14ac:dyDescent="0.3">
      <c r="A1168" s="1" t="s">
        <v>177</v>
      </c>
      <c r="B1168" s="1"/>
      <c r="C1168" s="2"/>
      <c r="D1168" s="1"/>
      <c r="E1168" s="1"/>
      <c r="H1168" s="1"/>
      <c r="K1168" s="1"/>
      <c r="M1168" s="1"/>
      <c r="N1168" s="1"/>
      <c r="O1168" s="1"/>
      <c r="T1168" s="1"/>
    </row>
    <row r="1169" spans="1:20" x14ac:dyDescent="0.3">
      <c r="A1169" s="1" t="s">
        <v>177</v>
      </c>
      <c r="B1169" s="1"/>
      <c r="C1169" s="2"/>
      <c r="D1169" s="1"/>
      <c r="E1169" s="1"/>
      <c r="H1169" s="1"/>
      <c r="K1169" s="1"/>
      <c r="M1169" s="1"/>
      <c r="N1169" s="1"/>
      <c r="O1169" s="1"/>
      <c r="T1169" s="1"/>
    </row>
    <row r="1170" spans="1:20" x14ac:dyDescent="0.3">
      <c r="A1170" s="1" t="s">
        <v>177</v>
      </c>
      <c r="B1170" s="1"/>
      <c r="C1170" s="2"/>
      <c r="D1170" s="1"/>
      <c r="E1170" s="1"/>
      <c r="H1170" s="1"/>
      <c r="K1170" s="1"/>
      <c r="M1170" s="1"/>
      <c r="N1170" s="1"/>
      <c r="O1170" s="1"/>
      <c r="T1170" s="1"/>
    </row>
    <row r="1171" spans="1:20" x14ac:dyDescent="0.3">
      <c r="A1171" s="1" t="s">
        <v>177</v>
      </c>
      <c r="B1171" s="1"/>
      <c r="C1171" s="2"/>
      <c r="D1171" s="1"/>
      <c r="E1171" s="1"/>
      <c r="H1171" s="1"/>
      <c r="K1171" s="1"/>
      <c r="M1171" s="1"/>
      <c r="N1171" s="1"/>
      <c r="O1171" s="1"/>
      <c r="T1171" s="1"/>
    </row>
    <row r="1172" spans="1:20" x14ac:dyDescent="0.3">
      <c r="A1172" s="1" t="s">
        <v>177</v>
      </c>
      <c r="B1172" s="1"/>
      <c r="C1172" s="2"/>
      <c r="D1172" s="1"/>
      <c r="E1172" s="1"/>
      <c r="H1172" s="1"/>
      <c r="K1172" s="1"/>
      <c r="M1172" s="1"/>
      <c r="N1172" s="1"/>
      <c r="O1172" s="1"/>
      <c r="T1172" s="1"/>
    </row>
    <row r="1173" spans="1:20" x14ac:dyDescent="0.3">
      <c r="A1173" s="1" t="s">
        <v>177</v>
      </c>
      <c r="B1173" s="1"/>
      <c r="C1173" s="2"/>
      <c r="D1173" s="1"/>
      <c r="E1173" s="1"/>
      <c r="H1173" s="1"/>
      <c r="K1173" s="1"/>
      <c r="M1173" s="1"/>
      <c r="N1173" s="1"/>
      <c r="O1173" s="1"/>
      <c r="T1173" s="1"/>
    </row>
    <row r="1174" spans="1:20" x14ac:dyDescent="0.3">
      <c r="A1174" s="1" t="s">
        <v>177</v>
      </c>
      <c r="B1174" s="1"/>
      <c r="C1174" s="2"/>
      <c r="D1174" s="1"/>
      <c r="E1174" s="1"/>
      <c r="H1174" s="1"/>
      <c r="K1174" s="1"/>
      <c r="M1174" s="1"/>
      <c r="N1174" s="1"/>
      <c r="O1174" s="1"/>
      <c r="T1174" s="1"/>
    </row>
    <row r="1175" spans="1:20" x14ac:dyDescent="0.3">
      <c r="A1175" s="1" t="s">
        <v>177</v>
      </c>
      <c r="B1175" s="1"/>
      <c r="C1175" s="2"/>
      <c r="D1175" s="1"/>
      <c r="E1175" s="1"/>
      <c r="H1175" s="1"/>
      <c r="K1175" s="1"/>
      <c r="M1175" s="1"/>
      <c r="N1175" s="1"/>
      <c r="O1175" s="1"/>
      <c r="T1175" s="1"/>
    </row>
    <row r="1176" spans="1:20" x14ac:dyDescent="0.3">
      <c r="A1176" s="1" t="s">
        <v>177</v>
      </c>
      <c r="B1176" s="1"/>
      <c r="C1176" s="2"/>
      <c r="D1176" s="1"/>
      <c r="E1176" s="1"/>
      <c r="H1176" s="1"/>
      <c r="K1176" s="1"/>
      <c r="M1176" s="1"/>
      <c r="N1176" s="1"/>
      <c r="O1176" s="1"/>
      <c r="T1176" s="1"/>
    </row>
    <row r="1177" spans="1:20" x14ac:dyDescent="0.3">
      <c r="A1177" s="1" t="s">
        <v>177</v>
      </c>
      <c r="B1177" s="1"/>
      <c r="C1177" s="2"/>
      <c r="D1177" s="1"/>
      <c r="E1177" s="1"/>
      <c r="H1177" s="1"/>
      <c r="K1177" s="1"/>
      <c r="M1177" s="1"/>
      <c r="N1177" s="1"/>
      <c r="O1177" s="1"/>
      <c r="T1177" s="1"/>
    </row>
    <row r="1178" spans="1:20" x14ac:dyDescent="0.3">
      <c r="A1178" s="1" t="s">
        <v>177</v>
      </c>
      <c r="B1178" s="1"/>
      <c r="C1178" s="2"/>
      <c r="D1178" s="1"/>
      <c r="E1178" s="1"/>
      <c r="H1178" s="1"/>
      <c r="K1178" s="1"/>
      <c r="M1178" s="1"/>
      <c r="N1178" s="1"/>
      <c r="O1178" s="1"/>
      <c r="T1178" s="1"/>
    </row>
    <row r="1179" spans="1:20" x14ac:dyDescent="0.3">
      <c r="A1179" s="1" t="s">
        <v>177</v>
      </c>
      <c r="B1179" s="1"/>
      <c r="C1179" s="2"/>
      <c r="D1179" s="1"/>
      <c r="E1179" s="1"/>
      <c r="H1179" s="1"/>
      <c r="K1179" s="1"/>
      <c r="M1179" s="1"/>
      <c r="N1179" s="1"/>
      <c r="O1179" s="1"/>
      <c r="T1179" s="1"/>
    </row>
    <row r="1180" spans="1:20" x14ac:dyDescent="0.3">
      <c r="A1180" s="1" t="s">
        <v>177</v>
      </c>
      <c r="B1180" s="1"/>
      <c r="C1180" s="2"/>
      <c r="D1180" s="1"/>
      <c r="E1180" s="1"/>
      <c r="H1180" s="1"/>
      <c r="K1180" s="1"/>
      <c r="M1180" s="1"/>
      <c r="N1180" s="1"/>
      <c r="O1180" s="1"/>
      <c r="T1180" s="1"/>
    </row>
    <row r="1181" spans="1:20" x14ac:dyDescent="0.3">
      <c r="A1181" s="1" t="s">
        <v>177</v>
      </c>
      <c r="B1181" s="1"/>
      <c r="C1181" s="2"/>
      <c r="D1181" s="1"/>
      <c r="E1181" s="1"/>
      <c r="H1181" s="1"/>
      <c r="K1181" s="1"/>
      <c r="M1181" s="1"/>
      <c r="N1181" s="1"/>
      <c r="O1181" s="1"/>
      <c r="T1181" s="1"/>
    </row>
    <row r="1182" spans="1:20" x14ac:dyDescent="0.3">
      <c r="A1182" s="1" t="s">
        <v>177</v>
      </c>
      <c r="B1182" s="1"/>
      <c r="C1182" s="2"/>
      <c r="D1182" s="1"/>
      <c r="E1182" s="1"/>
      <c r="H1182" s="1"/>
      <c r="K1182" s="1"/>
      <c r="M1182" s="1"/>
      <c r="N1182" s="1"/>
      <c r="O1182" s="1"/>
      <c r="T1182" s="1"/>
    </row>
    <row r="1183" spans="1:20" x14ac:dyDescent="0.3">
      <c r="A1183" s="1" t="s">
        <v>177</v>
      </c>
      <c r="B1183" s="1"/>
      <c r="C1183" s="2"/>
      <c r="D1183" s="1"/>
      <c r="E1183" s="1"/>
      <c r="H1183" s="1"/>
      <c r="K1183" s="1"/>
      <c r="M1183" s="1"/>
      <c r="N1183" s="1"/>
      <c r="O1183" s="1"/>
      <c r="T1183" s="1"/>
    </row>
    <row r="1184" spans="1:20" x14ac:dyDescent="0.3">
      <c r="A1184" s="1" t="s">
        <v>177</v>
      </c>
      <c r="B1184" s="1"/>
      <c r="C1184" s="2"/>
      <c r="D1184" s="1"/>
      <c r="E1184" s="1"/>
      <c r="H1184" s="1"/>
      <c r="K1184" s="1"/>
      <c r="M1184" s="1"/>
      <c r="N1184" s="1"/>
      <c r="O1184" s="1"/>
      <c r="T1184" s="1"/>
    </row>
    <row r="1185" spans="1:20" x14ac:dyDescent="0.3">
      <c r="A1185" s="1" t="s">
        <v>177</v>
      </c>
      <c r="B1185" s="1"/>
      <c r="C1185" s="2"/>
      <c r="D1185" s="1"/>
      <c r="E1185" s="1"/>
      <c r="H1185" s="1"/>
      <c r="K1185" s="1"/>
      <c r="M1185" s="1"/>
      <c r="N1185" s="1"/>
      <c r="O1185" s="1"/>
      <c r="T1185" s="1"/>
    </row>
    <row r="1186" spans="1:20" x14ac:dyDescent="0.3">
      <c r="A1186" s="1" t="s">
        <v>177</v>
      </c>
      <c r="B1186" s="1"/>
      <c r="C1186" s="2"/>
      <c r="D1186" s="1"/>
      <c r="E1186" s="1"/>
      <c r="H1186" s="1"/>
      <c r="K1186" s="1"/>
      <c r="M1186" s="1"/>
      <c r="N1186" s="1"/>
      <c r="O1186" s="1"/>
      <c r="T1186" s="1"/>
    </row>
    <row r="1187" spans="1:20" x14ac:dyDescent="0.3">
      <c r="A1187" s="1" t="s">
        <v>177</v>
      </c>
      <c r="B1187" s="1"/>
      <c r="C1187" s="2"/>
      <c r="D1187" s="1"/>
      <c r="E1187" s="1"/>
      <c r="H1187" s="1"/>
      <c r="K1187" s="1"/>
      <c r="M1187" s="1"/>
      <c r="N1187" s="1"/>
      <c r="O1187" s="1"/>
      <c r="T1187" s="1"/>
    </row>
    <row r="1188" spans="1:20" x14ac:dyDescent="0.3">
      <c r="A1188" s="1" t="s">
        <v>177</v>
      </c>
      <c r="B1188" s="1"/>
      <c r="C1188" s="2"/>
      <c r="D1188" s="1"/>
      <c r="E1188" s="1"/>
      <c r="H1188" s="1"/>
      <c r="K1188" s="1"/>
      <c r="M1188" s="1"/>
      <c r="N1188" s="1"/>
      <c r="O1188" s="1"/>
      <c r="T1188" s="1"/>
    </row>
    <row r="1189" spans="1:20" x14ac:dyDescent="0.3">
      <c r="A1189" s="1" t="s">
        <v>177</v>
      </c>
      <c r="B1189" s="1"/>
      <c r="C1189" s="2"/>
      <c r="D1189" s="1"/>
      <c r="E1189" s="1"/>
      <c r="H1189" s="1"/>
      <c r="K1189" s="1"/>
      <c r="M1189" s="1"/>
      <c r="N1189" s="1"/>
      <c r="O1189" s="1"/>
      <c r="T1189" s="1"/>
    </row>
    <row r="1190" spans="1:20" x14ac:dyDescent="0.3">
      <c r="A1190" s="1" t="s">
        <v>177</v>
      </c>
      <c r="B1190" s="1"/>
      <c r="C1190" s="2"/>
      <c r="D1190" s="1"/>
      <c r="E1190" s="1"/>
      <c r="H1190" s="1"/>
      <c r="K1190" s="1"/>
      <c r="M1190" s="1"/>
      <c r="N1190" s="1"/>
      <c r="O1190" s="1"/>
      <c r="T1190" s="1"/>
    </row>
    <row r="1191" spans="1:20" x14ac:dyDescent="0.3">
      <c r="A1191" s="1" t="s">
        <v>177</v>
      </c>
      <c r="B1191" s="1"/>
      <c r="C1191" s="2"/>
      <c r="D1191" s="1"/>
      <c r="E1191" s="1"/>
      <c r="H1191" s="1"/>
      <c r="K1191" s="1"/>
      <c r="M1191" s="1"/>
      <c r="N1191" s="1"/>
      <c r="O1191" s="1"/>
      <c r="T1191" s="1"/>
    </row>
    <row r="1192" spans="1:20" x14ac:dyDescent="0.3">
      <c r="A1192" s="1" t="s">
        <v>177</v>
      </c>
      <c r="B1192" s="1"/>
      <c r="C1192" s="2"/>
      <c r="D1192" s="1"/>
      <c r="E1192" s="1"/>
      <c r="H1192" s="1"/>
      <c r="K1192" s="1"/>
      <c r="M1192" s="1"/>
      <c r="N1192" s="1"/>
      <c r="O1192" s="1"/>
      <c r="T1192" s="1"/>
    </row>
    <row r="1193" spans="1:20" x14ac:dyDescent="0.3">
      <c r="A1193" s="1" t="s">
        <v>177</v>
      </c>
      <c r="B1193" s="1"/>
      <c r="C1193" s="2"/>
      <c r="D1193" s="1"/>
      <c r="E1193" s="1"/>
      <c r="H1193" s="1"/>
      <c r="K1193" s="1"/>
      <c r="M1193" s="1"/>
      <c r="N1193" s="1"/>
      <c r="O1193" s="1"/>
      <c r="T1193" s="1"/>
    </row>
    <row r="1194" spans="1:20" x14ac:dyDescent="0.3">
      <c r="A1194" s="1" t="s">
        <v>177</v>
      </c>
      <c r="B1194" s="1"/>
      <c r="C1194" s="2"/>
      <c r="D1194" s="1"/>
      <c r="E1194" s="1"/>
      <c r="H1194" s="1"/>
      <c r="K1194" s="1"/>
      <c r="M1194" s="1"/>
      <c r="N1194" s="1"/>
      <c r="O1194" s="1"/>
      <c r="T1194" s="1"/>
    </row>
    <row r="1195" spans="1:20" x14ac:dyDescent="0.3">
      <c r="A1195" s="1" t="s">
        <v>177</v>
      </c>
      <c r="B1195" s="1"/>
      <c r="C1195" s="2"/>
      <c r="D1195" s="1"/>
      <c r="E1195" s="1"/>
      <c r="H1195" s="1"/>
      <c r="K1195" s="1"/>
      <c r="M1195" s="1"/>
      <c r="N1195" s="1"/>
      <c r="O1195" s="1"/>
      <c r="T1195" s="1"/>
    </row>
    <row r="1196" spans="1:20" x14ac:dyDescent="0.3">
      <c r="A1196" s="1" t="s">
        <v>177</v>
      </c>
      <c r="B1196" s="1"/>
      <c r="C1196" s="2"/>
      <c r="D1196" s="1"/>
      <c r="E1196" s="1"/>
      <c r="H1196" s="1"/>
      <c r="K1196" s="1"/>
      <c r="M1196" s="1"/>
      <c r="N1196" s="1"/>
      <c r="O1196" s="1"/>
      <c r="T1196" s="1"/>
    </row>
    <row r="1197" spans="1:20" x14ac:dyDescent="0.3">
      <c r="A1197" s="1" t="s">
        <v>177</v>
      </c>
      <c r="B1197" s="1"/>
      <c r="C1197" s="2"/>
      <c r="D1197" s="1"/>
      <c r="E1197" s="1"/>
      <c r="H1197" s="1"/>
      <c r="K1197" s="1"/>
      <c r="M1197" s="1"/>
      <c r="N1197" s="1"/>
      <c r="O1197" s="1"/>
      <c r="T1197" s="1"/>
    </row>
    <row r="1198" spans="1:20" x14ac:dyDescent="0.3">
      <c r="A1198" s="1" t="s">
        <v>177</v>
      </c>
      <c r="B1198" s="1"/>
      <c r="C1198" s="2"/>
      <c r="D1198" s="1"/>
      <c r="E1198" s="1"/>
      <c r="H1198" s="1"/>
      <c r="K1198" s="1"/>
      <c r="M1198" s="1"/>
      <c r="N1198" s="1"/>
      <c r="O1198" s="1"/>
      <c r="T1198" s="1"/>
    </row>
    <row r="1199" spans="1:20" x14ac:dyDescent="0.3">
      <c r="A1199" s="1" t="s">
        <v>177</v>
      </c>
      <c r="B1199" s="1"/>
      <c r="C1199" s="2"/>
      <c r="D1199" s="1"/>
      <c r="E1199" s="1"/>
      <c r="H1199" s="1"/>
      <c r="K1199" s="1"/>
      <c r="M1199" s="1"/>
      <c r="N1199" s="1"/>
      <c r="O1199" s="1"/>
      <c r="T1199" s="1"/>
    </row>
    <row r="1200" spans="1:20" x14ac:dyDescent="0.3">
      <c r="A1200" s="1" t="s">
        <v>177</v>
      </c>
      <c r="B1200" s="1"/>
      <c r="C1200" s="2"/>
      <c r="D1200" s="1"/>
      <c r="E1200" s="1"/>
      <c r="H1200" s="1"/>
      <c r="K1200" s="1"/>
      <c r="M1200" s="1"/>
      <c r="N1200" s="1"/>
      <c r="O1200" s="1"/>
      <c r="T1200" s="1"/>
    </row>
    <row r="1201" spans="1:20" x14ac:dyDescent="0.3">
      <c r="A1201" s="1" t="s">
        <v>177</v>
      </c>
      <c r="B1201" s="1"/>
      <c r="C1201" s="2"/>
      <c r="D1201" s="1"/>
      <c r="E1201" s="1"/>
      <c r="H1201" s="1"/>
      <c r="K1201" s="1"/>
      <c r="M1201" s="1"/>
      <c r="N1201" s="1"/>
      <c r="O1201" s="1"/>
      <c r="T1201" s="1"/>
    </row>
    <row r="1202" spans="1:20" x14ac:dyDescent="0.3">
      <c r="A1202" s="1" t="s">
        <v>177</v>
      </c>
      <c r="B1202" s="1"/>
      <c r="C1202" s="2"/>
      <c r="D1202" s="1"/>
      <c r="E1202" s="1"/>
      <c r="H1202" s="1"/>
      <c r="K1202" s="1"/>
      <c r="M1202" s="1"/>
      <c r="N1202" s="1"/>
      <c r="O1202" s="1"/>
      <c r="T1202" s="1"/>
    </row>
    <row r="1203" spans="1:20" x14ac:dyDescent="0.3">
      <c r="A1203" s="1" t="s">
        <v>177</v>
      </c>
      <c r="B1203" s="1"/>
      <c r="C1203" s="2"/>
      <c r="D1203" s="1"/>
      <c r="E1203" s="1"/>
      <c r="H1203" s="1"/>
      <c r="K1203" s="1"/>
      <c r="M1203" s="1"/>
      <c r="N1203" s="1"/>
      <c r="O1203" s="1"/>
      <c r="T1203" s="1"/>
    </row>
    <row r="1204" spans="1:20" x14ac:dyDescent="0.3">
      <c r="A1204" s="1" t="s">
        <v>177</v>
      </c>
      <c r="B1204" s="1"/>
      <c r="C1204" s="2"/>
      <c r="D1204" s="1"/>
      <c r="E1204" s="1"/>
      <c r="H1204" s="1"/>
      <c r="K1204" s="1"/>
      <c r="M1204" s="1"/>
      <c r="N1204" s="1"/>
      <c r="O1204" s="1"/>
      <c r="T1204" s="1"/>
    </row>
    <row r="1205" spans="1:20" x14ac:dyDescent="0.3">
      <c r="A1205" s="1" t="s">
        <v>177</v>
      </c>
      <c r="B1205" s="1"/>
      <c r="C1205" s="2"/>
      <c r="D1205" s="1"/>
      <c r="E1205" s="1"/>
      <c r="H1205" s="1"/>
      <c r="K1205" s="1"/>
      <c r="M1205" s="1"/>
      <c r="N1205" s="1"/>
      <c r="O1205" s="1"/>
      <c r="T1205" s="1"/>
    </row>
    <row r="1206" spans="1:20" x14ac:dyDescent="0.3">
      <c r="A1206" s="1" t="s">
        <v>177</v>
      </c>
      <c r="B1206" s="1"/>
      <c r="C1206" s="2"/>
      <c r="D1206" s="1"/>
      <c r="E1206" s="1"/>
      <c r="H1206" s="1"/>
      <c r="K1206" s="1"/>
      <c r="M1206" s="1"/>
      <c r="N1206" s="1"/>
      <c r="O1206" s="1"/>
      <c r="T1206" s="1"/>
    </row>
    <row r="1207" spans="1:20" x14ac:dyDescent="0.3">
      <c r="A1207" s="1" t="s">
        <v>177</v>
      </c>
      <c r="B1207" s="1"/>
      <c r="C1207" s="2"/>
      <c r="D1207" s="1"/>
      <c r="E1207" s="1"/>
      <c r="H1207" s="1"/>
      <c r="K1207" s="1"/>
      <c r="M1207" s="1"/>
      <c r="N1207" s="1"/>
      <c r="O1207" s="1"/>
      <c r="T1207" s="1"/>
    </row>
    <row r="1208" spans="1:20" x14ac:dyDescent="0.3">
      <c r="A1208" s="1" t="s">
        <v>177</v>
      </c>
      <c r="B1208" s="1"/>
      <c r="C1208" s="2"/>
      <c r="D1208" s="1"/>
      <c r="E1208" s="1"/>
      <c r="H1208" s="1"/>
      <c r="K1208" s="1"/>
      <c r="M1208" s="1"/>
      <c r="N1208" s="1"/>
      <c r="O1208" s="1"/>
      <c r="T1208" s="1"/>
    </row>
    <row r="1209" spans="1:20" x14ac:dyDescent="0.3">
      <c r="A1209" s="1" t="s">
        <v>177</v>
      </c>
      <c r="B1209" s="1"/>
      <c r="C1209" s="2"/>
      <c r="D1209" s="1"/>
      <c r="E1209" s="1"/>
      <c r="H1209" s="1"/>
      <c r="K1209" s="1"/>
      <c r="M1209" s="1"/>
      <c r="N1209" s="1"/>
      <c r="O1209" s="1"/>
      <c r="T1209" s="1"/>
    </row>
    <row r="1210" spans="1:20" x14ac:dyDescent="0.3">
      <c r="A1210" s="1" t="s">
        <v>177</v>
      </c>
      <c r="B1210" s="1"/>
      <c r="C1210" s="2"/>
      <c r="D1210" s="1"/>
      <c r="E1210" s="1"/>
      <c r="H1210" s="1"/>
      <c r="K1210" s="1"/>
      <c r="M1210" s="1"/>
      <c r="N1210" s="1"/>
      <c r="O1210" s="1"/>
      <c r="T1210" s="1"/>
    </row>
    <row r="1211" spans="1:20" x14ac:dyDescent="0.3">
      <c r="A1211" s="1" t="s">
        <v>177</v>
      </c>
      <c r="B1211" s="1"/>
      <c r="C1211" s="2"/>
      <c r="D1211" s="1"/>
      <c r="E1211" s="1"/>
      <c r="H1211" s="1"/>
      <c r="K1211" s="1"/>
      <c r="M1211" s="1"/>
      <c r="N1211" s="1"/>
      <c r="O1211" s="1"/>
      <c r="T1211" s="1"/>
    </row>
    <row r="1212" spans="1:20" x14ac:dyDescent="0.3">
      <c r="A1212" s="1" t="s">
        <v>177</v>
      </c>
      <c r="B1212" s="1"/>
      <c r="C1212" s="2"/>
      <c r="D1212" s="1"/>
      <c r="E1212" s="1"/>
      <c r="H1212" s="1"/>
      <c r="K1212" s="1"/>
      <c r="M1212" s="1"/>
      <c r="N1212" s="1"/>
      <c r="O1212" s="1"/>
      <c r="T1212" s="1"/>
    </row>
    <row r="1213" spans="1:20" x14ac:dyDescent="0.3">
      <c r="A1213" s="1" t="s">
        <v>177</v>
      </c>
      <c r="B1213" s="1"/>
      <c r="C1213" s="2"/>
      <c r="D1213" s="1"/>
      <c r="E1213" s="1"/>
      <c r="H1213" s="1"/>
      <c r="K1213" s="1"/>
      <c r="M1213" s="1"/>
      <c r="N1213" s="1"/>
      <c r="O1213" s="1"/>
      <c r="T1213" s="1"/>
    </row>
    <row r="1214" spans="1:20" x14ac:dyDescent="0.3">
      <c r="A1214" s="1" t="s">
        <v>177</v>
      </c>
      <c r="B1214" s="1"/>
      <c r="C1214" s="2"/>
      <c r="D1214" s="1"/>
      <c r="E1214" s="1"/>
      <c r="H1214" s="1"/>
      <c r="K1214" s="1"/>
      <c r="M1214" s="1"/>
      <c r="N1214" s="1"/>
      <c r="O1214" s="1"/>
      <c r="T1214" s="1"/>
    </row>
    <row r="1215" spans="1:20" x14ac:dyDescent="0.3">
      <c r="A1215" s="1" t="s">
        <v>177</v>
      </c>
      <c r="B1215" s="1"/>
      <c r="C1215" s="2"/>
      <c r="D1215" s="1"/>
      <c r="E1215" s="1"/>
      <c r="H1215" s="1"/>
      <c r="K1215" s="1"/>
      <c r="M1215" s="1"/>
      <c r="N1215" s="1"/>
      <c r="O1215" s="1"/>
      <c r="T1215" s="1"/>
    </row>
    <row r="1216" spans="1:20" x14ac:dyDescent="0.3">
      <c r="A1216" s="1" t="s">
        <v>177</v>
      </c>
      <c r="B1216" s="1"/>
      <c r="C1216" s="2"/>
      <c r="D1216" s="1"/>
      <c r="E1216" s="1"/>
      <c r="H1216" s="1"/>
      <c r="K1216" s="1"/>
      <c r="M1216" s="1"/>
      <c r="N1216" s="1"/>
      <c r="O1216" s="1"/>
      <c r="T1216" s="1"/>
    </row>
    <row r="1217" spans="1:20" x14ac:dyDescent="0.3">
      <c r="A1217" s="1" t="s">
        <v>177</v>
      </c>
      <c r="B1217" s="1"/>
      <c r="C1217" s="2"/>
      <c r="D1217" s="1"/>
      <c r="E1217" s="1"/>
      <c r="H1217" s="1"/>
      <c r="K1217" s="1"/>
      <c r="M1217" s="1"/>
      <c r="N1217" s="1"/>
      <c r="O1217" s="1"/>
      <c r="T1217" s="1"/>
    </row>
    <row r="1218" spans="1:20" x14ac:dyDescent="0.3">
      <c r="A1218" s="1" t="s">
        <v>177</v>
      </c>
      <c r="B1218" s="1"/>
      <c r="C1218" s="2"/>
      <c r="D1218" s="1"/>
      <c r="E1218" s="1"/>
      <c r="H1218" s="1"/>
      <c r="K1218" s="1"/>
      <c r="M1218" s="1"/>
      <c r="N1218" s="1"/>
      <c r="O1218" s="1"/>
      <c r="T1218" s="1"/>
    </row>
    <row r="1219" spans="1:20" x14ac:dyDescent="0.3">
      <c r="A1219" s="1" t="s">
        <v>177</v>
      </c>
      <c r="B1219" s="1"/>
      <c r="C1219" s="2"/>
      <c r="D1219" s="1"/>
      <c r="E1219" s="1"/>
      <c r="H1219" s="1"/>
      <c r="K1219" s="1"/>
      <c r="M1219" s="1"/>
      <c r="N1219" s="1"/>
      <c r="O1219" s="1"/>
      <c r="T1219" s="1"/>
    </row>
    <row r="1220" spans="1:20" x14ac:dyDescent="0.3">
      <c r="A1220" s="1" t="s">
        <v>177</v>
      </c>
      <c r="B1220" s="1"/>
      <c r="C1220" s="2"/>
      <c r="D1220" s="1"/>
      <c r="E1220" s="1"/>
      <c r="H1220" s="1"/>
      <c r="K1220" s="1"/>
      <c r="M1220" s="1"/>
      <c r="N1220" s="1"/>
      <c r="O1220" s="1"/>
      <c r="T1220" s="1"/>
    </row>
    <row r="1221" spans="1:20" x14ac:dyDescent="0.3">
      <c r="A1221" s="1" t="s">
        <v>177</v>
      </c>
      <c r="B1221" s="1"/>
      <c r="C1221" s="2"/>
      <c r="D1221" s="1"/>
      <c r="E1221" s="1"/>
      <c r="H1221" s="1"/>
      <c r="K1221" s="1"/>
      <c r="M1221" s="1"/>
      <c r="N1221" s="1"/>
      <c r="O1221" s="1"/>
      <c r="T1221" s="1"/>
    </row>
    <row r="1222" spans="1:20" x14ac:dyDescent="0.3">
      <c r="A1222" s="1" t="s">
        <v>177</v>
      </c>
      <c r="B1222" s="1"/>
      <c r="C1222" s="2"/>
      <c r="D1222" s="1"/>
      <c r="E1222" s="1"/>
      <c r="H1222" s="1"/>
      <c r="K1222" s="1"/>
      <c r="M1222" s="1"/>
      <c r="N1222" s="1"/>
      <c r="O1222" s="1"/>
      <c r="T1222" s="1"/>
    </row>
    <row r="1223" spans="1:20" x14ac:dyDescent="0.3">
      <c r="A1223" s="1" t="s">
        <v>177</v>
      </c>
      <c r="B1223" s="1"/>
      <c r="C1223" s="2"/>
      <c r="D1223" s="1"/>
      <c r="E1223" s="1"/>
      <c r="H1223" s="1"/>
      <c r="K1223" s="1"/>
      <c r="M1223" s="1"/>
      <c r="N1223" s="1"/>
      <c r="O1223" s="1"/>
      <c r="T1223" s="1"/>
    </row>
    <row r="1224" spans="1:20" x14ac:dyDescent="0.3">
      <c r="A1224" s="1" t="s">
        <v>177</v>
      </c>
      <c r="B1224" s="1"/>
      <c r="C1224" s="2"/>
      <c r="D1224" s="1"/>
      <c r="E1224" s="1"/>
      <c r="H1224" s="1"/>
      <c r="K1224" s="1"/>
      <c r="M1224" s="1"/>
      <c r="N1224" s="1"/>
      <c r="O1224" s="1"/>
      <c r="T1224" s="1"/>
    </row>
    <row r="1225" spans="1:20" x14ac:dyDescent="0.3">
      <c r="A1225" s="1" t="s">
        <v>177</v>
      </c>
      <c r="B1225" s="1"/>
      <c r="C1225" s="2"/>
      <c r="D1225" s="1"/>
      <c r="E1225" s="1"/>
      <c r="H1225" s="1"/>
      <c r="K1225" s="1"/>
      <c r="M1225" s="1"/>
      <c r="N1225" s="1"/>
      <c r="O1225" s="1"/>
      <c r="T1225" s="1"/>
    </row>
    <row r="1226" spans="1:20" x14ac:dyDescent="0.3">
      <c r="A1226" s="1" t="s">
        <v>177</v>
      </c>
      <c r="B1226" s="1"/>
      <c r="C1226" s="2"/>
      <c r="D1226" s="1"/>
      <c r="E1226" s="1"/>
      <c r="H1226" s="1"/>
      <c r="K1226" s="1"/>
      <c r="M1226" s="1"/>
      <c r="N1226" s="1"/>
      <c r="O1226" s="1"/>
      <c r="T1226" s="1"/>
    </row>
    <row r="1227" spans="1:20" x14ac:dyDescent="0.3">
      <c r="A1227" s="1" t="s">
        <v>177</v>
      </c>
      <c r="B1227" s="1"/>
      <c r="C1227" s="2"/>
      <c r="D1227" s="1"/>
      <c r="E1227" s="1"/>
      <c r="H1227" s="1"/>
      <c r="K1227" s="1"/>
      <c r="M1227" s="1"/>
      <c r="N1227" s="1"/>
      <c r="O1227" s="1"/>
      <c r="T1227" s="1"/>
    </row>
    <row r="1228" spans="1:20" x14ac:dyDescent="0.3">
      <c r="A1228" s="1" t="s">
        <v>177</v>
      </c>
      <c r="B1228" s="1"/>
      <c r="C1228" s="2"/>
      <c r="D1228" s="1"/>
      <c r="E1228" s="1"/>
      <c r="H1228" s="1"/>
      <c r="K1228" s="1"/>
      <c r="M1228" s="1"/>
      <c r="N1228" s="1"/>
      <c r="O1228" s="1"/>
      <c r="T1228" s="1"/>
    </row>
    <row r="1229" spans="1:20" x14ac:dyDescent="0.3">
      <c r="A1229" s="1" t="s">
        <v>177</v>
      </c>
      <c r="B1229" s="1"/>
      <c r="C1229" s="2"/>
      <c r="D1229" s="1"/>
      <c r="E1229" s="1"/>
      <c r="H1229" s="1"/>
      <c r="K1229" s="1"/>
      <c r="M1229" s="1"/>
      <c r="N1229" s="1"/>
      <c r="O1229" s="1"/>
      <c r="T1229" s="1"/>
    </row>
    <row r="1230" spans="1:20" x14ac:dyDescent="0.3">
      <c r="A1230" s="1" t="s">
        <v>177</v>
      </c>
      <c r="B1230" s="1"/>
      <c r="C1230" s="2"/>
      <c r="D1230" s="1"/>
      <c r="E1230" s="1"/>
      <c r="H1230" s="1"/>
      <c r="K1230" s="1"/>
      <c r="M1230" s="1"/>
      <c r="N1230" s="1"/>
      <c r="O1230" s="1"/>
      <c r="T1230" s="1"/>
    </row>
    <row r="1231" spans="1:20" x14ac:dyDescent="0.3">
      <c r="A1231" s="1" t="s">
        <v>177</v>
      </c>
      <c r="B1231" s="1"/>
      <c r="C1231" s="2"/>
      <c r="D1231" s="1"/>
      <c r="E1231" s="1"/>
      <c r="H1231" s="1"/>
      <c r="K1231" s="1"/>
      <c r="M1231" s="1"/>
      <c r="N1231" s="1"/>
      <c r="O1231" s="1"/>
      <c r="T1231" s="1"/>
    </row>
    <row r="1232" spans="1:20" x14ac:dyDescent="0.3">
      <c r="A1232" s="1" t="s">
        <v>177</v>
      </c>
      <c r="B1232" s="1"/>
      <c r="C1232" s="2"/>
      <c r="D1232" s="1"/>
      <c r="E1232" s="1"/>
      <c r="H1232" s="1"/>
      <c r="K1232" s="1"/>
      <c r="M1232" s="1"/>
      <c r="N1232" s="1"/>
      <c r="O1232" s="1"/>
      <c r="T1232" s="1"/>
    </row>
    <row r="1233" spans="1:20" x14ac:dyDescent="0.3">
      <c r="A1233" s="1" t="s">
        <v>177</v>
      </c>
      <c r="B1233" s="1"/>
      <c r="C1233" s="2"/>
      <c r="D1233" s="1"/>
      <c r="E1233" s="1"/>
      <c r="H1233" s="1"/>
      <c r="K1233" s="1"/>
      <c r="M1233" s="1"/>
      <c r="N1233" s="1"/>
      <c r="O1233" s="1"/>
      <c r="T1233" s="1"/>
    </row>
    <row r="1234" spans="1:20" x14ac:dyDescent="0.3">
      <c r="A1234" s="1" t="s">
        <v>177</v>
      </c>
      <c r="B1234" s="1"/>
      <c r="C1234" s="2"/>
      <c r="D1234" s="1"/>
      <c r="E1234" s="1"/>
      <c r="H1234" s="1"/>
      <c r="K1234" s="1"/>
      <c r="M1234" s="1"/>
      <c r="N1234" s="1"/>
      <c r="O1234" s="1"/>
      <c r="T1234" s="1"/>
    </row>
    <row r="1235" spans="1:20" x14ac:dyDescent="0.3">
      <c r="A1235" s="1" t="s">
        <v>177</v>
      </c>
      <c r="B1235" s="1"/>
      <c r="C1235" s="2"/>
      <c r="D1235" s="1"/>
      <c r="E1235" s="1"/>
      <c r="H1235" s="1"/>
      <c r="K1235" s="1"/>
      <c r="M1235" s="1"/>
      <c r="N1235" s="1"/>
      <c r="O1235" s="1"/>
      <c r="T1235" s="1"/>
    </row>
    <row r="1236" spans="1:20" x14ac:dyDescent="0.3">
      <c r="A1236" s="1" t="s">
        <v>177</v>
      </c>
      <c r="B1236" s="1"/>
      <c r="C1236" s="2"/>
      <c r="D1236" s="1"/>
      <c r="E1236" s="1"/>
      <c r="H1236" s="1"/>
      <c r="K1236" s="1"/>
      <c r="M1236" s="1"/>
      <c r="N1236" s="1"/>
      <c r="O1236" s="1"/>
      <c r="T1236" s="1"/>
    </row>
    <row r="1237" spans="1:20" x14ac:dyDescent="0.3">
      <c r="A1237" s="1" t="s">
        <v>177</v>
      </c>
      <c r="B1237" s="1"/>
      <c r="C1237" s="2"/>
      <c r="D1237" s="1"/>
      <c r="E1237" s="1"/>
      <c r="H1237" s="1"/>
      <c r="K1237" s="1"/>
      <c r="M1237" s="1"/>
      <c r="N1237" s="1"/>
      <c r="O1237" s="1"/>
      <c r="T1237" s="1"/>
    </row>
    <row r="1238" spans="1:20" x14ac:dyDescent="0.3">
      <c r="A1238" s="1" t="s">
        <v>177</v>
      </c>
      <c r="B1238" s="1"/>
      <c r="C1238" s="2"/>
      <c r="D1238" s="1"/>
      <c r="E1238" s="1"/>
      <c r="H1238" s="1"/>
      <c r="K1238" s="1"/>
      <c r="M1238" s="1"/>
      <c r="N1238" s="1"/>
      <c r="O1238" s="1"/>
      <c r="T1238" s="1"/>
    </row>
    <row r="1239" spans="1:20" x14ac:dyDescent="0.3">
      <c r="A1239" s="1" t="s">
        <v>177</v>
      </c>
      <c r="B1239" s="1"/>
      <c r="C1239" s="2"/>
      <c r="D1239" s="1"/>
      <c r="E1239" s="1"/>
      <c r="H1239" s="1"/>
      <c r="K1239" s="1"/>
      <c r="M1239" s="1"/>
      <c r="N1239" s="1"/>
      <c r="O1239" s="1"/>
      <c r="T1239" s="1"/>
    </row>
    <row r="1240" spans="1:20" x14ac:dyDescent="0.3">
      <c r="A1240" s="1" t="s">
        <v>177</v>
      </c>
      <c r="B1240" s="1"/>
      <c r="C1240" s="2"/>
      <c r="D1240" s="1"/>
      <c r="E1240" s="1"/>
      <c r="H1240" s="1"/>
      <c r="K1240" s="1"/>
      <c r="M1240" s="1"/>
      <c r="N1240" s="1"/>
      <c r="O1240" s="1"/>
      <c r="T1240" s="1"/>
    </row>
    <row r="1241" spans="1:20" x14ac:dyDescent="0.3">
      <c r="A1241" s="1" t="s">
        <v>177</v>
      </c>
      <c r="B1241" s="1"/>
      <c r="C1241" s="2"/>
      <c r="D1241" s="1"/>
      <c r="E1241" s="1"/>
      <c r="H1241" s="1"/>
      <c r="K1241" s="1"/>
      <c r="M1241" s="1"/>
      <c r="N1241" s="1"/>
      <c r="O1241" s="1"/>
      <c r="T1241" s="1"/>
    </row>
    <row r="1242" spans="1:20" x14ac:dyDescent="0.3">
      <c r="A1242" s="1" t="s">
        <v>177</v>
      </c>
      <c r="B1242" s="1"/>
      <c r="C1242" s="2"/>
      <c r="D1242" s="1"/>
      <c r="E1242" s="1"/>
      <c r="H1242" s="1"/>
      <c r="K1242" s="1"/>
      <c r="M1242" s="1"/>
      <c r="N1242" s="1"/>
      <c r="O1242" s="1"/>
      <c r="T1242" s="1"/>
    </row>
    <row r="1243" spans="1:20" x14ac:dyDescent="0.3">
      <c r="A1243" s="1" t="s">
        <v>177</v>
      </c>
      <c r="B1243" s="1"/>
      <c r="C1243" s="2"/>
      <c r="D1243" s="1"/>
      <c r="E1243" s="1"/>
      <c r="H1243" s="1"/>
      <c r="K1243" s="1"/>
      <c r="M1243" s="1"/>
      <c r="N1243" s="1"/>
      <c r="O1243" s="1"/>
      <c r="T1243" s="1"/>
    </row>
    <row r="1244" spans="1:20" x14ac:dyDescent="0.3">
      <c r="A1244" s="1" t="s">
        <v>177</v>
      </c>
      <c r="B1244" s="1"/>
      <c r="C1244" s="2"/>
      <c r="D1244" s="1"/>
      <c r="E1244" s="1"/>
      <c r="H1244" s="1"/>
      <c r="K1244" s="1"/>
      <c r="M1244" s="1"/>
      <c r="N1244" s="1"/>
      <c r="O1244" s="1"/>
      <c r="T1244" s="1"/>
    </row>
    <row r="1245" spans="1:20" x14ac:dyDescent="0.3">
      <c r="A1245" s="1" t="s">
        <v>177</v>
      </c>
      <c r="B1245" s="1"/>
      <c r="C1245" s="2"/>
      <c r="D1245" s="1"/>
      <c r="E1245" s="1"/>
      <c r="H1245" s="1"/>
      <c r="K1245" s="1"/>
      <c r="M1245" s="1"/>
      <c r="N1245" s="1"/>
      <c r="O1245" s="1"/>
      <c r="T1245" s="1"/>
    </row>
    <row r="1246" spans="1:20" x14ac:dyDescent="0.3">
      <c r="A1246" s="1" t="s">
        <v>177</v>
      </c>
      <c r="B1246" s="1"/>
      <c r="C1246" s="2"/>
      <c r="D1246" s="1"/>
      <c r="E1246" s="1"/>
      <c r="H1246" s="1"/>
      <c r="K1246" s="1"/>
      <c r="M1246" s="1"/>
      <c r="N1246" s="1"/>
      <c r="O1246" s="1"/>
      <c r="T1246" s="1"/>
    </row>
    <row r="1247" spans="1:20" x14ac:dyDescent="0.3">
      <c r="A1247" s="1" t="s">
        <v>177</v>
      </c>
      <c r="B1247" s="1"/>
      <c r="C1247" s="2"/>
      <c r="D1247" s="1"/>
      <c r="E1247" s="1"/>
      <c r="H1247" s="1"/>
      <c r="K1247" s="1"/>
      <c r="M1247" s="1"/>
      <c r="N1247" s="1"/>
      <c r="O1247" s="1"/>
      <c r="T1247" s="1"/>
    </row>
    <row r="1248" spans="1:20" x14ac:dyDescent="0.3">
      <c r="A1248" s="1" t="s">
        <v>177</v>
      </c>
      <c r="B1248" s="1"/>
      <c r="C1248" s="2"/>
      <c r="D1248" s="1"/>
      <c r="E1248" s="1"/>
      <c r="H1248" s="1"/>
      <c r="K1248" s="1"/>
      <c r="M1248" s="1"/>
      <c r="N1248" s="1"/>
      <c r="O1248" s="1"/>
      <c r="T1248" s="1"/>
    </row>
    <row r="1249" spans="1:20" x14ac:dyDescent="0.3">
      <c r="A1249" s="1" t="s">
        <v>177</v>
      </c>
      <c r="B1249" s="1"/>
      <c r="C1249" s="2"/>
      <c r="D1249" s="1"/>
      <c r="E1249" s="1"/>
      <c r="H1249" s="1"/>
      <c r="K1249" s="1"/>
      <c r="M1249" s="1"/>
      <c r="N1249" s="1"/>
      <c r="O1249" s="1"/>
      <c r="T1249" s="1"/>
    </row>
    <row r="1250" spans="1:20" x14ac:dyDescent="0.3">
      <c r="A1250" s="1" t="s">
        <v>177</v>
      </c>
      <c r="B1250" s="1"/>
      <c r="C1250" s="2"/>
      <c r="D1250" s="1"/>
      <c r="E1250" s="1"/>
      <c r="H1250" s="1"/>
      <c r="K1250" s="1"/>
      <c r="M1250" s="1"/>
      <c r="N1250" s="1"/>
      <c r="O1250" s="1"/>
      <c r="T1250" s="1"/>
    </row>
    <row r="1251" spans="1:20" x14ac:dyDescent="0.3">
      <c r="A1251" s="1" t="s">
        <v>177</v>
      </c>
      <c r="B1251" s="1"/>
      <c r="C1251" s="2"/>
      <c r="D1251" s="1"/>
      <c r="E1251" s="1"/>
      <c r="H1251" s="1"/>
      <c r="K1251" s="1"/>
      <c r="M1251" s="1"/>
      <c r="N1251" s="1"/>
      <c r="O1251" s="1"/>
      <c r="T1251" s="1"/>
    </row>
    <row r="1252" spans="1:20" x14ac:dyDescent="0.3">
      <c r="A1252" s="1" t="s">
        <v>177</v>
      </c>
      <c r="B1252" s="1"/>
      <c r="C1252" s="2"/>
      <c r="D1252" s="1"/>
      <c r="E1252" s="1"/>
      <c r="H1252" s="1"/>
      <c r="K1252" s="1"/>
      <c r="M1252" s="1"/>
      <c r="N1252" s="1"/>
      <c r="O1252" s="1"/>
      <c r="T1252" s="1"/>
    </row>
    <row r="1253" spans="1:20" x14ac:dyDescent="0.3">
      <c r="A1253" s="1" t="s">
        <v>177</v>
      </c>
      <c r="B1253" s="1"/>
      <c r="C1253" s="2"/>
      <c r="D1253" s="1"/>
      <c r="E1253" s="1"/>
      <c r="H1253" s="1"/>
      <c r="K1253" s="1"/>
      <c r="M1253" s="1"/>
      <c r="N1253" s="1"/>
      <c r="O1253" s="1"/>
      <c r="T1253" s="1"/>
    </row>
    <row r="1254" spans="1:20" x14ac:dyDescent="0.3">
      <c r="A1254" s="1" t="s">
        <v>177</v>
      </c>
      <c r="B1254" s="1"/>
      <c r="C1254" s="2"/>
      <c r="D1254" s="1"/>
      <c r="E1254" s="1"/>
      <c r="H1254" s="1"/>
      <c r="K1254" s="1"/>
      <c r="M1254" s="1"/>
      <c r="N1254" s="1"/>
      <c r="O1254" s="1"/>
      <c r="T1254" s="1"/>
    </row>
    <row r="1255" spans="1:20" x14ac:dyDescent="0.3">
      <c r="A1255" s="1" t="s">
        <v>177</v>
      </c>
      <c r="B1255" s="1"/>
      <c r="C1255" s="2"/>
      <c r="D1255" s="1"/>
      <c r="E1255" s="1"/>
      <c r="H1255" s="1"/>
      <c r="K1255" s="1"/>
      <c r="M1255" s="1"/>
      <c r="N1255" s="1"/>
      <c r="O1255" s="1"/>
      <c r="T1255" s="1"/>
    </row>
    <row r="1256" spans="1:20" x14ac:dyDescent="0.3">
      <c r="A1256" s="1" t="s">
        <v>177</v>
      </c>
      <c r="B1256" s="1"/>
      <c r="C1256" s="2"/>
      <c r="D1256" s="1"/>
      <c r="E1256" s="1"/>
      <c r="H1256" s="1"/>
      <c r="K1256" s="1"/>
      <c r="M1256" s="1"/>
      <c r="N1256" s="1"/>
      <c r="O1256" s="1"/>
      <c r="T1256" s="1"/>
    </row>
    <row r="1257" spans="1:20" x14ac:dyDescent="0.3">
      <c r="A1257" s="1" t="s">
        <v>177</v>
      </c>
      <c r="B1257" s="1"/>
      <c r="C1257" s="2"/>
      <c r="D1257" s="1"/>
      <c r="E1257" s="1"/>
      <c r="H1257" s="1"/>
      <c r="K1257" s="1"/>
      <c r="M1257" s="1"/>
      <c r="N1257" s="1"/>
      <c r="O1257" s="1"/>
      <c r="T1257" s="1"/>
    </row>
    <row r="1258" spans="1:20" x14ac:dyDescent="0.3">
      <c r="A1258" s="1" t="s">
        <v>177</v>
      </c>
      <c r="B1258" s="1"/>
      <c r="C1258" s="2"/>
      <c r="D1258" s="1"/>
      <c r="E1258" s="1"/>
      <c r="H1258" s="1"/>
      <c r="K1258" s="1"/>
      <c r="M1258" s="1"/>
      <c r="N1258" s="1"/>
      <c r="O1258" s="1"/>
      <c r="T1258" s="1"/>
    </row>
    <row r="1259" spans="1:20" x14ac:dyDescent="0.3">
      <c r="A1259" s="1" t="s">
        <v>177</v>
      </c>
      <c r="B1259" s="1"/>
      <c r="C1259" s="2"/>
      <c r="D1259" s="1"/>
      <c r="E1259" s="1"/>
      <c r="H1259" s="1"/>
      <c r="K1259" s="1"/>
      <c r="M1259" s="1"/>
      <c r="N1259" s="1"/>
      <c r="O1259" s="1"/>
      <c r="T1259" s="1"/>
    </row>
    <row r="1260" spans="1:20" x14ac:dyDescent="0.3">
      <c r="A1260" s="1" t="s">
        <v>177</v>
      </c>
      <c r="B1260" s="1"/>
      <c r="C1260" s="2"/>
      <c r="D1260" s="1"/>
      <c r="E1260" s="1"/>
      <c r="H1260" s="1"/>
      <c r="K1260" s="1"/>
      <c r="M1260" s="1"/>
      <c r="N1260" s="1"/>
      <c r="O1260" s="1"/>
      <c r="T1260" s="1"/>
    </row>
    <row r="1261" spans="1:20" x14ac:dyDescent="0.3">
      <c r="A1261" s="1" t="s">
        <v>177</v>
      </c>
      <c r="B1261" s="1"/>
      <c r="C1261" s="2"/>
      <c r="D1261" s="1"/>
      <c r="E1261" s="1"/>
      <c r="H1261" s="1"/>
      <c r="K1261" s="1"/>
      <c r="M1261" s="1"/>
      <c r="N1261" s="1"/>
      <c r="O1261" s="1"/>
      <c r="T1261" s="1"/>
    </row>
    <row r="1262" spans="1:20" x14ac:dyDescent="0.3">
      <c r="A1262" s="1" t="s">
        <v>177</v>
      </c>
      <c r="B1262" s="1"/>
      <c r="C1262" s="2"/>
      <c r="D1262" s="1"/>
      <c r="E1262" s="1"/>
      <c r="H1262" s="1"/>
      <c r="K1262" s="1"/>
      <c r="M1262" s="1"/>
      <c r="N1262" s="1"/>
      <c r="O1262" s="1"/>
      <c r="T1262" s="1"/>
    </row>
    <row r="1263" spans="1:20" x14ac:dyDescent="0.3">
      <c r="A1263" s="1" t="s">
        <v>177</v>
      </c>
      <c r="B1263" s="1"/>
      <c r="C1263" s="2"/>
      <c r="D1263" s="1"/>
      <c r="E1263" s="1"/>
      <c r="H1263" s="1"/>
      <c r="K1263" s="1"/>
      <c r="M1263" s="1"/>
      <c r="N1263" s="1"/>
      <c r="O1263" s="1"/>
      <c r="T1263" s="1"/>
    </row>
    <row r="1264" spans="1:20" x14ac:dyDescent="0.3">
      <c r="A1264" s="1" t="s">
        <v>177</v>
      </c>
      <c r="B1264" s="1"/>
      <c r="C1264" s="2"/>
      <c r="D1264" s="1"/>
      <c r="E1264" s="1"/>
      <c r="H1264" s="1"/>
      <c r="K1264" s="1"/>
      <c r="M1264" s="1"/>
      <c r="N1264" s="1"/>
      <c r="O1264" s="1"/>
      <c r="T1264" s="1"/>
    </row>
    <row r="1265" spans="1:20" x14ac:dyDescent="0.3">
      <c r="A1265" s="1" t="s">
        <v>177</v>
      </c>
      <c r="B1265" s="1"/>
      <c r="C1265" s="2"/>
      <c r="D1265" s="1"/>
      <c r="E1265" s="1"/>
      <c r="H1265" s="1"/>
      <c r="K1265" s="1"/>
      <c r="M1265" s="1"/>
      <c r="N1265" s="1"/>
      <c r="O1265" s="1"/>
      <c r="T1265" s="1"/>
    </row>
    <row r="1266" spans="1:20" x14ac:dyDescent="0.3">
      <c r="A1266" s="1" t="s">
        <v>177</v>
      </c>
      <c r="B1266" s="1"/>
      <c r="C1266" s="2"/>
      <c r="D1266" s="1"/>
      <c r="E1266" s="1"/>
      <c r="H1266" s="1"/>
      <c r="K1266" s="1"/>
      <c r="M1266" s="1"/>
      <c r="N1266" s="1"/>
      <c r="O1266" s="1"/>
      <c r="T1266" s="1"/>
    </row>
    <row r="1267" spans="1:20" x14ac:dyDescent="0.3">
      <c r="A1267" s="1" t="s">
        <v>177</v>
      </c>
      <c r="B1267" s="1"/>
      <c r="C1267" s="2"/>
      <c r="D1267" s="1"/>
      <c r="E1267" s="1"/>
      <c r="H1267" s="1"/>
      <c r="K1267" s="1"/>
      <c r="M1267" s="1"/>
      <c r="N1267" s="1"/>
      <c r="O1267" s="1"/>
      <c r="T1267" s="1"/>
    </row>
    <row r="1268" spans="1:20" x14ac:dyDescent="0.3">
      <c r="A1268" s="1" t="s">
        <v>177</v>
      </c>
      <c r="B1268" s="1"/>
      <c r="C1268" s="2"/>
      <c r="D1268" s="1"/>
      <c r="E1268" s="1"/>
      <c r="H1268" s="1"/>
      <c r="K1268" s="1"/>
      <c r="M1268" s="1"/>
      <c r="N1268" s="1"/>
      <c r="O1268" s="1"/>
      <c r="T1268" s="1"/>
    </row>
    <row r="1269" spans="1:20" x14ac:dyDescent="0.3">
      <c r="A1269" s="1" t="s">
        <v>177</v>
      </c>
      <c r="B1269" s="1"/>
      <c r="C1269" s="2"/>
      <c r="D1269" s="1"/>
      <c r="E1269" s="1"/>
      <c r="H1269" s="1"/>
      <c r="K1269" s="1"/>
      <c r="M1269" s="1"/>
      <c r="N1269" s="1"/>
      <c r="O1269" s="1"/>
      <c r="T1269" s="1"/>
    </row>
    <row r="1270" spans="1:20" x14ac:dyDescent="0.3">
      <c r="A1270" s="1" t="s">
        <v>177</v>
      </c>
      <c r="B1270" s="1"/>
      <c r="C1270" s="2"/>
      <c r="D1270" s="1"/>
      <c r="E1270" s="1"/>
      <c r="H1270" s="1"/>
      <c r="K1270" s="1"/>
      <c r="M1270" s="1"/>
      <c r="N1270" s="1"/>
      <c r="O1270" s="1"/>
      <c r="T1270" s="1"/>
    </row>
    <row r="1271" spans="1:20" x14ac:dyDescent="0.3">
      <c r="A1271" s="1" t="s">
        <v>177</v>
      </c>
      <c r="B1271" s="1"/>
      <c r="C1271" s="2"/>
      <c r="D1271" s="1"/>
      <c r="E1271" s="1"/>
      <c r="H1271" s="1"/>
      <c r="K1271" s="1"/>
      <c r="M1271" s="1"/>
      <c r="N1271" s="1"/>
      <c r="O1271" s="1"/>
      <c r="T1271" s="1"/>
    </row>
    <row r="1272" spans="1:20" x14ac:dyDescent="0.3">
      <c r="A1272" s="1" t="s">
        <v>177</v>
      </c>
      <c r="B1272" s="1"/>
      <c r="C1272" s="2"/>
      <c r="D1272" s="1"/>
      <c r="E1272" s="1"/>
      <c r="H1272" s="1"/>
      <c r="K1272" s="1"/>
      <c r="M1272" s="1"/>
      <c r="N1272" s="1"/>
      <c r="O1272" s="1"/>
      <c r="T1272" s="1"/>
    </row>
    <row r="1273" spans="1:20" x14ac:dyDescent="0.3">
      <c r="A1273" s="1" t="s">
        <v>177</v>
      </c>
      <c r="B1273" s="1"/>
      <c r="C1273" s="2"/>
      <c r="D1273" s="1"/>
      <c r="E1273" s="1"/>
      <c r="H1273" s="1"/>
      <c r="K1273" s="1"/>
      <c r="M1273" s="1"/>
      <c r="N1273" s="1"/>
      <c r="O1273" s="1"/>
      <c r="T1273" s="1"/>
    </row>
    <row r="1274" spans="1:20" x14ac:dyDescent="0.3">
      <c r="A1274" s="1" t="s">
        <v>177</v>
      </c>
      <c r="B1274" s="1"/>
      <c r="C1274" s="2"/>
      <c r="D1274" s="1"/>
      <c r="E1274" s="1"/>
      <c r="H1274" s="1"/>
      <c r="K1274" s="1"/>
      <c r="M1274" s="1"/>
      <c r="N1274" s="1"/>
      <c r="O1274" s="1"/>
      <c r="T1274" s="1"/>
    </row>
    <row r="1275" spans="1:20" x14ac:dyDescent="0.3">
      <c r="A1275" s="1" t="s">
        <v>177</v>
      </c>
      <c r="B1275" s="1"/>
      <c r="C1275" s="2"/>
      <c r="D1275" s="1"/>
      <c r="E1275" s="1"/>
      <c r="H1275" s="1"/>
      <c r="K1275" s="1"/>
      <c r="M1275" s="1"/>
      <c r="N1275" s="1"/>
      <c r="O1275" s="1"/>
      <c r="T1275" s="1"/>
    </row>
    <row r="1276" spans="1:20" x14ac:dyDescent="0.3">
      <c r="A1276" s="1" t="s">
        <v>177</v>
      </c>
      <c r="B1276" s="1"/>
      <c r="C1276" s="2"/>
      <c r="D1276" s="1"/>
      <c r="E1276" s="1"/>
      <c r="H1276" s="1"/>
      <c r="K1276" s="1"/>
      <c r="M1276" s="1"/>
      <c r="N1276" s="1"/>
      <c r="O1276" s="1"/>
      <c r="T1276" s="1"/>
    </row>
    <row r="1277" spans="1:20" x14ac:dyDescent="0.3">
      <c r="A1277" s="1" t="s">
        <v>177</v>
      </c>
      <c r="B1277" s="1"/>
      <c r="C1277" s="2"/>
      <c r="D1277" s="1"/>
      <c r="E1277" s="1"/>
      <c r="H1277" s="1"/>
      <c r="K1277" s="1"/>
      <c r="M1277" s="1"/>
      <c r="N1277" s="1"/>
      <c r="O1277" s="1"/>
      <c r="T1277" s="1"/>
    </row>
    <row r="1278" spans="1:20" x14ac:dyDescent="0.3">
      <c r="A1278" s="1" t="s">
        <v>177</v>
      </c>
      <c r="B1278" s="1"/>
      <c r="C1278" s="2"/>
      <c r="D1278" s="1"/>
      <c r="E1278" s="1"/>
      <c r="H1278" s="1"/>
      <c r="K1278" s="1"/>
      <c r="M1278" s="1"/>
      <c r="N1278" s="1"/>
      <c r="O1278" s="1"/>
      <c r="T1278" s="1"/>
    </row>
    <row r="1279" spans="1:20" x14ac:dyDescent="0.3">
      <c r="A1279" s="1" t="s">
        <v>177</v>
      </c>
      <c r="B1279" s="1"/>
      <c r="C1279" s="2"/>
      <c r="D1279" s="1"/>
      <c r="E1279" s="1"/>
      <c r="H1279" s="1"/>
      <c r="K1279" s="1"/>
      <c r="M1279" s="1"/>
      <c r="N1279" s="1"/>
      <c r="O1279" s="1"/>
      <c r="T1279" s="1"/>
    </row>
    <row r="1280" spans="1:20" x14ac:dyDescent="0.3">
      <c r="A1280" s="1" t="s">
        <v>177</v>
      </c>
      <c r="B1280" s="1"/>
      <c r="C1280" s="2"/>
      <c r="D1280" s="1"/>
      <c r="E1280" s="1"/>
      <c r="H1280" s="1"/>
      <c r="K1280" s="1"/>
      <c r="M1280" s="1"/>
      <c r="N1280" s="1"/>
      <c r="O1280" s="1"/>
      <c r="T1280" s="1"/>
    </row>
    <row r="1281" spans="1:20" x14ac:dyDescent="0.3">
      <c r="A1281" s="1" t="s">
        <v>177</v>
      </c>
      <c r="B1281" s="1"/>
      <c r="C1281" s="2"/>
      <c r="D1281" s="1"/>
      <c r="E1281" s="1"/>
      <c r="H1281" s="1"/>
      <c r="K1281" s="1"/>
      <c r="M1281" s="1"/>
      <c r="N1281" s="1"/>
      <c r="O1281" s="1"/>
      <c r="T1281" s="1"/>
    </row>
    <row r="1282" spans="1:20" x14ac:dyDescent="0.3">
      <c r="A1282" s="1" t="s">
        <v>177</v>
      </c>
      <c r="B1282" s="1"/>
      <c r="C1282" s="2"/>
      <c r="D1282" s="1"/>
      <c r="E1282" s="1"/>
      <c r="H1282" s="1"/>
      <c r="K1282" s="1"/>
      <c r="M1282" s="1"/>
      <c r="N1282" s="1"/>
      <c r="O1282" s="1"/>
      <c r="T1282" s="1"/>
    </row>
    <row r="1283" spans="1:20" x14ac:dyDescent="0.3">
      <c r="A1283" s="1" t="s">
        <v>177</v>
      </c>
      <c r="B1283" s="1"/>
      <c r="C1283" s="2"/>
      <c r="D1283" s="1"/>
      <c r="E1283" s="1"/>
      <c r="H1283" s="1"/>
      <c r="K1283" s="1"/>
      <c r="M1283" s="1"/>
      <c r="N1283" s="1"/>
      <c r="O1283" s="1"/>
      <c r="T1283" s="1"/>
    </row>
    <row r="1284" spans="1:20" x14ac:dyDescent="0.3">
      <c r="A1284" s="1" t="s">
        <v>177</v>
      </c>
      <c r="B1284" s="1"/>
      <c r="C1284" s="2"/>
      <c r="D1284" s="1"/>
      <c r="E1284" s="1"/>
      <c r="H1284" s="1"/>
      <c r="K1284" s="1"/>
      <c r="M1284" s="1"/>
      <c r="N1284" s="1"/>
      <c r="O1284" s="1"/>
      <c r="T1284" s="1"/>
    </row>
    <row r="1285" spans="1:20" x14ac:dyDescent="0.3">
      <c r="A1285" s="1" t="s">
        <v>177</v>
      </c>
      <c r="B1285" s="1"/>
      <c r="C1285" s="2"/>
      <c r="D1285" s="1"/>
      <c r="E1285" s="1"/>
      <c r="H1285" s="1"/>
      <c r="K1285" s="1"/>
      <c r="M1285" s="1"/>
      <c r="N1285" s="1"/>
      <c r="O1285" s="1"/>
      <c r="T1285" s="1"/>
    </row>
    <row r="1286" spans="1:20" x14ac:dyDescent="0.3">
      <c r="A1286" s="1" t="s">
        <v>177</v>
      </c>
      <c r="B1286" s="1"/>
      <c r="C1286" s="2"/>
      <c r="D1286" s="1"/>
      <c r="E1286" s="1"/>
      <c r="H1286" s="1"/>
      <c r="K1286" s="1"/>
      <c r="M1286" s="1"/>
      <c r="N1286" s="1"/>
      <c r="O1286" s="1"/>
      <c r="T1286" s="1"/>
    </row>
    <row r="1287" spans="1:20" x14ac:dyDescent="0.3">
      <c r="A1287" s="1" t="s">
        <v>177</v>
      </c>
      <c r="B1287" s="1"/>
      <c r="C1287" s="2"/>
      <c r="D1287" s="1"/>
      <c r="E1287" s="1"/>
      <c r="H1287" s="1"/>
      <c r="K1287" s="1"/>
      <c r="M1287" s="1"/>
      <c r="N1287" s="1"/>
      <c r="O1287" s="1"/>
      <c r="T1287" s="1"/>
    </row>
    <row r="1288" spans="1:20" x14ac:dyDescent="0.3">
      <c r="A1288" s="1" t="s">
        <v>177</v>
      </c>
      <c r="B1288" s="1"/>
      <c r="C1288" s="2"/>
      <c r="D1288" s="1"/>
      <c r="E1288" s="1"/>
      <c r="H1288" s="1"/>
      <c r="K1288" s="1"/>
      <c r="M1288" s="1"/>
      <c r="N1288" s="1"/>
      <c r="O1288" s="1"/>
      <c r="T1288" s="1"/>
    </row>
    <row r="1289" spans="1:20" x14ac:dyDescent="0.3">
      <c r="A1289" s="1" t="s">
        <v>177</v>
      </c>
      <c r="B1289" s="1"/>
      <c r="C1289" s="2"/>
      <c r="D1289" s="1"/>
      <c r="E1289" s="1"/>
      <c r="H1289" s="1"/>
      <c r="K1289" s="1"/>
      <c r="M1289" s="1"/>
      <c r="N1289" s="1"/>
      <c r="O1289" s="1"/>
      <c r="T1289" s="1"/>
    </row>
    <row r="1290" spans="1:20" x14ac:dyDescent="0.3">
      <c r="A1290" s="1" t="s">
        <v>177</v>
      </c>
      <c r="B1290" s="1"/>
      <c r="C1290" s="2"/>
      <c r="D1290" s="1"/>
      <c r="E1290" s="1"/>
      <c r="H1290" s="1"/>
      <c r="K1290" s="1"/>
      <c r="M1290" s="1"/>
      <c r="N1290" s="1"/>
      <c r="O1290" s="1"/>
      <c r="T1290" s="1"/>
    </row>
    <row r="1291" spans="1:20" x14ac:dyDescent="0.3">
      <c r="A1291" s="1" t="s">
        <v>177</v>
      </c>
      <c r="B1291" s="1"/>
      <c r="C1291" s="2"/>
      <c r="D1291" s="1"/>
      <c r="E1291" s="1"/>
      <c r="H1291" s="1"/>
      <c r="K1291" s="1"/>
      <c r="M1291" s="1"/>
      <c r="N1291" s="1"/>
      <c r="O1291" s="1"/>
      <c r="T1291" s="1"/>
    </row>
    <row r="1292" spans="1:20" x14ac:dyDescent="0.3">
      <c r="A1292" s="1" t="s">
        <v>177</v>
      </c>
      <c r="B1292" s="1"/>
      <c r="C1292" s="2"/>
      <c r="D1292" s="1"/>
      <c r="E1292" s="1"/>
      <c r="H1292" s="1"/>
      <c r="K1292" s="1"/>
      <c r="M1292" s="1"/>
      <c r="N1292" s="1"/>
      <c r="O1292" s="1"/>
      <c r="T1292" s="1"/>
    </row>
    <row r="1293" spans="1:20" x14ac:dyDescent="0.3">
      <c r="A1293" s="1" t="s">
        <v>177</v>
      </c>
      <c r="B1293" s="1"/>
      <c r="C1293" s="2"/>
      <c r="D1293" s="1"/>
      <c r="E1293" s="1"/>
      <c r="H1293" s="1"/>
      <c r="K1293" s="1"/>
      <c r="M1293" s="1"/>
      <c r="N1293" s="1"/>
      <c r="O1293" s="1"/>
      <c r="T1293" s="1"/>
    </row>
    <row r="1294" spans="1:20" x14ac:dyDescent="0.3">
      <c r="A1294" s="1" t="s">
        <v>177</v>
      </c>
      <c r="B1294" s="1"/>
      <c r="C1294" s="2"/>
      <c r="D1294" s="1"/>
      <c r="E1294" s="1"/>
      <c r="H1294" s="1"/>
      <c r="K1294" s="1"/>
      <c r="M1294" s="1"/>
      <c r="N1294" s="1"/>
      <c r="O1294" s="1"/>
      <c r="T1294" s="1"/>
    </row>
    <row r="1295" spans="1:20" x14ac:dyDescent="0.3">
      <c r="A1295" s="1" t="s">
        <v>177</v>
      </c>
      <c r="B1295" s="1"/>
      <c r="C1295" s="2"/>
      <c r="D1295" s="1"/>
      <c r="E1295" s="1"/>
      <c r="H1295" s="1"/>
      <c r="K1295" s="1"/>
      <c r="M1295" s="1"/>
      <c r="N1295" s="1"/>
      <c r="O1295" s="1"/>
      <c r="T1295" s="1"/>
    </row>
    <row r="1296" spans="1:20" x14ac:dyDescent="0.3">
      <c r="A1296" s="1" t="s">
        <v>177</v>
      </c>
      <c r="B1296" s="1"/>
      <c r="C1296" s="2"/>
      <c r="D1296" s="1"/>
      <c r="E1296" s="1"/>
      <c r="H1296" s="1"/>
      <c r="K1296" s="1"/>
      <c r="M1296" s="1"/>
      <c r="N1296" s="1"/>
      <c r="O1296" s="1"/>
      <c r="T1296" s="1"/>
    </row>
    <row r="1297" spans="1:20" x14ac:dyDescent="0.3">
      <c r="A1297" s="1" t="s">
        <v>177</v>
      </c>
      <c r="B1297" s="1"/>
      <c r="C1297" s="2"/>
      <c r="D1297" s="1"/>
      <c r="E1297" s="1"/>
      <c r="H1297" s="1"/>
      <c r="K1297" s="1"/>
      <c r="M1297" s="1"/>
      <c r="N1297" s="1"/>
      <c r="O1297" s="1"/>
      <c r="T1297" s="1"/>
    </row>
    <row r="1298" spans="1:20" x14ac:dyDescent="0.3">
      <c r="A1298" s="1" t="s">
        <v>177</v>
      </c>
      <c r="B1298" s="1"/>
      <c r="C1298" s="2"/>
      <c r="D1298" s="1"/>
      <c r="E1298" s="1"/>
      <c r="H1298" s="1"/>
      <c r="K1298" s="1"/>
      <c r="M1298" s="1"/>
      <c r="N1298" s="1"/>
      <c r="O1298" s="1"/>
      <c r="T1298" s="1"/>
    </row>
    <row r="1299" spans="1:20" x14ac:dyDescent="0.3">
      <c r="A1299" s="1" t="s">
        <v>177</v>
      </c>
      <c r="B1299" s="1"/>
      <c r="C1299" s="2"/>
      <c r="D1299" s="1"/>
      <c r="E1299" s="1"/>
      <c r="H1299" s="1"/>
      <c r="K1299" s="1"/>
      <c r="M1299" s="1"/>
      <c r="N1299" s="1"/>
      <c r="O1299" s="1"/>
      <c r="T1299" s="1"/>
    </row>
    <row r="1300" spans="1:20" x14ac:dyDescent="0.3">
      <c r="A1300" s="1" t="s">
        <v>177</v>
      </c>
      <c r="B1300" s="1"/>
      <c r="C1300" s="2"/>
      <c r="D1300" s="1"/>
      <c r="E1300" s="1"/>
      <c r="H1300" s="1"/>
      <c r="K1300" s="1"/>
      <c r="M1300" s="1"/>
      <c r="N1300" s="1"/>
      <c r="O1300" s="1"/>
      <c r="T1300" s="1"/>
    </row>
    <row r="1301" spans="1:20" x14ac:dyDescent="0.3">
      <c r="A1301" s="1" t="s">
        <v>177</v>
      </c>
      <c r="B1301" s="1"/>
      <c r="C1301" s="2"/>
      <c r="D1301" s="1"/>
      <c r="E1301" s="1"/>
      <c r="H1301" s="1"/>
      <c r="K1301" s="1"/>
      <c r="M1301" s="1"/>
      <c r="N1301" s="1"/>
      <c r="O1301" s="1"/>
      <c r="T1301" s="1"/>
    </row>
    <row r="1302" spans="1:20" x14ac:dyDescent="0.3">
      <c r="A1302" s="1" t="s">
        <v>177</v>
      </c>
      <c r="B1302" s="1"/>
      <c r="C1302" s="2"/>
      <c r="D1302" s="1"/>
      <c r="E1302" s="1"/>
      <c r="H1302" s="1"/>
      <c r="K1302" s="1"/>
      <c r="M1302" s="1"/>
      <c r="N1302" s="1"/>
      <c r="O1302" s="1"/>
      <c r="T1302" s="1"/>
    </row>
    <row r="1303" spans="1:20" x14ac:dyDescent="0.3">
      <c r="A1303" s="1" t="s">
        <v>177</v>
      </c>
      <c r="B1303" s="1"/>
      <c r="C1303" s="2"/>
      <c r="D1303" s="1"/>
      <c r="E1303" s="1"/>
      <c r="H1303" s="1"/>
      <c r="K1303" s="1"/>
      <c r="M1303" s="1"/>
      <c r="N1303" s="1"/>
      <c r="O1303" s="1"/>
      <c r="T1303" s="1"/>
    </row>
    <row r="1304" spans="1:20" x14ac:dyDescent="0.3">
      <c r="A1304" s="1" t="s">
        <v>177</v>
      </c>
      <c r="B1304" s="1"/>
      <c r="C1304" s="2"/>
      <c r="D1304" s="1"/>
      <c r="E1304" s="1"/>
      <c r="H1304" s="1"/>
      <c r="K1304" s="1"/>
      <c r="M1304" s="1"/>
      <c r="N1304" s="1"/>
      <c r="O1304" s="1"/>
      <c r="T1304" s="1"/>
    </row>
    <row r="1305" spans="1:20" x14ac:dyDescent="0.3">
      <c r="A1305" s="1" t="s">
        <v>177</v>
      </c>
      <c r="B1305" s="1"/>
      <c r="C1305" s="2"/>
      <c r="D1305" s="1"/>
      <c r="E1305" s="1"/>
      <c r="H1305" s="1"/>
      <c r="K1305" s="1"/>
      <c r="M1305" s="1"/>
      <c r="N1305" s="1"/>
      <c r="O1305" s="1"/>
      <c r="T1305" s="1"/>
    </row>
    <row r="1306" spans="1:20" x14ac:dyDescent="0.3">
      <c r="A1306" s="1" t="s">
        <v>177</v>
      </c>
      <c r="B1306" s="1"/>
      <c r="C1306" s="2"/>
      <c r="D1306" s="1"/>
      <c r="E1306" s="1"/>
      <c r="H1306" s="1"/>
      <c r="K1306" s="1"/>
      <c r="M1306" s="1"/>
      <c r="N1306" s="1"/>
      <c r="O1306" s="1"/>
      <c r="T1306" s="1"/>
    </row>
    <row r="1307" spans="1:20" x14ac:dyDescent="0.3">
      <c r="A1307" s="1" t="s">
        <v>177</v>
      </c>
      <c r="B1307" s="1"/>
      <c r="C1307" s="2"/>
      <c r="D1307" s="1"/>
      <c r="E1307" s="1"/>
      <c r="H1307" s="1"/>
      <c r="K1307" s="1"/>
      <c r="M1307" s="1"/>
      <c r="N1307" s="1"/>
      <c r="O1307" s="1"/>
      <c r="T1307" s="1"/>
    </row>
    <row r="1308" spans="1:20" x14ac:dyDescent="0.3">
      <c r="A1308" s="1" t="s">
        <v>177</v>
      </c>
      <c r="B1308" s="1"/>
      <c r="C1308" s="2"/>
      <c r="D1308" s="1"/>
      <c r="E1308" s="1"/>
      <c r="H1308" s="1"/>
      <c r="K1308" s="1"/>
      <c r="M1308" s="1"/>
      <c r="N1308" s="1"/>
      <c r="O1308" s="1"/>
      <c r="T1308" s="1"/>
    </row>
    <row r="1309" spans="1:20" x14ac:dyDescent="0.3">
      <c r="A1309" s="1" t="s">
        <v>177</v>
      </c>
      <c r="B1309" s="1"/>
      <c r="C1309" s="2"/>
      <c r="D1309" s="1"/>
      <c r="E1309" s="1"/>
      <c r="H1309" s="1"/>
      <c r="K1309" s="1"/>
      <c r="M1309" s="1"/>
      <c r="N1309" s="1"/>
      <c r="O1309" s="1"/>
      <c r="T1309" s="1"/>
    </row>
    <row r="1310" spans="1:20" x14ac:dyDescent="0.3">
      <c r="A1310" s="1" t="s">
        <v>177</v>
      </c>
      <c r="B1310" s="1"/>
      <c r="C1310" s="2"/>
      <c r="D1310" s="1"/>
      <c r="E1310" s="1"/>
      <c r="H1310" s="1"/>
      <c r="K1310" s="1"/>
      <c r="M1310" s="1"/>
      <c r="N1310" s="1"/>
      <c r="O1310" s="1"/>
      <c r="T1310" s="1"/>
    </row>
    <row r="1311" spans="1:20" x14ac:dyDescent="0.3">
      <c r="A1311" s="1" t="s">
        <v>177</v>
      </c>
      <c r="B1311" s="1"/>
      <c r="C1311" s="2"/>
      <c r="D1311" s="1"/>
      <c r="E1311" s="1"/>
      <c r="H1311" s="1"/>
      <c r="K1311" s="1"/>
      <c r="M1311" s="1"/>
      <c r="N1311" s="1"/>
      <c r="O1311" s="1"/>
      <c r="T1311" s="1"/>
    </row>
    <row r="1312" spans="1:20" x14ac:dyDescent="0.3">
      <c r="A1312" s="1" t="s">
        <v>177</v>
      </c>
      <c r="B1312" s="1"/>
      <c r="C1312" s="2"/>
      <c r="D1312" s="1"/>
      <c r="E1312" s="1"/>
      <c r="H1312" s="1"/>
      <c r="K1312" s="1"/>
      <c r="M1312" s="1"/>
      <c r="N1312" s="1"/>
      <c r="O1312" s="1"/>
      <c r="T1312" s="1"/>
    </row>
    <row r="1313" spans="1:20" x14ac:dyDescent="0.3">
      <c r="A1313" s="1" t="s">
        <v>177</v>
      </c>
      <c r="B1313" s="1"/>
      <c r="C1313" s="2"/>
      <c r="D1313" s="1"/>
      <c r="E1313" s="1"/>
      <c r="H1313" s="1"/>
      <c r="K1313" s="1"/>
      <c r="M1313" s="1"/>
      <c r="N1313" s="1"/>
      <c r="O1313" s="1"/>
      <c r="T1313" s="1"/>
    </row>
    <row r="1314" spans="1:20" x14ac:dyDescent="0.3">
      <c r="A1314" s="1" t="s">
        <v>177</v>
      </c>
      <c r="B1314" s="1"/>
      <c r="C1314" s="2"/>
      <c r="D1314" s="1"/>
      <c r="E1314" s="1"/>
      <c r="H1314" s="1"/>
      <c r="K1314" s="1"/>
      <c r="M1314" s="1"/>
      <c r="N1314" s="1"/>
      <c r="O1314" s="1"/>
      <c r="T1314" s="1"/>
    </row>
    <row r="1315" spans="1:20" x14ac:dyDescent="0.3">
      <c r="A1315" s="1" t="s">
        <v>177</v>
      </c>
      <c r="B1315" s="1"/>
      <c r="C1315" s="2"/>
      <c r="D1315" s="1"/>
      <c r="E1315" s="1"/>
      <c r="H1315" s="1"/>
      <c r="K1315" s="1"/>
      <c r="M1315" s="1"/>
      <c r="N1315" s="1"/>
      <c r="O1315" s="1"/>
      <c r="T1315" s="1"/>
    </row>
    <row r="1316" spans="1:20" x14ac:dyDescent="0.3">
      <c r="A1316" s="1" t="s">
        <v>177</v>
      </c>
      <c r="B1316" s="1"/>
      <c r="C1316" s="2"/>
      <c r="D1316" s="1"/>
      <c r="E1316" s="1"/>
      <c r="H1316" s="1"/>
      <c r="K1316" s="1"/>
      <c r="M1316" s="1"/>
      <c r="N1316" s="1"/>
      <c r="O1316" s="1"/>
      <c r="T1316" s="1"/>
    </row>
    <row r="1317" spans="1:20" x14ac:dyDescent="0.3">
      <c r="A1317" s="1" t="s">
        <v>177</v>
      </c>
      <c r="B1317" s="1"/>
      <c r="C1317" s="2"/>
      <c r="D1317" s="1"/>
      <c r="E1317" s="1"/>
      <c r="H1317" s="1"/>
      <c r="K1317" s="1"/>
      <c r="M1317" s="1"/>
      <c r="N1317" s="1"/>
      <c r="O1317" s="1"/>
      <c r="T1317" s="1"/>
    </row>
    <row r="1318" spans="1:20" x14ac:dyDescent="0.3">
      <c r="A1318" s="1" t="s">
        <v>177</v>
      </c>
      <c r="B1318" s="1"/>
      <c r="C1318" s="2"/>
      <c r="D1318" s="1"/>
      <c r="E1318" s="1"/>
      <c r="H1318" s="1"/>
      <c r="K1318" s="1"/>
      <c r="M1318" s="1"/>
      <c r="N1318" s="1"/>
      <c r="O1318" s="1"/>
      <c r="T1318" s="1"/>
    </row>
    <row r="1319" spans="1:20" x14ac:dyDescent="0.3">
      <c r="A1319" s="1" t="s">
        <v>177</v>
      </c>
      <c r="B1319" s="1"/>
      <c r="C1319" s="2"/>
      <c r="D1319" s="1"/>
      <c r="E1319" s="1"/>
      <c r="H1319" s="1"/>
      <c r="K1319" s="1"/>
      <c r="M1319" s="1"/>
      <c r="N1319" s="1"/>
      <c r="O1319" s="1"/>
      <c r="T1319" s="1"/>
    </row>
    <row r="1320" spans="1:20" x14ac:dyDescent="0.3">
      <c r="A1320" s="1" t="s">
        <v>177</v>
      </c>
      <c r="B1320" s="1"/>
      <c r="C1320" s="2"/>
      <c r="D1320" s="1"/>
      <c r="E1320" s="1"/>
      <c r="H1320" s="1"/>
      <c r="K1320" s="1"/>
      <c r="M1320" s="1"/>
      <c r="N1320" s="1"/>
      <c r="O1320" s="1"/>
      <c r="T1320" s="1"/>
    </row>
    <row r="1321" spans="1:20" x14ac:dyDescent="0.3">
      <c r="A1321" s="1" t="s">
        <v>177</v>
      </c>
      <c r="B1321" s="1"/>
      <c r="C1321" s="2"/>
      <c r="D1321" s="1"/>
      <c r="E1321" s="1"/>
      <c r="H1321" s="1"/>
      <c r="K1321" s="1"/>
      <c r="M1321" s="1"/>
      <c r="N1321" s="1"/>
      <c r="O1321" s="1"/>
      <c r="T1321" s="1"/>
    </row>
    <row r="1322" spans="1:20" x14ac:dyDescent="0.3">
      <c r="A1322" s="1" t="s">
        <v>177</v>
      </c>
      <c r="B1322" s="1"/>
      <c r="C1322" s="2"/>
      <c r="D1322" s="1"/>
      <c r="E1322" s="1"/>
      <c r="H1322" s="1"/>
      <c r="K1322" s="1"/>
      <c r="M1322" s="1"/>
      <c r="N1322" s="1"/>
      <c r="O1322" s="1"/>
      <c r="T1322" s="1"/>
    </row>
    <row r="1323" spans="1:20" x14ac:dyDescent="0.3">
      <c r="A1323" s="1" t="s">
        <v>177</v>
      </c>
      <c r="B1323" s="1"/>
      <c r="C1323" s="2"/>
      <c r="D1323" s="1"/>
      <c r="E1323" s="1"/>
      <c r="H1323" s="1"/>
      <c r="K1323" s="1"/>
      <c r="M1323" s="1"/>
      <c r="N1323" s="1"/>
      <c r="O1323" s="1"/>
      <c r="T1323" s="1"/>
    </row>
    <row r="1324" spans="1:20" x14ac:dyDescent="0.3">
      <c r="A1324" s="1" t="s">
        <v>177</v>
      </c>
      <c r="B1324" s="1"/>
      <c r="C1324" s="2"/>
      <c r="D1324" s="1"/>
      <c r="E1324" s="1"/>
      <c r="H1324" s="1"/>
      <c r="K1324" s="1"/>
      <c r="M1324" s="1"/>
      <c r="N1324" s="1"/>
      <c r="O1324" s="1"/>
      <c r="T1324" s="1"/>
    </row>
    <row r="1325" spans="1:20" x14ac:dyDescent="0.3">
      <c r="A1325" s="1" t="s">
        <v>177</v>
      </c>
      <c r="B1325" s="1"/>
      <c r="C1325" s="2"/>
      <c r="D1325" s="1"/>
      <c r="E1325" s="1"/>
      <c r="H1325" s="1"/>
      <c r="K1325" s="1"/>
      <c r="M1325" s="1"/>
      <c r="N1325" s="1"/>
      <c r="O1325" s="1"/>
      <c r="T1325" s="1"/>
    </row>
    <row r="1326" spans="1:20" x14ac:dyDescent="0.3">
      <c r="A1326" s="1" t="s">
        <v>177</v>
      </c>
      <c r="B1326" s="1"/>
      <c r="C1326" s="2"/>
      <c r="D1326" s="1"/>
      <c r="E1326" s="1"/>
      <c r="H1326" s="1"/>
      <c r="K1326" s="1"/>
      <c r="M1326" s="1"/>
      <c r="N1326" s="1"/>
      <c r="O1326" s="1"/>
      <c r="T1326" s="1"/>
    </row>
    <row r="1327" spans="1:20" x14ac:dyDescent="0.3">
      <c r="A1327" s="1" t="s">
        <v>177</v>
      </c>
      <c r="B1327" s="1"/>
      <c r="C1327" s="2"/>
      <c r="D1327" s="1"/>
      <c r="E1327" s="1"/>
      <c r="H1327" s="1"/>
      <c r="K1327" s="1"/>
      <c r="M1327" s="1"/>
      <c r="N1327" s="1"/>
      <c r="O1327" s="1"/>
      <c r="T1327" s="1"/>
    </row>
    <row r="1328" spans="1:20" x14ac:dyDescent="0.3">
      <c r="A1328" s="1" t="s">
        <v>177</v>
      </c>
      <c r="B1328" s="1"/>
      <c r="C1328" s="2"/>
      <c r="D1328" s="1"/>
      <c r="E1328" s="1"/>
      <c r="H1328" s="1"/>
      <c r="K1328" s="1"/>
      <c r="M1328" s="1"/>
      <c r="N1328" s="1"/>
      <c r="O1328" s="1"/>
      <c r="T1328" s="1"/>
    </row>
    <row r="1329" spans="1:20" x14ac:dyDescent="0.3">
      <c r="A1329" s="1" t="s">
        <v>177</v>
      </c>
      <c r="B1329" s="1"/>
      <c r="C1329" s="2"/>
      <c r="D1329" s="1"/>
      <c r="E1329" s="1"/>
      <c r="H1329" s="1"/>
      <c r="K1329" s="1"/>
      <c r="M1329" s="1"/>
      <c r="N1329" s="1"/>
      <c r="O1329" s="1"/>
      <c r="T1329" s="1"/>
    </row>
    <row r="1330" spans="1:20" x14ac:dyDescent="0.3">
      <c r="A1330" s="1" t="s">
        <v>177</v>
      </c>
      <c r="B1330" s="1"/>
      <c r="C1330" s="2"/>
      <c r="D1330" s="1"/>
      <c r="E1330" s="1"/>
      <c r="H1330" s="1"/>
      <c r="K1330" s="1"/>
      <c r="M1330" s="1"/>
      <c r="N1330" s="1"/>
      <c r="O1330" s="1"/>
      <c r="T1330" s="1"/>
    </row>
    <row r="1331" spans="1:20" x14ac:dyDescent="0.3">
      <c r="A1331" s="1" t="s">
        <v>177</v>
      </c>
      <c r="B1331" s="1"/>
      <c r="C1331" s="2"/>
      <c r="D1331" s="1"/>
      <c r="E1331" s="1"/>
      <c r="H1331" s="1"/>
      <c r="K1331" s="1"/>
      <c r="M1331" s="1"/>
      <c r="N1331" s="1"/>
      <c r="O1331" s="1"/>
      <c r="T1331" s="1"/>
    </row>
    <row r="1332" spans="1:20" x14ac:dyDescent="0.3">
      <c r="A1332" s="1" t="s">
        <v>177</v>
      </c>
      <c r="B1332" s="1"/>
      <c r="C1332" s="2"/>
      <c r="D1332" s="1"/>
      <c r="E1332" s="1"/>
      <c r="H1332" s="1"/>
      <c r="K1332" s="1"/>
      <c r="M1332" s="1"/>
      <c r="N1332" s="1"/>
      <c r="O1332" s="1"/>
      <c r="T1332" s="1"/>
    </row>
    <row r="1333" spans="1:20" x14ac:dyDescent="0.3">
      <c r="A1333" s="1" t="s">
        <v>177</v>
      </c>
      <c r="B1333" s="1"/>
      <c r="C1333" s="2"/>
      <c r="D1333" s="1"/>
      <c r="E1333" s="1"/>
      <c r="H1333" s="1"/>
      <c r="K1333" s="1"/>
      <c r="M1333" s="1"/>
      <c r="N1333" s="1"/>
      <c r="O1333" s="1"/>
      <c r="T1333" s="1"/>
    </row>
    <row r="1334" spans="1:20" x14ac:dyDescent="0.3">
      <c r="A1334" s="1" t="s">
        <v>177</v>
      </c>
      <c r="B1334" s="1"/>
      <c r="C1334" s="2"/>
      <c r="D1334" s="1"/>
      <c r="E1334" s="1"/>
      <c r="H1334" s="1"/>
      <c r="K1334" s="1"/>
      <c r="M1334" s="1"/>
      <c r="N1334" s="1"/>
      <c r="O1334" s="1"/>
      <c r="T1334" s="1"/>
    </row>
    <row r="1335" spans="1:20" x14ac:dyDescent="0.3">
      <c r="A1335" s="1" t="s">
        <v>177</v>
      </c>
      <c r="B1335" s="1"/>
      <c r="C1335" s="2"/>
      <c r="D1335" s="1"/>
      <c r="E1335" s="1"/>
      <c r="H1335" s="1"/>
      <c r="K1335" s="1"/>
      <c r="M1335" s="1"/>
      <c r="N1335" s="1"/>
      <c r="O1335" s="1"/>
      <c r="T1335" s="1"/>
    </row>
    <row r="1336" spans="1:20" x14ac:dyDescent="0.3">
      <c r="A1336" s="1" t="s">
        <v>177</v>
      </c>
      <c r="B1336" s="1"/>
      <c r="C1336" s="2"/>
      <c r="D1336" s="1"/>
      <c r="E1336" s="1"/>
      <c r="H1336" s="1"/>
      <c r="K1336" s="1"/>
      <c r="M1336" s="1"/>
      <c r="N1336" s="1"/>
      <c r="O1336" s="1"/>
      <c r="T1336" s="1"/>
    </row>
    <row r="1337" spans="1:20" x14ac:dyDescent="0.3">
      <c r="A1337" s="1" t="s">
        <v>177</v>
      </c>
      <c r="B1337" s="1"/>
      <c r="C1337" s="2"/>
      <c r="D1337" s="1"/>
      <c r="E1337" s="1"/>
      <c r="H1337" s="1"/>
      <c r="K1337" s="1"/>
      <c r="M1337" s="1"/>
      <c r="N1337" s="1"/>
      <c r="O1337" s="1"/>
      <c r="T1337" s="1"/>
    </row>
    <row r="1338" spans="1:20" x14ac:dyDescent="0.3">
      <c r="A1338" s="1" t="s">
        <v>177</v>
      </c>
      <c r="B1338" s="1"/>
      <c r="C1338" s="2"/>
      <c r="D1338" s="1"/>
      <c r="E1338" s="1"/>
      <c r="H1338" s="1"/>
      <c r="K1338" s="1"/>
      <c r="M1338" s="1"/>
      <c r="N1338" s="1"/>
      <c r="O1338" s="1"/>
      <c r="T1338" s="1"/>
    </row>
    <row r="1339" spans="1:20" x14ac:dyDescent="0.3">
      <c r="A1339" s="1" t="s">
        <v>177</v>
      </c>
      <c r="B1339" s="1"/>
      <c r="C1339" s="2"/>
      <c r="D1339" s="1"/>
      <c r="E1339" s="1"/>
      <c r="H1339" s="1"/>
      <c r="K1339" s="1"/>
      <c r="M1339" s="1"/>
      <c r="N1339" s="1"/>
      <c r="O1339" s="1"/>
      <c r="T1339" s="1"/>
    </row>
    <row r="1340" spans="1:20" x14ac:dyDescent="0.3">
      <c r="A1340" s="1" t="s">
        <v>177</v>
      </c>
      <c r="B1340" s="1"/>
      <c r="C1340" s="2"/>
      <c r="D1340" s="1"/>
      <c r="E1340" s="1"/>
      <c r="H1340" s="1"/>
      <c r="K1340" s="1"/>
      <c r="M1340" s="1"/>
      <c r="N1340" s="1"/>
      <c r="O1340" s="1"/>
      <c r="T1340" s="1"/>
    </row>
    <row r="1341" spans="1:20" x14ac:dyDescent="0.3">
      <c r="A1341" s="1" t="s">
        <v>177</v>
      </c>
      <c r="B1341" s="1"/>
      <c r="C1341" s="2"/>
      <c r="D1341" s="1"/>
      <c r="E1341" s="1"/>
      <c r="H1341" s="1"/>
      <c r="K1341" s="1"/>
      <c r="M1341" s="1"/>
      <c r="N1341" s="1"/>
      <c r="O1341" s="1"/>
      <c r="T1341" s="1"/>
    </row>
    <row r="1342" spans="1:20" x14ac:dyDescent="0.3">
      <c r="A1342" s="1" t="s">
        <v>177</v>
      </c>
      <c r="B1342" s="1"/>
      <c r="C1342" s="2"/>
      <c r="D1342" s="1"/>
      <c r="E1342" s="1"/>
      <c r="H1342" s="1"/>
      <c r="K1342" s="1"/>
      <c r="M1342" s="1"/>
      <c r="N1342" s="1"/>
      <c r="O1342" s="1"/>
      <c r="T1342" s="1"/>
    </row>
    <row r="1343" spans="1:20" x14ac:dyDescent="0.3">
      <c r="A1343" s="1" t="s">
        <v>177</v>
      </c>
      <c r="B1343" s="1"/>
      <c r="C1343" s="2"/>
      <c r="D1343" s="1"/>
      <c r="E1343" s="1"/>
      <c r="H1343" s="1"/>
      <c r="K1343" s="1"/>
      <c r="M1343" s="1"/>
      <c r="N1343" s="1"/>
      <c r="O1343" s="1"/>
      <c r="T1343" s="1"/>
    </row>
    <row r="1344" spans="1:20" x14ac:dyDescent="0.3">
      <c r="A1344" s="1" t="s">
        <v>177</v>
      </c>
      <c r="B1344" s="1"/>
      <c r="C1344" s="2"/>
      <c r="D1344" s="1"/>
      <c r="E1344" s="1"/>
      <c r="H1344" s="1"/>
      <c r="K1344" s="1"/>
      <c r="M1344" s="1"/>
      <c r="N1344" s="1"/>
      <c r="O1344" s="1"/>
      <c r="T1344" s="1"/>
    </row>
    <row r="1345" spans="1:20" x14ac:dyDescent="0.3">
      <c r="A1345" s="1" t="s">
        <v>177</v>
      </c>
      <c r="B1345" s="1"/>
      <c r="C1345" s="2"/>
      <c r="D1345" s="1"/>
      <c r="E1345" s="1"/>
      <c r="H1345" s="1"/>
      <c r="K1345" s="1"/>
      <c r="M1345" s="1"/>
      <c r="N1345" s="1"/>
      <c r="O1345" s="1"/>
      <c r="T1345" s="1"/>
    </row>
    <row r="1346" spans="1:20" x14ac:dyDescent="0.3">
      <c r="A1346" s="1" t="s">
        <v>177</v>
      </c>
      <c r="B1346" s="1"/>
      <c r="C1346" s="2"/>
      <c r="D1346" s="1"/>
      <c r="E1346" s="1"/>
      <c r="H1346" s="1"/>
      <c r="K1346" s="1"/>
      <c r="M1346" s="1"/>
      <c r="N1346" s="1"/>
      <c r="O1346" s="1"/>
      <c r="T1346" s="1"/>
    </row>
    <row r="1347" spans="1:20" x14ac:dyDescent="0.3">
      <c r="A1347" s="1" t="s">
        <v>177</v>
      </c>
      <c r="B1347" s="1"/>
      <c r="C1347" s="2"/>
      <c r="D1347" s="1"/>
      <c r="E1347" s="1"/>
      <c r="H1347" s="1"/>
      <c r="K1347" s="1"/>
      <c r="M1347" s="1"/>
      <c r="N1347" s="1"/>
      <c r="O1347" s="1"/>
      <c r="T1347" s="1"/>
    </row>
    <row r="1348" spans="1:20" x14ac:dyDescent="0.3">
      <c r="A1348" s="1" t="s">
        <v>177</v>
      </c>
      <c r="B1348" s="1"/>
      <c r="C1348" s="2"/>
      <c r="D1348" s="1"/>
      <c r="E1348" s="1"/>
      <c r="H1348" s="1"/>
      <c r="K1348" s="1"/>
      <c r="M1348" s="1"/>
      <c r="N1348" s="1"/>
      <c r="O1348" s="1"/>
      <c r="T1348" s="1"/>
    </row>
    <row r="1349" spans="1:20" x14ac:dyDescent="0.3">
      <c r="A1349" s="1" t="s">
        <v>177</v>
      </c>
      <c r="B1349" s="1"/>
      <c r="C1349" s="2"/>
      <c r="D1349" s="1"/>
      <c r="E1349" s="1"/>
      <c r="H1349" s="1"/>
      <c r="K1349" s="1"/>
      <c r="M1349" s="1"/>
      <c r="N1349" s="1"/>
      <c r="O1349" s="1"/>
      <c r="T1349" s="1"/>
    </row>
    <row r="1350" spans="1:20" x14ac:dyDescent="0.3">
      <c r="A1350" s="1" t="s">
        <v>177</v>
      </c>
      <c r="B1350" s="1"/>
      <c r="C1350" s="2"/>
      <c r="D1350" s="1"/>
      <c r="E1350" s="1"/>
      <c r="H1350" s="1"/>
      <c r="K1350" s="1"/>
      <c r="M1350" s="1"/>
      <c r="N1350" s="1"/>
      <c r="O1350" s="1"/>
      <c r="T1350" s="1"/>
    </row>
    <row r="1351" spans="1:20" x14ac:dyDescent="0.3">
      <c r="A1351" s="1" t="s">
        <v>177</v>
      </c>
      <c r="B1351" s="1"/>
      <c r="C1351" s="2"/>
      <c r="D1351" s="1"/>
      <c r="E1351" s="1"/>
      <c r="H1351" s="1"/>
      <c r="K1351" s="1"/>
      <c r="M1351" s="1"/>
      <c r="N1351" s="1"/>
      <c r="O1351" s="1"/>
      <c r="T1351" s="1"/>
    </row>
    <row r="1352" spans="1:20" x14ac:dyDescent="0.3">
      <c r="A1352" s="1" t="s">
        <v>177</v>
      </c>
      <c r="B1352" s="1"/>
      <c r="C1352" s="2"/>
      <c r="D1352" s="1"/>
      <c r="E1352" s="1"/>
      <c r="H1352" s="1"/>
      <c r="K1352" s="1"/>
      <c r="M1352" s="1"/>
      <c r="N1352" s="1"/>
      <c r="O1352" s="1"/>
      <c r="T1352" s="1"/>
    </row>
    <row r="1353" spans="1:20" x14ac:dyDescent="0.3">
      <c r="A1353" s="1" t="s">
        <v>177</v>
      </c>
      <c r="B1353" s="1"/>
      <c r="C1353" s="2"/>
      <c r="D1353" s="1"/>
      <c r="E1353" s="1"/>
      <c r="H1353" s="1"/>
      <c r="K1353" s="1"/>
      <c r="M1353" s="1"/>
      <c r="N1353" s="1"/>
      <c r="O1353" s="1"/>
      <c r="T1353" s="1"/>
    </row>
    <row r="1354" spans="1:20" x14ac:dyDescent="0.3">
      <c r="A1354" s="1" t="s">
        <v>177</v>
      </c>
      <c r="B1354" s="1"/>
      <c r="C1354" s="2"/>
      <c r="D1354" s="1"/>
      <c r="E1354" s="1"/>
      <c r="H1354" s="1"/>
      <c r="K1354" s="1"/>
      <c r="M1354" s="1"/>
      <c r="N1354" s="1"/>
      <c r="O1354" s="1"/>
      <c r="T1354" s="1"/>
    </row>
    <row r="1355" spans="1:20" x14ac:dyDescent="0.3">
      <c r="A1355" s="1" t="s">
        <v>177</v>
      </c>
      <c r="B1355" s="1"/>
      <c r="C1355" s="2"/>
      <c r="D1355" s="1"/>
      <c r="E1355" s="1"/>
      <c r="H1355" s="1"/>
      <c r="K1355" s="1"/>
      <c r="M1355" s="1"/>
      <c r="N1355" s="1"/>
      <c r="O1355" s="1"/>
      <c r="T1355" s="1"/>
    </row>
    <row r="1356" spans="1:20" x14ac:dyDescent="0.3">
      <c r="A1356" s="1" t="s">
        <v>177</v>
      </c>
      <c r="B1356" s="1"/>
      <c r="C1356" s="2"/>
      <c r="D1356" s="1"/>
      <c r="E1356" s="1"/>
      <c r="H1356" s="1"/>
      <c r="K1356" s="1"/>
      <c r="M1356" s="1"/>
      <c r="N1356" s="1"/>
      <c r="O1356" s="1"/>
      <c r="T1356" s="1"/>
    </row>
    <row r="1357" spans="1:20" x14ac:dyDescent="0.3">
      <c r="A1357" s="1" t="s">
        <v>177</v>
      </c>
      <c r="B1357" s="1"/>
      <c r="C1357" s="2"/>
      <c r="D1357" s="1"/>
      <c r="E1357" s="1"/>
      <c r="H1357" s="1"/>
      <c r="K1357" s="1"/>
      <c r="M1357" s="1"/>
      <c r="N1357" s="1"/>
      <c r="O1357" s="1"/>
      <c r="T1357" s="1"/>
    </row>
    <row r="1358" spans="1:20" x14ac:dyDescent="0.3">
      <c r="A1358" s="1" t="s">
        <v>177</v>
      </c>
      <c r="B1358" s="1"/>
      <c r="C1358" s="2"/>
      <c r="D1358" s="1"/>
      <c r="E1358" s="1"/>
      <c r="H1358" s="1"/>
      <c r="K1358" s="1"/>
      <c r="M1358" s="1"/>
      <c r="N1358" s="1"/>
      <c r="O1358" s="1"/>
      <c r="T1358" s="1"/>
    </row>
    <row r="1359" spans="1:20" x14ac:dyDescent="0.3">
      <c r="A1359" s="1" t="s">
        <v>177</v>
      </c>
      <c r="B1359" s="1"/>
      <c r="C1359" s="2"/>
      <c r="D1359" s="1"/>
      <c r="E1359" s="1"/>
      <c r="H1359" s="1"/>
      <c r="K1359" s="1"/>
      <c r="M1359" s="1"/>
      <c r="N1359" s="1"/>
      <c r="O1359" s="1"/>
      <c r="T1359" s="1"/>
    </row>
    <row r="1360" spans="1:20" x14ac:dyDescent="0.3">
      <c r="A1360" s="1" t="s">
        <v>177</v>
      </c>
      <c r="B1360" s="1"/>
      <c r="C1360" s="2"/>
      <c r="D1360" s="1"/>
      <c r="E1360" s="1"/>
      <c r="H1360" s="1"/>
      <c r="K1360" s="1"/>
      <c r="M1360" s="1"/>
      <c r="N1360" s="1"/>
      <c r="O1360" s="1"/>
      <c r="T1360" s="1"/>
    </row>
    <row r="1361" spans="1:20" x14ac:dyDescent="0.3">
      <c r="A1361" s="1" t="s">
        <v>177</v>
      </c>
      <c r="B1361" s="1"/>
      <c r="C1361" s="2"/>
      <c r="D1361" s="1"/>
      <c r="E1361" s="1"/>
      <c r="H1361" s="1"/>
      <c r="K1361" s="1"/>
      <c r="M1361" s="1"/>
      <c r="N1361" s="1"/>
      <c r="O1361" s="1"/>
      <c r="T1361" s="1"/>
    </row>
    <row r="1362" spans="1:20" x14ac:dyDescent="0.3">
      <c r="A1362" s="1" t="s">
        <v>177</v>
      </c>
      <c r="B1362" s="1"/>
      <c r="C1362" s="2"/>
      <c r="D1362" s="1"/>
      <c r="E1362" s="1"/>
      <c r="H1362" s="1"/>
      <c r="K1362" s="1"/>
      <c r="M1362" s="1"/>
      <c r="N1362" s="1"/>
      <c r="O1362" s="1"/>
      <c r="T1362" s="1"/>
    </row>
    <row r="1363" spans="1:20" x14ac:dyDescent="0.3">
      <c r="A1363" s="1" t="s">
        <v>177</v>
      </c>
      <c r="B1363" s="1"/>
      <c r="C1363" s="2"/>
      <c r="D1363" s="1"/>
      <c r="E1363" s="1"/>
      <c r="H1363" s="1"/>
      <c r="K1363" s="1"/>
      <c r="M1363" s="1"/>
      <c r="N1363" s="1"/>
      <c r="O1363" s="1"/>
      <c r="T1363" s="1"/>
    </row>
    <row r="1364" spans="1:20" x14ac:dyDescent="0.3">
      <c r="A1364" s="1" t="s">
        <v>177</v>
      </c>
      <c r="B1364" s="1"/>
      <c r="C1364" s="2"/>
      <c r="D1364" s="1"/>
      <c r="E1364" s="1"/>
      <c r="H1364" s="1"/>
      <c r="K1364" s="1"/>
      <c r="M1364" s="1"/>
      <c r="N1364" s="1"/>
      <c r="O1364" s="1"/>
      <c r="T1364" s="1"/>
    </row>
    <row r="1365" spans="1:20" x14ac:dyDescent="0.3">
      <c r="A1365" s="1" t="s">
        <v>177</v>
      </c>
      <c r="B1365" s="1"/>
      <c r="C1365" s="2"/>
      <c r="D1365" s="1"/>
      <c r="E1365" s="1"/>
      <c r="H1365" s="1"/>
      <c r="K1365" s="1"/>
      <c r="M1365" s="1"/>
      <c r="N1365" s="1"/>
      <c r="O1365" s="1"/>
      <c r="T1365" s="1"/>
    </row>
    <row r="1366" spans="1:20" x14ac:dyDescent="0.3">
      <c r="A1366" s="1" t="s">
        <v>177</v>
      </c>
      <c r="B1366" s="1"/>
      <c r="C1366" s="2"/>
      <c r="D1366" s="1"/>
      <c r="E1366" s="1"/>
      <c r="H1366" s="1"/>
      <c r="K1366" s="1"/>
      <c r="M1366" s="1"/>
      <c r="N1366" s="1"/>
      <c r="O1366" s="1"/>
      <c r="T1366" s="1"/>
    </row>
    <row r="1367" spans="1:20" x14ac:dyDescent="0.3">
      <c r="A1367" s="1" t="s">
        <v>177</v>
      </c>
      <c r="B1367" s="1"/>
      <c r="C1367" s="2"/>
      <c r="D1367" s="1"/>
      <c r="E1367" s="1"/>
      <c r="H1367" s="1"/>
      <c r="K1367" s="1"/>
      <c r="M1367" s="1"/>
      <c r="N1367" s="1"/>
      <c r="O1367" s="1"/>
      <c r="T1367" s="1"/>
    </row>
    <row r="1368" spans="1:20" x14ac:dyDescent="0.3">
      <c r="A1368" s="1" t="s">
        <v>177</v>
      </c>
      <c r="B1368" s="1"/>
      <c r="C1368" s="2"/>
      <c r="D1368" s="1"/>
      <c r="E1368" s="1"/>
      <c r="H1368" s="1"/>
      <c r="K1368" s="1"/>
      <c r="M1368" s="1"/>
      <c r="N1368" s="1"/>
      <c r="O1368" s="1"/>
      <c r="T1368" s="1"/>
    </row>
    <row r="1369" spans="1:20" x14ac:dyDescent="0.3">
      <c r="A1369" s="1" t="s">
        <v>177</v>
      </c>
      <c r="B1369" s="1"/>
      <c r="C1369" s="2"/>
      <c r="D1369" s="1"/>
      <c r="E1369" s="1"/>
      <c r="H1369" s="1"/>
      <c r="K1369" s="1"/>
      <c r="M1369" s="1"/>
      <c r="N1369" s="1"/>
      <c r="O1369" s="1"/>
      <c r="T1369" s="1"/>
    </row>
    <row r="1370" spans="1:20" x14ac:dyDescent="0.3">
      <c r="A1370" s="1" t="s">
        <v>177</v>
      </c>
      <c r="B1370" s="1"/>
      <c r="C1370" s="2"/>
      <c r="D1370" s="1"/>
      <c r="E1370" s="1"/>
      <c r="H1370" s="1"/>
      <c r="K1370" s="1"/>
      <c r="M1370" s="1"/>
      <c r="N1370" s="1"/>
      <c r="O1370" s="1"/>
      <c r="T1370" s="1"/>
    </row>
    <row r="1371" spans="1:20" x14ac:dyDescent="0.3">
      <c r="A1371" s="1" t="s">
        <v>177</v>
      </c>
      <c r="B1371" s="1"/>
      <c r="C1371" s="2"/>
      <c r="D1371" s="1"/>
      <c r="E1371" s="1"/>
      <c r="H1371" s="1"/>
      <c r="K1371" s="1"/>
      <c r="M1371" s="1"/>
      <c r="N1371" s="1"/>
      <c r="O1371" s="1"/>
      <c r="T1371" s="1"/>
    </row>
    <row r="1372" spans="1:20" x14ac:dyDescent="0.3">
      <c r="A1372" s="1" t="s">
        <v>177</v>
      </c>
      <c r="B1372" s="1"/>
      <c r="C1372" s="2"/>
      <c r="D1372" s="1"/>
      <c r="E1372" s="1"/>
      <c r="H1372" s="1"/>
      <c r="K1372" s="1"/>
      <c r="M1372" s="1"/>
      <c r="N1372" s="1"/>
      <c r="O1372" s="1"/>
      <c r="T1372" s="1"/>
    </row>
    <row r="1373" spans="1:20" x14ac:dyDescent="0.3">
      <c r="A1373" s="1" t="s">
        <v>177</v>
      </c>
      <c r="B1373" s="1"/>
      <c r="C1373" s="2"/>
      <c r="D1373" s="1"/>
      <c r="E1373" s="1"/>
      <c r="H1373" s="1"/>
      <c r="K1373" s="1"/>
      <c r="M1373" s="1"/>
      <c r="N1373" s="1"/>
      <c r="O1373" s="1"/>
      <c r="T1373" s="1"/>
    </row>
    <row r="1374" spans="1:20" x14ac:dyDescent="0.3">
      <c r="A1374" s="1" t="s">
        <v>177</v>
      </c>
      <c r="B1374" s="1"/>
      <c r="C1374" s="2"/>
      <c r="D1374" s="1"/>
      <c r="E1374" s="1"/>
      <c r="H1374" s="1"/>
      <c r="K1374" s="1"/>
      <c r="M1374" s="1"/>
      <c r="N1374" s="1"/>
      <c r="O1374" s="1"/>
      <c r="T1374" s="1"/>
    </row>
    <row r="1375" spans="1:20" x14ac:dyDescent="0.3">
      <c r="A1375" s="1" t="s">
        <v>177</v>
      </c>
      <c r="B1375" s="1"/>
      <c r="C1375" s="2"/>
      <c r="D1375" s="1"/>
      <c r="E1375" s="1"/>
      <c r="H1375" s="1"/>
      <c r="K1375" s="1"/>
      <c r="M1375" s="1"/>
      <c r="N1375" s="1"/>
      <c r="O1375" s="1"/>
      <c r="T1375" s="1"/>
    </row>
    <row r="1376" spans="1:20" x14ac:dyDescent="0.3">
      <c r="A1376" s="1" t="s">
        <v>177</v>
      </c>
      <c r="B1376" s="1"/>
      <c r="C1376" s="2"/>
      <c r="D1376" s="1"/>
      <c r="E1376" s="1"/>
      <c r="H1376" s="1"/>
      <c r="K1376" s="1"/>
      <c r="M1376" s="1"/>
      <c r="N1376" s="1"/>
      <c r="O1376" s="1"/>
      <c r="T1376" s="1"/>
    </row>
    <row r="1377" spans="1:20" x14ac:dyDescent="0.3">
      <c r="A1377" s="1" t="s">
        <v>177</v>
      </c>
      <c r="B1377" s="1"/>
      <c r="C1377" s="2"/>
      <c r="D1377" s="1"/>
      <c r="E1377" s="1"/>
      <c r="H1377" s="1"/>
      <c r="K1377" s="1"/>
      <c r="M1377" s="1"/>
      <c r="N1377" s="1"/>
      <c r="O1377" s="1"/>
      <c r="T1377" s="1"/>
    </row>
    <row r="1378" spans="1:20" x14ac:dyDescent="0.3">
      <c r="A1378" s="1" t="s">
        <v>177</v>
      </c>
      <c r="B1378" s="1"/>
      <c r="C1378" s="2"/>
      <c r="D1378" s="1"/>
      <c r="E1378" s="1"/>
      <c r="H1378" s="1"/>
      <c r="K1378" s="1"/>
      <c r="M1378" s="1"/>
      <c r="N1378" s="1"/>
      <c r="O1378" s="1"/>
      <c r="T1378" s="1"/>
    </row>
    <row r="1379" spans="1:20" x14ac:dyDescent="0.3">
      <c r="A1379" s="1" t="s">
        <v>177</v>
      </c>
      <c r="B1379" s="1"/>
      <c r="C1379" s="2"/>
      <c r="D1379" s="1"/>
      <c r="E1379" s="1"/>
      <c r="H1379" s="1"/>
      <c r="K1379" s="1"/>
      <c r="M1379" s="1"/>
      <c r="N1379" s="1"/>
      <c r="O1379" s="1"/>
      <c r="T1379" s="1"/>
    </row>
    <row r="1380" spans="1:20" x14ac:dyDescent="0.3">
      <c r="A1380" s="1" t="s">
        <v>177</v>
      </c>
      <c r="B1380" s="1"/>
      <c r="C1380" s="2"/>
      <c r="D1380" s="1"/>
      <c r="E1380" s="1"/>
      <c r="H1380" s="1"/>
      <c r="K1380" s="1"/>
      <c r="M1380" s="1"/>
      <c r="N1380" s="1"/>
      <c r="O1380" s="1"/>
      <c r="T1380" s="1"/>
    </row>
    <row r="1381" spans="1:20" x14ac:dyDescent="0.3">
      <c r="A1381" s="1" t="s">
        <v>177</v>
      </c>
      <c r="B1381" s="1"/>
      <c r="C1381" s="2"/>
      <c r="D1381" s="1"/>
      <c r="E1381" s="1"/>
      <c r="H1381" s="1"/>
      <c r="K1381" s="1"/>
      <c r="M1381" s="1"/>
      <c r="N1381" s="1"/>
      <c r="O1381" s="1"/>
      <c r="T1381" s="1"/>
    </row>
    <row r="1382" spans="1:20" x14ac:dyDescent="0.3">
      <c r="A1382" s="1" t="s">
        <v>177</v>
      </c>
      <c r="B1382" s="1"/>
      <c r="C1382" s="2"/>
      <c r="D1382" s="1"/>
      <c r="E1382" s="1"/>
      <c r="H1382" s="1"/>
      <c r="K1382" s="1"/>
      <c r="M1382" s="1"/>
      <c r="N1382" s="1"/>
      <c r="O1382" s="1"/>
      <c r="T1382" s="1"/>
    </row>
    <row r="1383" spans="1:20" x14ac:dyDescent="0.3">
      <c r="A1383" s="1" t="s">
        <v>177</v>
      </c>
      <c r="B1383" s="1"/>
      <c r="C1383" s="2"/>
      <c r="D1383" s="1"/>
      <c r="E1383" s="1"/>
      <c r="H1383" s="1"/>
      <c r="K1383" s="1"/>
      <c r="M1383" s="1"/>
      <c r="N1383" s="1"/>
      <c r="O1383" s="1"/>
      <c r="T1383" s="1"/>
    </row>
    <row r="1384" spans="1:20" x14ac:dyDescent="0.3">
      <c r="A1384" s="1" t="s">
        <v>177</v>
      </c>
      <c r="B1384" s="1"/>
      <c r="C1384" s="2"/>
      <c r="D1384" s="1"/>
      <c r="E1384" s="1"/>
      <c r="H1384" s="1"/>
      <c r="K1384" s="1"/>
      <c r="M1384" s="1"/>
      <c r="N1384" s="1"/>
      <c r="O1384" s="1"/>
      <c r="T1384" s="1"/>
    </row>
    <row r="1385" spans="1:20" x14ac:dyDescent="0.3">
      <c r="A1385" s="1" t="s">
        <v>177</v>
      </c>
      <c r="B1385" s="1"/>
      <c r="C1385" s="2"/>
      <c r="D1385" s="1"/>
      <c r="E1385" s="1"/>
      <c r="H1385" s="1"/>
      <c r="K1385" s="1"/>
      <c r="M1385" s="1"/>
      <c r="N1385" s="1"/>
      <c r="O1385" s="1"/>
      <c r="T1385" s="1"/>
    </row>
    <row r="1386" spans="1:20" x14ac:dyDescent="0.3">
      <c r="A1386" s="1" t="s">
        <v>177</v>
      </c>
      <c r="B1386" s="1"/>
      <c r="C1386" s="2"/>
      <c r="D1386" s="1"/>
      <c r="E1386" s="1"/>
      <c r="H1386" s="1"/>
      <c r="K1386" s="1"/>
      <c r="M1386" s="1"/>
      <c r="N1386" s="1"/>
      <c r="O1386" s="1"/>
      <c r="T1386" s="1"/>
    </row>
    <row r="1387" spans="1:20" x14ac:dyDescent="0.3">
      <c r="A1387" s="1" t="s">
        <v>177</v>
      </c>
      <c r="B1387" s="1"/>
      <c r="C1387" s="2"/>
      <c r="D1387" s="1"/>
      <c r="E1387" s="1"/>
      <c r="H1387" s="1"/>
      <c r="K1387" s="1"/>
      <c r="M1387" s="1"/>
      <c r="N1387" s="1"/>
      <c r="O1387" s="1"/>
      <c r="T1387" s="1"/>
    </row>
    <row r="1388" spans="1:20" x14ac:dyDescent="0.3">
      <c r="A1388" s="1" t="s">
        <v>177</v>
      </c>
      <c r="B1388" s="1"/>
      <c r="C1388" s="2"/>
      <c r="D1388" s="1"/>
      <c r="E1388" s="1"/>
      <c r="H1388" s="1"/>
      <c r="K1388" s="1"/>
      <c r="M1388" s="1"/>
      <c r="N1388" s="1"/>
      <c r="O1388" s="1"/>
      <c r="T1388" s="1"/>
    </row>
    <row r="1389" spans="1:20" x14ac:dyDescent="0.3">
      <c r="A1389" s="1" t="s">
        <v>177</v>
      </c>
      <c r="B1389" s="1"/>
      <c r="C1389" s="2"/>
      <c r="D1389" s="1"/>
      <c r="E1389" s="1"/>
      <c r="H1389" s="1"/>
      <c r="K1389" s="1"/>
      <c r="M1389" s="1"/>
      <c r="N1389" s="1"/>
      <c r="O1389" s="1"/>
      <c r="T1389" s="1"/>
    </row>
    <row r="1390" spans="1:20" x14ac:dyDescent="0.3">
      <c r="A1390" s="1" t="s">
        <v>177</v>
      </c>
      <c r="B1390" s="1"/>
      <c r="C1390" s="2"/>
      <c r="D1390" s="1"/>
      <c r="E1390" s="1"/>
      <c r="H1390" s="1"/>
      <c r="K1390" s="1"/>
      <c r="M1390" s="1"/>
      <c r="N1390" s="1"/>
      <c r="O1390" s="1"/>
      <c r="T1390" s="1"/>
    </row>
    <row r="1391" spans="1:20" x14ac:dyDescent="0.3">
      <c r="A1391" s="1" t="s">
        <v>177</v>
      </c>
      <c r="B1391" s="1"/>
      <c r="C1391" s="2"/>
      <c r="D1391" s="1"/>
      <c r="E1391" s="1"/>
      <c r="H1391" s="1"/>
      <c r="K1391" s="1"/>
      <c r="M1391" s="1"/>
      <c r="N1391" s="1"/>
      <c r="O1391" s="1"/>
      <c r="T1391" s="1"/>
    </row>
    <row r="1392" spans="1:20" x14ac:dyDescent="0.3">
      <c r="A1392" s="1" t="s">
        <v>177</v>
      </c>
      <c r="B1392" s="1"/>
      <c r="C1392" s="2"/>
      <c r="D1392" s="1"/>
      <c r="E1392" s="1"/>
      <c r="H1392" s="1"/>
      <c r="K1392" s="1"/>
      <c r="M1392" s="1"/>
      <c r="N1392" s="1"/>
      <c r="O1392" s="1"/>
      <c r="T1392" s="1"/>
    </row>
    <row r="1393" spans="1:21" x14ac:dyDescent="0.3">
      <c r="A1393" s="1" t="s">
        <v>177</v>
      </c>
      <c r="B1393" s="1"/>
      <c r="C1393" s="2"/>
      <c r="D1393" s="1"/>
      <c r="E1393" s="1"/>
      <c r="H1393" s="1"/>
      <c r="K1393" s="1"/>
      <c r="M1393" s="1"/>
      <c r="N1393" s="1"/>
      <c r="O1393" s="1"/>
      <c r="T1393" s="1"/>
    </row>
    <row r="1394" spans="1:21" x14ac:dyDescent="0.3">
      <c r="A1394" s="1" t="s">
        <v>177</v>
      </c>
      <c r="B1394" s="1"/>
      <c r="C1394" s="2"/>
      <c r="D1394" s="1"/>
      <c r="E1394" s="1"/>
      <c r="H1394" s="1"/>
      <c r="K1394" s="1"/>
      <c r="M1394" s="1"/>
      <c r="N1394" s="1"/>
      <c r="O1394" s="1"/>
      <c r="T1394" s="1"/>
    </row>
    <row r="1395" spans="1:21" x14ac:dyDescent="0.3">
      <c r="A1395" s="1" t="s">
        <v>177</v>
      </c>
      <c r="B1395" s="1"/>
      <c r="C1395" s="2"/>
      <c r="D1395" s="1"/>
      <c r="E1395" s="1"/>
      <c r="H1395" s="1"/>
      <c r="K1395" s="1"/>
      <c r="M1395" s="1"/>
      <c r="N1395" s="1"/>
      <c r="O1395" s="1"/>
      <c r="T1395" s="1"/>
    </row>
    <row r="1396" spans="1:21" x14ac:dyDescent="0.3">
      <c r="A1396" s="1" t="s">
        <v>177</v>
      </c>
      <c r="B1396" s="1"/>
      <c r="C1396" s="2"/>
      <c r="D1396" s="1"/>
      <c r="E1396" s="1"/>
      <c r="H1396" s="1"/>
      <c r="K1396" s="1"/>
      <c r="M1396" s="1"/>
      <c r="N1396" s="1"/>
      <c r="O1396" s="1"/>
      <c r="T1396" s="1"/>
    </row>
    <row r="1397" spans="1:21" x14ac:dyDescent="0.3">
      <c r="A1397" s="1" t="s">
        <v>177</v>
      </c>
      <c r="B1397" s="1"/>
      <c r="C1397" s="2"/>
      <c r="D1397" s="1"/>
      <c r="E1397" s="1"/>
      <c r="H1397" s="1"/>
      <c r="K1397" s="1"/>
      <c r="M1397" s="1"/>
      <c r="N1397" s="1"/>
      <c r="O1397" s="1"/>
      <c r="T1397" s="1"/>
    </row>
    <row r="1398" spans="1:21" x14ac:dyDescent="0.3">
      <c r="A1398" s="1" t="s">
        <v>177</v>
      </c>
      <c r="B1398" s="1"/>
      <c r="C1398" s="2"/>
      <c r="D1398" s="1"/>
      <c r="E1398" s="1"/>
      <c r="H1398" s="1"/>
      <c r="K1398" s="1"/>
      <c r="M1398" s="1"/>
      <c r="N1398" s="1"/>
      <c r="O1398" s="1"/>
      <c r="T1398" s="1"/>
    </row>
    <row r="1399" spans="1:21" x14ac:dyDescent="0.3">
      <c r="A1399" s="1" t="s">
        <v>177</v>
      </c>
      <c r="B1399" s="1"/>
      <c r="C1399" s="2"/>
      <c r="D1399" s="1"/>
      <c r="E1399" s="1"/>
      <c r="H1399" s="1"/>
      <c r="K1399" s="1"/>
      <c r="M1399" s="1"/>
      <c r="N1399" s="1"/>
      <c r="O1399" s="1"/>
      <c r="T1399" s="1"/>
    </row>
    <row r="1400" spans="1:21" x14ac:dyDescent="0.3">
      <c r="A1400" s="1" t="s">
        <v>177</v>
      </c>
      <c r="B1400" s="1"/>
      <c r="C1400" s="2"/>
      <c r="D1400" s="1"/>
      <c r="E1400" s="1"/>
      <c r="H1400" s="1"/>
      <c r="K1400" s="1"/>
      <c r="M1400" s="1"/>
      <c r="N1400" s="1"/>
      <c r="O1400" s="1"/>
      <c r="T1400" s="1"/>
    </row>
    <row r="1401" spans="1:21" x14ac:dyDescent="0.3">
      <c r="A1401" s="1" t="s">
        <v>177</v>
      </c>
      <c r="B1401" s="1"/>
      <c r="C1401" s="2"/>
      <c r="D1401" s="1"/>
      <c r="E1401" s="1"/>
      <c r="H1401" s="1"/>
      <c r="K1401" s="1"/>
      <c r="M1401" s="1"/>
      <c r="N1401" s="1"/>
      <c r="O1401" s="1"/>
      <c r="T1401" s="1"/>
    </row>
    <row r="1402" spans="1:21" x14ac:dyDescent="0.3">
      <c r="A1402" s="1" t="s">
        <v>177</v>
      </c>
      <c r="B1402" s="1"/>
      <c r="C1402" s="2"/>
      <c r="D1402" s="1"/>
      <c r="E1402" s="1"/>
      <c r="H1402" s="1"/>
      <c r="K1402" s="1"/>
      <c r="M1402" s="1"/>
      <c r="N1402" s="1"/>
      <c r="O1402" s="1"/>
      <c r="T1402" s="1"/>
    </row>
    <row r="1403" spans="1:21" x14ac:dyDescent="0.3">
      <c r="A1403" s="1" t="s">
        <v>177</v>
      </c>
      <c r="B1403" s="1"/>
      <c r="C1403" s="2"/>
      <c r="D1403" s="1"/>
      <c r="E1403" s="1"/>
      <c r="H1403" s="1"/>
      <c r="K1403" s="1"/>
      <c r="M1403" s="1"/>
      <c r="N1403" s="1"/>
      <c r="O1403" s="1"/>
      <c r="T1403" s="1"/>
    </row>
    <row r="1404" spans="1:21" x14ac:dyDescent="0.3">
      <c r="A1404" s="1" t="s">
        <v>177</v>
      </c>
      <c r="B1404" s="1"/>
      <c r="C1404" s="2"/>
      <c r="D1404" s="1"/>
      <c r="E1404" s="1"/>
      <c r="H1404" s="1"/>
      <c r="K1404" s="1"/>
      <c r="M1404" s="1"/>
      <c r="N1404" s="1"/>
      <c r="O1404" s="1"/>
      <c r="T1404" s="1"/>
    </row>
    <row r="1405" spans="1:21" x14ac:dyDescent="0.3">
      <c r="A1405" s="1" t="s">
        <v>177</v>
      </c>
      <c r="B1405" s="1"/>
      <c r="C1405" s="2"/>
      <c r="D1405" s="1"/>
      <c r="E1405" s="1"/>
      <c r="H1405" s="1"/>
      <c r="K1405" s="1"/>
      <c r="M1405" s="1"/>
      <c r="N1405" s="1"/>
      <c r="O1405" s="1"/>
      <c r="T1405" s="1"/>
    </row>
    <row r="1406" spans="1:21" x14ac:dyDescent="0.3">
      <c r="A1406" s="1" t="s">
        <v>177</v>
      </c>
      <c r="B1406" s="1"/>
      <c r="C1406" s="2"/>
      <c r="D1406" s="1"/>
      <c r="E1406" s="1"/>
      <c r="H1406" s="1"/>
      <c r="K1406" s="1"/>
      <c r="M1406" s="1"/>
      <c r="N1406" s="1"/>
      <c r="O1406" s="1"/>
      <c r="T1406" s="1"/>
    </row>
    <row r="1407" spans="1:21" x14ac:dyDescent="0.3">
      <c r="A1407" s="1" t="s">
        <v>177</v>
      </c>
      <c r="B1407" s="1"/>
      <c r="C1407" s="2"/>
      <c r="D1407" s="1"/>
      <c r="E1407" s="1"/>
      <c r="H1407" s="1"/>
      <c r="K1407" s="1"/>
      <c r="M1407" s="1"/>
      <c r="N1407" s="1"/>
      <c r="O1407" s="1"/>
      <c r="T1407" s="1"/>
    </row>
    <row r="1408" spans="1:21" x14ac:dyDescent="0.3">
      <c r="A1408" s="1" t="s">
        <v>15</v>
      </c>
      <c r="B1408" s="1" t="s">
        <v>16</v>
      </c>
      <c r="C1408" s="2">
        <v>44927</v>
      </c>
      <c r="D1408" s="1" t="s">
        <v>17</v>
      </c>
      <c r="E1408" s="1" t="s">
        <v>18</v>
      </c>
      <c r="F1408">
        <v>5227.8100000000004</v>
      </c>
      <c r="G1408">
        <v>38</v>
      </c>
      <c r="H1408" s="1" t="s">
        <v>19</v>
      </c>
      <c r="I1408">
        <v>4635.2299999999996</v>
      </c>
      <c r="J1408">
        <v>5075.4399999999996</v>
      </c>
      <c r="K1408" s="1" t="s">
        <v>20</v>
      </c>
      <c r="L1408">
        <v>0.05</v>
      </c>
      <c r="M1408" s="1" t="s">
        <v>21</v>
      </c>
      <c r="N1408" s="1" t="s">
        <v>22</v>
      </c>
      <c r="O1408" s="1" t="s">
        <v>23</v>
      </c>
      <c r="P1408">
        <v>176138.74</v>
      </c>
      <c r="Q1408">
        <v>2023</v>
      </c>
      <c r="R1408">
        <v>183223.38399999996</v>
      </c>
      <c r="S1408">
        <v>7084.6439999999711</v>
      </c>
      <c r="T1408" s="1" t="s">
        <v>163</v>
      </c>
      <c r="U1408">
        <v>3.8666702062439703E-2</v>
      </c>
    </row>
    <row r="1409" spans="1:21" x14ac:dyDescent="0.3">
      <c r="A1409" s="1" t="s">
        <v>15</v>
      </c>
      <c r="B1409" s="1" t="s">
        <v>24</v>
      </c>
      <c r="C1409" s="2">
        <v>44927</v>
      </c>
      <c r="D1409" s="1" t="s">
        <v>25</v>
      </c>
      <c r="E1409" s="1" t="s">
        <v>18</v>
      </c>
      <c r="F1409">
        <v>8130.13</v>
      </c>
      <c r="G1409">
        <v>35</v>
      </c>
      <c r="H1409" s="1" t="s">
        <v>19</v>
      </c>
      <c r="I1409">
        <v>4071.01</v>
      </c>
      <c r="J1409">
        <v>4304.7</v>
      </c>
      <c r="K1409" s="1" t="s">
        <v>26</v>
      </c>
      <c r="L1409">
        <v>0.14000000000000001</v>
      </c>
      <c r="M1409" s="1" t="s">
        <v>27</v>
      </c>
      <c r="N1409" s="1" t="s">
        <v>22</v>
      </c>
      <c r="O1409" s="1" t="s">
        <v>28</v>
      </c>
      <c r="P1409">
        <v>142485.35</v>
      </c>
      <c r="Q1409">
        <v>2023</v>
      </c>
      <c r="R1409">
        <v>129571.47</v>
      </c>
      <c r="S1409">
        <v>-12913.880000000005</v>
      </c>
      <c r="T1409" s="1" t="s">
        <v>163</v>
      </c>
      <c r="U1409">
        <v>-9.9666076181739699E-2</v>
      </c>
    </row>
    <row r="1410" spans="1:21" x14ac:dyDescent="0.3">
      <c r="A1410" s="1" t="s">
        <v>15</v>
      </c>
      <c r="B1410" s="1" t="s">
        <v>29</v>
      </c>
      <c r="C1410" s="2">
        <v>44927</v>
      </c>
      <c r="D1410" s="1" t="s">
        <v>17</v>
      </c>
      <c r="E1410" s="1" t="s">
        <v>30</v>
      </c>
      <c r="F1410">
        <v>783.18</v>
      </c>
      <c r="G1410">
        <v>12</v>
      </c>
      <c r="H1410" s="1" t="s">
        <v>31</v>
      </c>
      <c r="I1410">
        <v>664.33</v>
      </c>
      <c r="J1410">
        <v>863.03</v>
      </c>
      <c r="K1410" s="1" t="s">
        <v>20</v>
      </c>
      <c r="L1410">
        <v>0.25</v>
      </c>
      <c r="M1410" s="1" t="s">
        <v>32</v>
      </c>
      <c r="N1410" s="1" t="s">
        <v>33</v>
      </c>
      <c r="O1410" s="1" t="s">
        <v>34</v>
      </c>
      <c r="P1410">
        <v>7971.9600000000009</v>
      </c>
      <c r="Q1410">
        <v>2023</v>
      </c>
      <c r="R1410">
        <v>7767.27</v>
      </c>
      <c r="S1410">
        <v>-204.69000000000051</v>
      </c>
      <c r="T1410" s="1" t="s">
        <v>163</v>
      </c>
      <c r="U1410">
        <v>-2.6352888466604201E-2</v>
      </c>
    </row>
    <row r="1411" spans="1:21" x14ac:dyDescent="0.3">
      <c r="A1411" s="1" t="s">
        <v>15</v>
      </c>
      <c r="B1411" s="1" t="s">
        <v>35</v>
      </c>
      <c r="C1411" s="2">
        <v>44928</v>
      </c>
      <c r="D1411" s="1" t="s">
        <v>36</v>
      </c>
      <c r="E1411" s="1" t="s">
        <v>30</v>
      </c>
      <c r="F1411">
        <v>5533.7</v>
      </c>
      <c r="G1411">
        <v>10</v>
      </c>
      <c r="H1411" s="1" t="s">
        <v>37</v>
      </c>
      <c r="I1411">
        <v>2242.0100000000002</v>
      </c>
      <c r="J1411">
        <v>2282.23</v>
      </c>
      <c r="K1411" s="1" t="s">
        <v>20</v>
      </c>
      <c r="L1411">
        <v>0.2</v>
      </c>
      <c r="M1411" s="1" t="s">
        <v>27</v>
      </c>
      <c r="N1411" s="1" t="s">
        <v>22</v>
      </c>
      <c r="O1411" s="1" t="s">
        <v>38</v>
      </c>
      <c r="P1411">
        <v>22420.100000000002</v>
      </c>
      <c r="Q1411">
        <v>2023</v>
      </c>
      <c r="R1411">
        <v>18257.84</v>
      </c>
      <c r="S1411">
        <v>-4162.260000000002</v>
      </c>
      <c r="T1411" s="1" t="s">
        <v>163</v>
      </c>
      <c r="U1411">
        <v>-0.22797110720654801</v>
      </c>
    </row>
    <row r="1412" spans="1:21" x14ac:dyDescent="0.3">
      <c r="A1412" s="1" t="s">
        <v>15</v>
      </c>
      <c r="B1412" s="1" t="s">
        <v>39</v>
      </c>
      <c r="C1412" s="2">
        <v>44928</v>
      </c>
      <c r="D1412" s="1" t="s">
        <v>36</v>
      </c>
      <c r="E1412" s="1" t="s">
        <v>40</v>
      </c>
      <c r="F1412">
        <v>919.09</v>
      </c>
      <c r="G1412">
        <v>26</v>
      </c>
      <c r="H1412" s="1" t="s">
        <v>37</v>
      </c>
      <c r="I1412">
        <v>4535.38</v>
      </c>
      <c r="J1412">
        <v>4557.5600000000004</v>
      </c>
      <c r="K1412" s="1" t="s">
        <v>26</v>
      </c>
      <c r="L1412">
        <v>0</v>
      </c>
      <c r="M1412" s="1" t="s">
        <v>27</v>
      </c>
      <c r="N1412" s="1" t="s">
        <v>22</v>
      </c>
      <c r="O1412" s="1" t="s">
        <v>41</v>
      </c>
      <c r="P1412">
        <v>117919.88</v>
      </c>
      <c r="Q1412">
        <v>2023</v>
      </c>
      <c r="R1412">
        <v>118496.56000000001</v>
      </c>
      <c r="S1412">
        <v>576.68000000000757</v>
      </c>
      <c r="T1412" s="1" t="s">
        <v>163</v>
      </c>
      <c r="U1412">
        <v>4.8666391665716504E-3</v>
      </c>
    </row>
    <row r="1413" spans="1:21" x14ac:dyDescent="0.3">
      <c r="A1413" s="1" t="s">
        <v>15</v>
      </c>
      <c r="B1413" s="1" t="s">
        <v>42</v>
      </c>
      <c r="C1413" s="2">
        <v>44929</v>
      </c>
      <c r="D1413" s="1" t="s">
        <v>43</v>
      </c>
      <c r="E1413" s="1" t="s">
        <v>44</v>
      </c>
      <c r="F1413">
        <v>5613.1</v>
      </c>
      <c r="G1413">
        <v>31</v>
      </c>
      <c r="H1413" s="1" t="s">
        <v>31</v>
      </c>
      <c r="I1413">
        <v>4632.8500000000004</v>
      </c>
      <c r="J1413">
        <v>4711.7</v>
      </c>
      <c r="K1413" s="1" t="s">
        <v>26</v>
      </c>
      <c r="L1413">
        <v>0.21</v>
      </c>
      <c r="M1413" s="1" t="s">
        <v>21</v>
      </c>
      <c r="N1413" s="1" t="s">
        <v>33</v>
      </c>
      <c r="O1413" s="1" t="s">
        <v>45</v>
      </c>
      <c r="P1413">
        <v>143618.35</v>
      </c>
      <c r="Q1413">
        <v>2023</v>
      </c>
      <c r="R1413">
        <v>115389.533</v>
      </c>
      <c r="S1413">
        <v>-28228.81700000001</v>
      </c>
      <c r="T1413" s="1" t="s">
        <v>163</v>
      </c>
      <c r="U1413">
        <v>-0.244639320968567</v>
      </c>
    </row>
    <row r="1414" spans="1:21" x14ac:dyDescent="0.3">
      <c r="A1414" s="1" t="s">
        <v>15</v>
      </c>
      <c r="B1414" s="1" t="s">
        <v>46</v>
      </c>
      <c r="C1414" s="2">
        <v>44929</v>
      </c>
      <c r="D1414" s="1" t="s">
        <v>25</v>
      </c>
      <c r="E1414" s="1" t="s">
        <v>44</v>
      </c>
      <c r="F1414">
        <v>8057.76</v>
      </c>
      <c r="G1414">
        <v>20</v>
      </c>
      <c r="H1414" s="1" t="s">
        <v>31</v>
      </c>
      <c r="I1414">
        <v>3625.94</v>
      </c>
      <c r="J1414">
        <v>3880.53</v>
      </c>
      <c r="K1414" s="1" t="s">
        <v>26</v>
      </c>
      <c r="L1414">
        <v>0.24</v>
      </c>
      <c r="M1414" s="1" t="s">
        <v>32</v>
      </c>
      <c r="N1414" s="1" t="s">
        <v>22</v>
      </c>
      <c r="O1414" s="1" t="s">
        <v>47</v>
      </c>
      <c r="P1414">
        <v>72518.8</v>
      </c>
      <c r="Q1414">
        <v>2023</v>
      </c>
      <c r="R1414">
        <v>58984.056000000004</v>
      </c>
      <c r="S1414">
        <v>-13534.743999999999</v>
      </c>
      <c r="T1414" s="1" t="s">
        <v>163</v>
      </c>
      <c r="U1414">
        <v>-0.22946445052879999</v>
      </c>
    </row>
    <row r="1415" spans="1:21" x14ac:dyDescent="0.3">
      <c r="A1415" s="1" t="s">
        <v>15</v>
      </c>
      <c r="B1415" s="1" t="s">
        <v>48</v>
      </c>
      <c r="C1415" s="2">
        <v>44929</v>
      </c>
      <c r="D1415" s="1" t="s">
        <v>43</v>
      </c>
      <c r="E1415" s="1" t="s">
        <v>44</v>
      </c>
      <c r="F1415">
        <v>7648.22</v>
      </c>
      <c r="G1415">
        <v>30</v>
      </c>
      <c r="H1415" s="1" t="s">
        <v>31</v>
      </c>
      <c r="I1415">
        <v>745.93</v>
      </c>
      <c r="J1415">
        <v>1143.02</v>
      </c>
      <c r="K1415" s="1" t="s">
        <v>20</v>
      </c>
      <c r="L1415">
        <v>0.2</v>
      </c>
      <c r="M1415" s="1" t="s">
        <v>27</v>
      </c>
      <c r="N1415" s="1" t="s">
        <v>22</v>
      </c>
      <c r="O1415" s="1" t="s">
        <v>45</v>
      </c>
      <c r="P1415">
        <v>22377.899999999998</v>
      </c>
      <c r="Q1415">
        <v>2023</v>
      </c>
      <c r="R1415">
        <v>27432.48</v>
      </c>
      <c r="S1415">
        <v>5054.5800000000017</v>
      </c>
      <c r="T1415" s="1" t="s">
        <v>163</v>
      </c>
      <c r="U1415">
        <v>0.184255306118878</v>
      </c>
    </row>
    <row r="1416" spans="1:21" x14ac:dyDescent="0.3">
      <c r="A1416" s="1" t="s">
        <v>15</v>
      </c>
      <c r="B1416" s="1" t="s">
        <v>35</v>
      </c>
      <c r="C1416" s="2">
        <v>44930</v>
      </c>
      <c r="D1416" s="1" t="s">
        <v>17</v>
      </c>
      <c r="E1416" s="1" t="s">
        <v>44</v>
      </c>
      <c r="F1416">
        <v>7412.11</v>
      </c>
      <c r="G1416">
        <v>10</v>
      </c>
      <c r="H1416" s="1" t="s">
        <v>37</v>
      </c>
      <c r="I1416">
        <v>4764.96</v>
      </c>
      <c r="J1416">
        <v>5074.42</v>
      </c>
      <c r="K1416" s="1" t="s">
        <v>26</v>
      </c>
      <c r="L1416">
        <v>0.12</v>
      </c>
      <c r="M1416" s="1" t="s">
        <v>21</v>
      </c>
      <c r="N1416" s="1" t="s">
        <v>22</v>
      </c>
      <c r="O1416" s="1" t="s">
        <v>49</v>
      </c>
      <c r="P1416">
        <v>47649.599999999999</v>
      </c>
      <c r="Q1416">
        <v>2023</v>
      </c>
      <c r="R1416">
        <v>44654.896000000001</v>
      </c>
      <c r="S1416">
        <v>-2994.7039999999979</v>
      </c>
      <c r="T1416" s="1" t="s">
        <v>163</v>
      </c>
      <c r="U1416">
        <v>-6.7063284617211893E-2</v>
      </c>
    </row>
    <row r="1417" spans="1:21" x14ac:dyDescent="0.3">
      <c r="A1417" s="1" t="s">
        <v>15</v>
      </c>
      <c r="B1417" s="1" t="s">
        <v>50</v>
      </c>
      <c r="C1417" s="2">
        <v>44930</v>
      </c>
      <c r="D1417" s="1" t="s">
        <v>17</v>
      </c>
      <c r="E1417" s="1" t="s">
        <v>18</v>
      </c>
      <c r="F1417">
        <v>4979.3599999999997</v>
      </c>
      <c r="G1417">
        <v>14</v>
      </c>
      <c r="H1417" s="1" t="s">
        <v>37</v>
      </c>
      <c r="I1417">
        <v>3686.81</v>
      </c>
      <c r="J1417">
        <v>3710.92</v>
      </c>
      <c r="K1417" s="1" t="s">
        <v>26</v>
      </c>
      <c r="L1417">
        <v>0.1</v>
      </c>
      <c r="M1417" s="1" t="s">
        <v>32</v>
      </c>
      <c r="N1417" s="1" t="s">
        <v>33</v>
      </c>
      <c r="O1417" s="1" t="s">
        <v>23</v>
      </c>
      <c r="P1417">
        <v>51615.34</v>
      </c>
      <c r="Q1417">
        <v>2023</v>
      </c>
      <c r="R1417">
        <v>46757.592000000004</v>
      </c>
      <c r="S1417">
        <v>-4857.7479999999923</v>
      </c>
      <c r="T1417" s="1" t="s">
        <v>163</v>
      </c>
      <c r="U1417">
        <v>-0.10389217648334</v>
      </c>
    </row>
    <row r="1418" spans="1:21" x14ac:dyDescent="0.3">
      <c r="A1418" s="1" t="s">
        <v>15</v>
      </c>
      <c r="B1418" s="1" t="s">
        <v>51</v>
      </c>
      <c r="C1418" s="2">
        <v>44930</v>
      </c>
      <c r="D1418" s="1" t="s">
        <v>43</v>
      </c>
      <c r="E1418" s="1" t="s">
        <v>44</v>
      </c>
      <c r="F1418">
        <v>2716.34</v>
      </c>
      <c r="G1418">
        <v>17</v>
      </c>
      <c r="H1418" s="1" t="s">
        <v>31</v>
      </c>
      <c r="I1418">
        <v>1727.12</v>
      </c>
      <c r="J1418">
        <v>1865.83</v>
      </c>
      <c r="K1418" s="1" t="s">
        <v>26</v>
      </c>
      <c r="L1418">
        <v>0.21</v>
      </c>
      <c r="M1418" s="1" t="s">
        <v>21</v>
      </c>
      <c r="N1418" s="1" t="s">
        <v>22</v>
      </c>
      <c r="O1418" s="1" t="s">
        <v>45</v>
      </c>
      <c r="P1418">
        <v>29361.039999999997</v>
      </c>
      <c r="Q1418">
        <v>2023</v>
      </c>
      <c r="R1418">
        <v>25058.0969</v>
      </c>
      <c r="S1418">
        <v>-4302.9430999999968</v>
      </c>
      <c r="T1418" s="1" t="s">
        <v>163</v>
      </c>
      <c r="U1418">
        <v>-0.17171867110147501</v>
      </c>
    </row>
    <row r="1419" spans="1:21" x14ac:dyDescent="0.3">
      <c r="A1419" s="1" t="s">
        <v>15</v>
      </c>
      <c r="B1419" s="1" t="s">
        <v>52</v>
      </c>
      <c r="C1419" s="2">
        <v>44930</v>
      </c>
      <c r="D1419" s="1" t="s">
        <v>17</v>
      </c>
      <c r="E1419" s="1" t="s">
        <v>30</v>
      </c>
      <c r="F1419">
        <v>7508.72</v>
      </c>
      <c r="G1419">
        <v>38</v>
      </c>
      <c r="H1419" s="1" t="s">
        <v>31</v>
      </c>
      <c r="I1419">
        <v>1394.74</v>
      </c>
      <c r="J1419">
        <v>1848.69</v>
      </c>
      <c r="K1419" s="1" t="s">
        <v>20</v>
      </c>
      <c r="L1419">
        <v>0</v>
      </c>
      <c r="M1419" s="1" t="s">
        <v>32</v>
      </c>
      <c r="N1419" s="1" t="s">
        <v>33</v>
      </c>
      <c r="O1419" s="1" t="s">
        <v>34</v>
      </c>
      <c r="P1419">
        <v>53000.12</v>
      </c>
      <c r="Q1419">
        <v>2023</v>
      </c>
      <c r="R1419">
        <v>70250.22</v>
      </c>
      <c r="S1419">
        <v>17250.099999999999</v>
      </c>
      <c r="T1419" s="1" t="s">
        <v>163</v>
      </c>
      <c r="U1419">
        <v>0.245552255921761</v>
      </c>
    </row>
    <row r="1420" spans="1:21" x14ac:dyDescent="0.3">
      <c r="A1420" s="1" t="s">
        <v>15</v>
      </c>
      <c r="B1420" s="1" t="s">
        <v>53</v>
      </c>
      <c r="C1420" s="2">
        <v>44930</v>
      </c>
      <c r="D1420" s="1" t="s">
        <v>43</v>
      </c>
      <c r="E1420" s="1" t="s">
        <v>30</v>
      </c>
      <c r="F1420">
        <v>6530.14</v>
      </c>
      <c r="G1420">
        <v>8</v>
      </c>
      <c r="H1420" s="1" t="s">
        <v>31</v>
      </c>
      <c r="I1420">
        <v>1569.31</v>
      </c>
      <c r="J1420">
        <v>1798.02</v>
      </c>
      <c r="K1420" s="1" t="s">
        <v>26</v>
      </c>
      <c r="L1420">
        <v>7.0000000000000007E-2</v>
      </c>
      <c r="M1420" s="1" t="s">
        <v>27</v>
      </c>
      <c r="N1420" s="1" t="s">
        <v>22</v>
      </c>
      <c r="O1420" s="1" t="s">
        <v>54</v>
      </c>
      <c r="P1420">
        <v>12554.48</v>
      </c>
      <c r="Q1420">
        <v>2023</v>
      </c>
      <c r="R1420">
        <v>13377.2688</v>
      </c>
      <c r="S1420">
        <v>822.78880000000026</v>
      </c>
      <c r="T1420" s="1" t="s">
        <v>163</v>
      </c>
      <c r="U1420">
        <v>6.1506486286647698E-2</v>
      </c>
    </row>
    <row r="1421" spans="1:21" x14ac:dyDescent="0.3">
      <c r="A1421" s="1" t="s">
        <v>15</v>
      </c>
      <c r="B1421" s="1" t="s">
        <v>55</v>
      </c>
      <c r="C1421" s="2">
        <v>44930</v>
      </c>
      <c r="D1421" s="1" t="s">
        <v>17</v>
      </c>
      <c r="E1421" s="1" t="s">
        <v>18</v>
      </c>
      <c r="F1421">
        <v>1028.3900000000001</v>
      </c>
      <c r="G1421">
        <v>14</v>
      </c>
      <c r="H1421" s="1" t="s">
        <v>31</v>
      </c>
      <c r="I1421">
        <v>4037.21</v>
      </c>
      <c r="J1421">
        <v>4323.71</v>
      </c>
      <c r="K1421" s="1" t="s">
        <v>20</v>
      </c>
      <c r="L1421">
        <v>0.27</v>
      </c>
      <c r="M1421" s="1" t="s">
        <v>27</v>
      </c>
      <c r="N1421" s="1" t="s">
        <v>22</v>
      </c>
      <c r="O1421" s="1" t="s">
        <v>23</v>
      </c>
      <c r="P1421">
        <v>56520.94</v>
      </c>
      <c r="Q1421">
        <v>2023</v>
      </c>
      <c r="R1421">
        <v>44188.316200000001</v>
      </c>
      <c r="S1421">
        <v>-12332.623800000001</v>
      </c>
      <c r="T1421" s="1" t="s">
        <v>163</v>
      </c>
      <c r="U1421">
        <v>-0.27909241312073402</v>
      </c>
    </row>
    <row r="1422" spans="1:21" x14ac:dyDescent="0.3">
      <c r="A1422" s="1" t="s">
        <v>15</v>
      </c>
      <c r="B1422" s="1" t="s">
        <v>56</v>
      </c>
      <c r="C1422" s="2">
        <v>44931</v>
      </c>
      <c r="D1422" s="1" t="s">
        <v>43</v>
      </c>
      <c r="E1422" s="1" t="s">
        <v>30</v>
      </c>
      <c r="F1422">
        <v>1429.32</v>
      </c>
      <c r="G1422">
        <v>44</v>
      </c>
      <c r="H1422" s="1" t="s">
        <v>57</v>
      </c>
      <c r="I1422">
        <v>618.79</v>
      </c>
      <c r="J1422">
        <v>938.04</v>
      </c>
      <c r="K1422" s="1" t="s">
        <v>20</v>
      </c>
      <c r="L1422">
        <v>0.03</v>
      </c>
      <c r="M1422" s="1" t="s">
        <v>21</v>
      </c>
      <c r="N1422" s="1" t="s">
        <v>22</v>
      </c>
      <c r="O1422" s="1" t="s">
        <v>54</v>
      </c>
      <c r="P1422">
        <v>27226.76</v>
      </c>
      <c r="Q1422">
        <v>2023</v>
      </c>
      <c r="R1422">
        <v>40035.547199999994</v>
      </c>
      <c r="S1422">
        <v>12808.787199999995</v>
      </c>
      <c r="T1422" s="1" t="s">
        <v>163</v>
      </c>
      <c r="U1422">
        <v>0.31993535984441301</v>
      </c>
    </row>
    <row r="1423" spans="1:21" x14ac:dyDescent="0.3">
      <c r="A1423" s="1" t="s">
        <v>15</v>
      </c>
      <c r="B1423" s="1" t="s">
        <v>58</v>
      </c>
      <c r="C1423" s="2">
        <v>44931</v>
      </c>
      <c r="D1423" s="1" t="s">
        <v>59</v>
      </c>
      <c r="E1423" s="1" t="s">
        <v>44</v>
      </c>
      <c r="F1423">
        <v>6442.09</v>
      </c>
      <c r="G1423">
        <v>2</v>
      </c>
      <c r="H1423" s="1" t="s">
        <v>19</v>
      </c>
      <c r="I1423">
        <v>575.32000000000005</v>
      </c>
      <c r="J1423">
        <v>914.77</v>
      </c>
      <c r="K1423" s="1" t="s">
        <v>20</v>
      </c>
      <c r="L1423">
        <v>0.26</v>
      </c>
      <c r="M1423" s="1" t="s">
        <v>32</v>
      </c>
      <c r="N1423" s="1" t="s">
        <v>22</v>
      </c>
      <c r="O1423" s="1" t="s">
        <v>60</v>
      </c>
      <c r="P1423">
        <v>1150.6400000000001</v>
      </c>
      <c r="Q1423">
        <v>2023</v>
      </c>
      <c r="R1423">
        <v>1353.8596</v>
      </c>
      <c r="S1423">
        <v>203.2195999999999</v>
      </c>
      <c r="T1423" s="1" t="s">
        <v>163</v>
      </c>
      <c r="U1423">
        <v>0.150103895559037</v>
      </c>
    </row>
    <row r="1424" spans="1:21" x14ac:dyDescent="0.3">
      <c r="A1424" s="1" t="s">
        <v>15</v>
      </c>
      <c r="B1424" s="1" t="s">
        <v>61</v>
      </c>
      <c r="C1424" s="2">
        <v>44931</v>
      </c>
      <c r="D1424" s="1" t="s">
        <v>43</v>
      </c>
      <c r="E1424" s="1" t="s">
        <v>18</v>
      </c>
      <c r="F1424">
        <v>8837.34</v>
      </c>
      <c r="G1424">
        <v>11</v>
      </c>
      <c r="H1424" s="1" t="s">
        <v>19</v>
      </c>
      <c r="I1424">
        <v>3451.59</v>
      </c>
      <c r="J1424">
        <v>3929.26</v>
      </c>
      <c r="K1424" s="1" t="s">
        <v>26</v>
      </c>
      <c r="L1424">
        <v>0.3</v>
      </c>
      <c r="M1424" s="1" t="s">
        <v>27</v>
      </c>
      <c r="N1424" s="1" t="s">
        <v>33</v>
      </c>
      <c r="O1424" s="1" t="s">
        <v>62</v>
      </c>
      <c r="P1424">
        <v>37967.490000000005</v>
      </c>
      <c r="Q1424">
        <v>2023</v>
      </c>
      <c r="R1424">
        <v>30255.302</v>
      </c>
      <c r="S1424">
        <v>-7712.1880000000056</v>
      </c>
      <c r="T1424" s="1" t="s">
        <v>163</v>
      </c>
      <c r="U1424">
        <v>-0.25490368597213198</v>
      </c>
    </row>
    <row r="1425" spans="1:21" x14ac:dyDescent="0.3">
      <c r="A1425" s="1" t="s">
        <v>15</v>
      </c>
      <c r="B1425" s="1" t="s">
        <v>46</v>
      </c>
      <c r="C1425" s="2">
        <v>44932</v>
      </c>
      <c r="D1425" s="1" t="s">
        <v>17</v>
      </c>
      <c r="E1425" s="1" t="s">
        <v>30</v>
      </c>
      <c r="F1425">
        <v>7698.92</v>
      </c>
      <c r="G1425">
        <v>46</v>
      </c>
      <c r="H1425" s="1" t="s">
        <v>31</v>
      </c>
      <c r="I1425">
        <v>3702.51</v>
      </c>
      <c r="J1425">
        <v>3964.65</v>
      </c>
      <c r="K1425" s="1" t="s">
        <v>26</v>
      </c>
      <c r="L1425">
        <v>0.12</v>
      </c>
      <c r="M1425" s="1" t="s">
        <v>32</v>
      </c>
      <c r="N1425" s="1" t="s">
        <v>22</v>
      </c>
      <c r="O1425" s="1" t="s">
        <v>34</v>
      </c>
      <c r="P1425">
        <v>170315.46000000002</v>
      </c>
      <c r="Q1425">
        <v>2023</v>
      </c>
      <c r="R1425">
        <v>160489.03200000001</v>
      </c>
      <c r="S1425">
        <v>-9826.4280000000144</v>
      </c>
      <c r="T1425" s="1" t="s">
        <v>163</v>
      </c>
      <c r="U1425">
        <v>-6.1228034573727198E-2</v>
      </c>
    </row>
    <row r="1426" spans="1:21" x14ac:dyDescent="0.3">
      <c r="A1426" s="1" t="s">
        <v>15</v>
      </c>
      <c r="B1426" s="1" t="s">
        <v>63</v>
      </c>
      <c r="C1426" s="2">
        <v>44932</v>
      </c>
      <c r="D1426" s="1" t="s">
        <v>17</v>
      </c>
      <c r="E1426" s="1" t="s">
        <v>44</v>
      </c>
      <c r="F1426">
        <v>3439.72</v>
      </c>
      <c r="G1426">
        <v>15</v>
      </c>
      <c r="H1426" s="1" t="s">
        <v>19</v>
      </c>
      <c r="I1426">
        <v>4756.55</v>
      </c>
      <c r="J1426">
        <v>4888.46</v>
      </c>
      <c r="K1426" s="1" t="s">
        <v>26</v>
      </c>
      <c r="L1426">
        <v>0.28999999999999998</v>
      </c>
      <c r="M1426" s="1" t="s">
        <v>27</v>
      </c>
      <c r="N1426" s="1" t="s">
        <v>22</v>
      </c>
      <c r="O1426" s="1" t="s">
        <v>49</v>
      </c>
      <c r="P1426">
        <v>71348.25</v>
      </c>
      <c r="Q1426">
        <v>2023</v>
      </c>
      <c r="R1426">
        <v>52062.098999999995</v>
      </c>
      <c r="S1426">
        <v>-19286.151000000005</v>
      </c>
      <c r="T1426" s="1" t="s">
        <v>163</v>
      </c>
      <c r="U1426">
        <v>-0.37044512938289298</v>
      </c>
    </row>
    <row r="1427" spans="1:21" x14ac:dyDescent="0.3">
      <c r="A1427" s="1" t="s">
        <v>15</v>
      </c>
      <c r="B1427" s="1" t="s">
        <v>64</v>
      </c>
      <c r="C1427" s="2">
        <v>44933</v>
      </c>
      <c r="D1427" s="1" t="s">
        <v>43</v>
      </c>
      <c r="E1427" s="1" t="s">
        <v>18</v>
      </c>
      <c r="F1427">
        <v>2971.45</v>
      </c>
      <c r="G1427">
        <v>9</v>
      </c>
      <c r="H1427" s="1" t="s">
        <v>31</v>
      </c>
      <c r="I1427">
        <v>3365.28</v>
      </c>
      <c r="J1427">
        <v>3730.43</v>
      </c>
      <c r="K1427" s="1" t="s">
        <v>26</v>
      </c>
      <c r="L1427">
        <v>0.17</v>
      </c>
      <c r="M1427" s="1" t="s">
        <v>32</v>
      </c>
      <c r="N1427" s="1" t="s">
        <v>22</v>
      </c>
      <c r="O1427" s="1" t="s">
        <v>62</v>
      </c>
      <c r="P1427">
        <v>30287.52</v>
      </c>
      <c r="Q1427">
        <v>2023</v>
      </c>
      <c r="R1427">
        <v>27866.312099999996</v>
      </c>
      <c r="S1427">
        <v>-2421.2079000000049</v>
      </c>
      <c r="T1427" s="1" t="s">
        <v>163</v>
      </c>
      <c r="U1427">
        <v>-8.6886556474044696E-2</v>
      </c>
    </row>
    <row r="1428" spans="1:21" x14ac:dyDescent="0.3">
      <c r="A1428" s="1" t="s">
        <v>15</v>
      </c>
      <c r="B1428" s="1" t="s">
        <v>65</v>
      </c>
      <c r="C1428" s="2">
        <v>44933</v>
      </c>
      <c r="D1428" s="1" t="s">
        <v>59</v>
      </c>
      <c r="E1428" s="1" t="s">
        <v>44</v>
      </c>
      <c r="F1428">
        <v>2574.5700000000002</v>
      </c>
      <c r="G1428">
        <v>6</v>
      </c>
      <c r="H1428" s="1" t="s">
        <v>57</v>
      </c>
      <c r="I1428">
        <v>1768.6</v>
      </c>
      <c r="J1428">
        <v>2152.1999999999998</v>
      </c>
      <c r="K1428" s="1" t="s">
        <v>26</v>
      </c>
      <c r="L1428">
        <v>0.25</v>
      </c>
      <c r="M1428" s="1" t="s">
        <v>32</v>
      </c>
      <c r="N1428" s="1" t="s">
        <v>33</v>
      </c>
      <c r="O1428" s="1" t="s">
        <v>60</v>
      </c>
      <c r="P1428">
        <v>10611.599999999999</v>
      </c>
      <c r="Q1428">
        <v>2023</v>
      </c>
      <c r="R1428">
        <v>9684.9</v>
      </c>
      <c r="S1428">
        <v>-926.69999999999891</v>
      </c>
      <c r="T1428" s="1" t="s">
        <v>163</v>
      </c>
      <c r="U1428">
        <v>-9.5685035467583404E-2</v>
      </c>
    </row>
    <row r="1429" spans="1:21" x14ac:dyDescent="0.3">
      <c r="A1429" s="1" t="s">
        <v>15</v>
      </c>
      <c r="B1429" s="1" t="s">
        <v>66</v>
      </c>
      <c r="C1429" s="2">
        <v>44933</v>
      </c>
      <c r="D1429" s="1" t="s">
        <v>17</v>
      </c>
      <c r="E1429" s="1" t="s">
        <v>40</v>
      </c>
      <c r="F1429">
        <v>2719.89</v>
      </c>
      <c r="G1429">
        <v>16</v>
      </c>
      <c r="H1429" s="1" t="s">
        <v>57</v>
      </c>
      <c r="I1429">
        <v>472.08</v>
      </c>
      <c r="J1429">
        <v>842.46</v>
      </c>
      <c r="K1429" s="1" t="s">
        <v>26</v>
      </c>
      <c r="L1429">
        <v>0</v>
      </c>
      <c r="M1429" s="1" t="s">
        <v>21</v>
      </c>
      <c r="N1429" s="1" t="s">
        <v>33</v>
      </c>
      <c r="O1429" s="1" t="s">
        <v>67</v>
      </c>
      <c r="P1429">
        <v>7553.28</v>
      </c>
      <c r="Q1429">
        <v>2023</v>
      </c>
      <c r="R1429">
        <v>13479.36</v>
      </c>
      <c r="S1429">
        <v>5926.0800000000008</v>
      </c>
      <c r="T1429" s="1" t="s">
        <v>163</v>
      </c>
      <c r="U1429">
        <v>0.439641051207179</v>
      </c>
    </row>
    <row r="1430" spans="1:21" x14ac:dyDescent="0.3">
      <c r="A1430" s="1" t="s">
        <v>15</v>
      </c>
      <c r="B1430" s="1" t="s">
        <v>68</v>
      </c>
      <c r="C1430" s="2">
        <v>44933</v>
      </c>
      <c r="D1430" s="1" t="s">
        <v>17</v>
      </c>
      <c r="E1430" s="1" t="s">
        <v>18</v>
      </c>
      <c r="F1430">
        <v>2365.87</v>
      </c>
      <c r="G1430">
        <v>6</v>
      </c>
      <c r="H1430" s="1" t="s">
        <v>19</v>
      </c>
      <c r="I1430">
        <v>2019.9</v>
      </c>
      <c r="J1430">
        <v>2116.7399999999998</v>
      </c>
      <c r="K1430" s="1" t="s">
        <v>26</v>
      </c>
      <c r="L1430">
        <v>0.11</v>
      </c>
      <c r="M1430" s="1" t="s">
        <v>27</v>
      </c>
      <c r="N1430" s="1" t="s">
        <v>22</v>
      </c>
      <c r="O1430" s="1" t="s">
        <v>23</v>
      </c>
      <c r="P1430">
        <v>12119.400000000001</v>
      </c>
      <c r="Q1430">
        <v>2023</v>
      </c>
      <c r="R1430">
        <v>11303.391599999999</v>
      </c>
      <c r="S1430">
        <v>-816.00840000000244</v>
      </c>
      <c r="T1430" s="1" t="s">
        <v>163</v>
      </c>
      <c r="U1430">
        <v>-7.2191465082038095E-2</v>
      </c>
    </row>
    <row r="1431" spans="1:21" x14ac:dyDescent="0.3">
      <c r="A1431" s="1" t="s">
        <v>15</v>
      </c>
      <c r="B1431" s="1" t="s">
        <v>69</v>
      </c>
      <c r="C1431" s="2">
        <v>44933</v>
      </c>
      <c r="D1431" s="1" t="s">
        <v>36</v>
      </c>
      <c r="E1431" s="1" t="s">
        <v>40</v>
      </c>
      <c r="F1431">
        <v>3677.9</v>
      </c>
      <c r="G1431">
        <v>28</v>
      </c>
      <c r="H1431" s="1" t="s">
        <v>31</v>
      </c>
      <c r="I1431">
        <v>137.47</v>
      </c>
      <c r="J1431">
        <v>234.63</v>
      </c>
      <c r="K1431" s="1" t="s">
        <v>26</v>
      </c>
      <c r="L1431">
        <v>0.27</v>
      </c>
      <c r="M1431" s="1" t="s">
        <v>32</v>
      </c>
      <c r="N1431" s="1" t="s">
        <v>33</v>
      </c>
      <c r="O1431" s="1" t="s">
        <v>41</v>
      </c>
      <c r="P1431">
        <v>3849.16</v>
      </c>
      <c r="Q1431">
        <v>2023</v>
      </c>
      <c r="R1431">
        <v>4795.837199999999</v>
      </c>
      <c r="S1431">
        <v>946.67719999999917</v>
      </c>
      <c r="T1431" s="1" t="s">
        <v>163</v>
      </c>
      <c r="U1431">
        <v>0.197395608007711</v>
      </c>
    </row>
    <row r="1432" spans="1:21" x14ac:dyDescent="0.3">
      <c r="A1432" s="1" t="s">
        <v>15</v>
      </c>
      <c r="B1432" s="1" t="s">
        <v>70</v>
      </c>
      <c r="C1432" s="2">
        <v>44934</v>
      </c>
      <c r="D1432" s="1" t="s">
        <v>36</v>
      </c>
      <c r="E1432" s="1" t="s">
        <v>44</v>
      </c>
      <c r="F1432">
        <v>1714.05</v>
      </c>
      <c r="G1432">
        <v>36</v>
      </c>
      <c r="H1432" s="1" t="s">
        <v>57</v>
      </c>
      <c r="I1432">
        <v>864.77</v>
      </c>
      <c r="J1432">
        <v>1170.1600000000001</v>
      </c>
      <c r="K1432" s="1" t="s">
        <v>20</v>
      </c>
      <c r="L1432">
        <v>0.11</v>
      </c>
      <c r="M1432" s="1" t="s">
        <v>21</v>
      </c>
      <c r="N1432" s="1" t="s">
        <v>33</v>
      </c>
      <c r="O1432" s="1" t="s">
        <v>71</v>
      </c>
      <c r="P1432">
        <v>31131.72</v>
      </c>
      <c r="Q1432">
        <v>2023</v>
      </c>
      <c r="R1432">
        <v>37491.926400000004</v>
      </c>
      <c r="S1432">
        <v>6360.2064000000028</v>
      </c>
      <c r="T1432" s="1" t="s">
        <v>163</v>
      </c>
      <c r="U1432">
        <v>0.16964202724989899</v>
      </c>
    </row>
    <row r="1433" spans="1:21" x14ac:dyDescent="0.3">
      <c r="A1433" s="1" t="s">
        <v>15</v>
      </c>
      <c r="B1433" s="1" t="s">
        <v>72</v>
      </c>
      <c r="C1433" s="2">
        <v>44934</v>
      </c>
      <c r="D1433" s="1" t="s">
        <v>17</v>
      </c>
      <c r="E1433" s="1" t="s">
        <v>30</v>
      </c>
      <c r="F1433">
        <v>3613.75</v>
      </c>
      <c r="G1433">
        <v>4</v>
      </c>
      <c r="H1433" s="1" t="s">
        <v>37</v>
      </c>
      <c r="I1433">
        <v>1054.1199999999999</v>
      </c>
      <c r="J1433">
        <v>1175.22</v>
      </c>
      <c r="K1433" s="1" t="s">
        <v>20</v>
      </c>
      <c r="L1433">
        <v>0.12</v>
      </c>
      <c r="M1433" s="1" t="s">
        <v>32</v>
      </c>
      <c r="N1433" s="1" t="s">
        <v>33</v>
      </c>
      <c r="O1433" s="1" t="s">
        <v>34</v>
      </c>
      <c r="P1433">
        <v>4216.4799999999996</v>
      </c>
      <c r="Q1433">
        <v>2023</v>
      </c>
      <c r="R1433">
        <v>4136.7744000000002</v>
      </c>
      <c r="S1433">
        <v>-79.705599999999322</v>
      </c>
      <c r="T1433" s="1" t="s">
        <v>163</v>
      </c>
      <c r="U1433">
        <v>-1.92675723384866E-2</v>
      </c>
    </row>
    <row r="1434" spans="1:21" x14ac:dyDescent="0.3">
      <c r="A1434" s="1" t="s">
        <v>15</v>
      </c>
      <c r="B1434" s="1" t="s">
        <v>73</v>
      </c>
      <c r="C1434" s="2">
        <v>44935</v>
      </c>
      <c r="D1434" s="1" t="s">
        <v>25</v>
      </c>
      <c r="E1434" s="1" t="s">
        <v>18</v>
      </c>
      <c r="F1434">
        <v>1875.71</v>
      </c>
      <c r="G1434">
        <v>48</v>
      </c>
      <c r="H1434" s="1" t="s">
        <v>37</v>
      </c>
      <c r="I1434">
        <v>210.63</v>
      </c>
      <c r="J1434">
        <v>533.58000000000004</v>
      </c>
      <c r="K1434" s="1" t="s">
        <v>26</v>
      </c>
      <c r="L1434">
        <v>0.04</v>
      </c>
      <c r="M1434" s="1" t="s">
        <v>32</v>
      </c>
      <c r="N1434" s="1" t="s">
        <v>22</v>
      </c>
      <c r="O1434" s="1" t="s">
        <v>28</v>
      </c>
      <c r="P1434">
        <v>10110.24</v>
      </c>
      <c r="Q1434">
        <v>2023</v>
      </c>
      <c r="R1434">
        <v>24587.366400000003</v>
      </c>
      <c r="S1434">
        <v>14477.126400000003</v>
      </c>
      <c r="T1434" s="1" t="s">
        <v>163</v>
      </c>
      <c r="U1434">
        <v>0.58880345964991199</v>
      </c>
    </row>
    <row r="1435" spans="1:21" x14ac:dyDescent="0.3">
      <c r="A1435" s="1" t="s">
        <v>15</v>
      </c>
      <c r="B1435" s="1" t="s">
        <v>74</v>
      </c>
      <c r="C1435" s="2">
        <v>44935</v>
      </c>
      <c r="D1435" s="1" t="s">
        <v>25</v>
      </c>
      <c r="E1435" s="1" t="s">
        <v>18</v>
      </c>
      <c r="F1435">
        <v>2114.38</v>
      </c>
      <c r="G1435">
        <v>12</v>
      </c>
      <c r="H1435" s="1" t="s">
        <v>31</v>
      </c>
      <c r="I1435">
        <v>639.16</v>
      </c>
      <c r="J1435">
        <v>746.28</v>
      </c>
      <c r="K1435" s="1" t="s">
        <v>20</v>
      </c>
      <c r="L1435">
        <v>0.04</v>
      </c>
      <c r="M1435" s="1" t="s">
        <v>32</v>
      </c>
      <c r="N1435" s="1" t="s">
        <v>33</v>
      </c>
      <c r="O1435" s="1" t="s">
        <v>28</v>
      </c>
      <c r="P1435">
        <v>7669.92</v>
      </c>
      <c r="Q1435">
        <v>2023</v>
      </c>
      <c r="R1435">
        <v>8597.1455999999998</v>
      </c>
      <c r="S1435">
        <v>927.22559999999976</v>
      </c>
      <c r="T1435" s="1" t="s">
        <v>163</v>
      </c>
      <c r="U1435">
        <v>0.107852727305212</v>
      </c>
    </row>
    <row r="1436" spans="1:21" x14ac:dyDescent="0.3">
      <c r="A1436" s="1" t="s">
        <v>15</v>
      </c>
      <c r="B1436" s="1" t="s">
        <v>75</v>
      </c>
      <c r="C1436" s="2">
        <v>44935</v>
      </c>
      <c r="D1436" s="1" t="s">
        <v>25</v>
      </c>
      <c r="E1436" s="1" t="s">
        <v>18</v>
      </c>
      <c r="F1436">
        <v>7750.81</v>
      </c>
      <c r="G1436">
        <v>41</v>
      </c>
      <c r="H1436" s="1" t="s">
        <v>19</v>
      </c>
      <c r="I1436">
        <v>4965.07</v>
      </c>
      <c r="J1436">
        <v>5243.13</v>
      </c>
      <c r="K1436" s="1" t="s">
        <v>26</v>
      </c>
      <c r="L1436">
        <v>0.01</v>
      </c>
      <c r="M1436" s="1" t="s">
        <v>27</v>
      </c>
      <c r="N1436" s="1" t="s">
        <v>22</v>
      </c>
      <c r="O1436" s="1" t="s">
        <v>28</v>
      </c>
      <c r="P1436">
        <v>203567.87</v>
      </c>
      <c r="Q1436">
        <v>2023</v>
      </c>
      <c r="R1436">
        <v>212818.64670000001</v>
      </c>
      <c r="S1436">
        <v>9250.7767000000167</v>
      </c>
      <c r="T1436" s="1" t="s">
        <v>163</v>
      </c>
      <c r="U1436">
        <v>4.3467886124848698E-2</v>
      </c>
    </row>
    <row r="1437" spans="1:21" x14ac:dyDescent="0.3">
      <c r="A1437" s="1" t="s">
        <v>15</v>
      </c>
      <c r="B1437" s="1" t="s">
        <v>76</v>
      </c>
      <c r="C1437" s="2">
        <v>44935</v>
      </c>
      <c r="D1437" s="1" t="s">
        <v>59</v>
      </c>
      <c r="E1437" s="1" t="s">
        <v>18</v>
      </c>
      <c r="F1437">
        <v>6264.04</v>
      </c>
      <c r="G1437">
        <v>48</v>
      </c>
      <c r="H1437" s="1" t="s">
        <v>19</v>
      </c>
      <c r="I1437">
        <v>2588.54</v>
      </c>
      <c r="J1437">
        <v>2872.8</v>
      </c>
      <c r="K1437" s="1" t="s">
        <v>26</v>
      </c>
      <c r="L1437">
        <v>0.17</v>
      </c>
      <c r="M1437" s="1" t="s">
        <v>21</v>
      </c>
      <c r="N1437" s="1" t="s">
        <v>22</v>
      </c>
      <c r="O1437" s="1" t="s">
        <v>77</v>
      </c>
      <c r="P1437">
        <v>124249.92</v>
      </c>
      <c r="Q1437">
        <v>2023</v>
      </c>
      <c r="R1437">
        <v>114452.35200000001</v>
      </c>
      <c r="S1437">
        <v>-9797.5679999999847</v>
      </c>
      <c r="T1437" s="1" t="s">
        <v>163</v>
      </c>
      <c r="U1437">
        <v>-8.5603902661607001E-2</v>
      </c>
    </row>
    <row r="1438" spans="1:21" x14ac:dyDescent="0.3">
      <c r="A1438" s="1" t="s">
        <v>15</v>
      </c>
      <c r="B1438" s="1" t="s">
        <v>50</v>
      </c>
      <c r="C1438" s="2">
        <v>44935</v>
      </c>
      <c r="D1438" s="1" t="s">
        <v>36</v>
      </c>
      <c r="E1438" s="1" t="s">
        <v>30</v>
      </c>
      <c r="F1438">
        <v>5785.45</v>
      </c>
      <c r="G1438">
        <v>23</v>
      </c>
      <c r="H1438" s="1" t="s">
        <v>31</v>
      </c>
      <c r="I1438">
        <v>2598.1799999999998</v>
      </c>
      <c r="J1438">
        <v>3042.73</v>
      </c>
      <c r="K1438" s="1" t="s">
        <v>20</v>
      </c>
      <c r="L1438">
        <v>0.24</v>
      </c>
      <c r="M1438" s="1" t="s">
        <v>27</v>
      </c>
      <c r="N1438" s="1" t="s">
        <v>22</v>
      </c>
      <c r="O1438" s="1" t="s">
        <v>38</v>
      </c>
      <c r="P1438">
        <v>59758.14</v>
      </c>
      <c r="Q1438">
        <v>2023</v>
      </c>
      <c r="R1438">
        <v>53186.920399999995</v>
      </c>
      <c r="S1438">
        <v>-6571.219600000004</v>
      </c>
      <c r="T1438" s="1" t="s">
        <v>163</v>
      </c>
      <c r="U1438">
        <v>-0.123549540950673</v>
      </c>
    </row>
    <row r="1439" spans="1:21" x14ac:dyDescent="0.3">
      <c r="A1439" s="1" t="s">
        <v>15</v>
      </c>
      <c r="B1439" s="1" t="s">
        <v>78</v>
      </c>
      <c r="C1439" s="2">
        <v>44936</v>
      </c>
      <c r="D1439" s="1" t="s">
        <v>17</v>
      </c>
      <c r="E1439" s="1" t="s">
        <v>30</v>
      </c>
      <c r="F1439">
        <v>4634.16</v>
      </c>
      <c r="G1439">
        <v>40</v>
      </c>
      <c r="H1439" s="1" t="s">
        <v>31</v>
      </c>
      <c r="I1439">
        <v>2654.11</v>
      </c>
      <c r="J1439">
        <v>2929.32</v>
      </c>
      <c r="K1439" s="1" t="s">
        <v>20</v>
      </c>
      <c r="L1439">
        <v>0.08</v>
      </c>
      <c r="M1439" s="1" t="s">
        <v>21</v>
      </c>
      <c r="N1439" s="1" t="s">
        <v>22</v>
      </c>
      <c r="O1439" s="1" t="s">
        <v>34</v>
      </c>
      <c r="P1439">
        <v>106164.40000000001</v>
      </c>
      <c r="Q1439">
        <v>2023</v>
      </c>
      <c r="R1439">
        <v>107798.97600000001</v>
      </c>
      <c r="S1439">
        <v>1634.5760000000009</v>
      </c>
      <c r="T1439" s="1" t="s">
        <v>163</v>
      </c>
      <c r="U1439">
        <v>1.51631867078218E-2</v>
      </c>
    </row>
    <row r="1440" spans="1:21" x14ac:dyDescent="0.3">
      <c r="A1440" s="1" t="s">
        <v>15</v>
      </c>
      <c r="B1440" s="1" t="s">
        <v>79</v>
      </c>
      <c r="C1440" s="2">
        <v>44936</v>
      </c>
      <c r="D1440" s="1" t="s">
        <v>17</v>
      </c>
      <c r="E1440" s="1" t="s">
        <v>18</v>
      </c>
      <c r="F1440">
        <v>2548.67</v>
      </c>
      <c r="G1440">
        <v>25</v>
      </c>
      <c r="H1440" s="1" t="s">
        <v>37</v>
      </c>
      <c r="I1440">
        <v>1933.39</v>
      </c>
      <c r="J1440">
        <v>1982.92</v>
      </c>
      <c r="K1440" s="1" t="s">
        <v>26</v>
      </c>
      <c r="L1440">
        <v>0.17</v>
      </c>
      <c r="M1440" s="1" t="s">
        <v>32</v>
      </c>
      <c r="N1440" s="1" t="s">
        <v>22</v>
      </c>
      <c r="O1440" s="1" t="s">
        <v>23</v>
      </c>
      <c r="P1440">
        <v>48334.75</v>
      </c>
      <c r="Q1440">
        <v>2023</v>
      </c>
      <c r="R1440">
        <v>41145.589999999997</v>
      </c>
      <c r="S1440">
        <v>-7189.1600000000035</v>
      </c>
      <c r="T1440" s="1" t="s">
        <v>163</v>
      </c>
      <c r="U1440">
        <v>-0.17472492191751299</v>
      </c>
    </row>
    <row r="1441" spans="1:21" x14ac:dyDescent="0.3">
      <c r="A1441" s="1" t="s">
        <v>15</v>
      </c>
      <c r="B1441" s="1" t="s">
        <v>80</v>
      </c>
      <c r="C1441" s="2">
        <v>44937</v>
      </c>
      <c r="D1441" s="1" t="s">
        <v>17</v>
      </c>
      <c r="E1441" s="1" t="s">
        <v>18</v>
      </c>
      <c r="F1441">
        <v>9192.42</v>
      </c>
      <c r="G1441">
        <v>35</v>
      </c>
      <c r="H1441" s="1" t="s">
        <v>37</v>
      </c>
      <c r="I1441">
        <v>585.37</v>
      </c>
      <c r="J1441">
        <v>970.49</v>
      </c>
      <c r="K1441" s="1" t="s">
        <v>20</v>
      </c>
      <c r="L1441">
        <v>0.15</v>
      </c>
      <c r="M1441" s="1" t="s">
        <v>32</v>
      </c>
      <c r="N1441" s="1" t="s">
        <v>33</v>
      </c>
      <c r="O1441" s="1" t="s">
        <v>23</v>
      </c>
      <c r="P1441">
        <v>20487.95</v>
      </c>
      <c r="Q1441">
        <v>2023</v>
      </c>
      <c r="R1441">
        <v>28872.077499999999</v>
      </c>
      <c r="S1441">
        <v>8384.1274999999987</v>
      </c>
      <c r="T1441" s="1" t="s">
        <v>163</v>
      </c>
      <c r="U1441">
        <v>0.29038878480427999</v>
      </c>
    </row>
    <row r="1442" spans="1:21" x14ac:dyDescent="0.3">
      <c r="A1442" s="1" t="s">
        <v>15</v>
      </c>
      <c r="B1442" s="1" t="s">
        <v>81</v>
      </c>
      <c r="C1442" s="2">
        <v>44937</v>
      </c>
      <c r="D1442" s="1" t="s">
        <v>17</v>
      </c>
      <c r="E1442" s="1" t="s">
        <v>18</v>
      </c>
      <c r="F1442">
        <v>3594.29</v>
      </c>
      <c r="G1442">
        <v>5</v>
      </c>
      <c r="H1442" s="1" t="s">
        <v>57</v>
      </c>
      <c r="I1442">
        <v>4762.87</v>
      </c>
      <c r="J1442">
        <v>5050.46</v>
      </c>
      <c r="K1442" s="1" t="s">
        <v>26</v>
      </c>
      <c r="L1442">
        <v>0.25</v>
      </c>
      <c r="M1442" s="1" t="s">
        <v>21</v>
      </c>
      <c r="N1442" s="1" t="s">
        <v>33</v>
      </c>
      <c r="O1442" s="1" t="s">
        <v>23</v>
      </c>
      <c r="P1442">
        <v>23814.35</v>
      </c>
      <c r="Q1442">
        <v>2023</v>
      </c>
      <c r="R1442">
        <v>18939.224999999999</v>
      </c>
      <c r="S1442">
        <v>-4875.125</v>
      </c>
      <c r="T1442" s="1" t="s">
        <v>163</v>
      </c>
      <c r="U1442">
        <v>-0.25740889608735301</v>
      </c>
    </row>
    <row r="1443" spans="1:21" x14ac:dyDescent="0.3">
      <c r="A1443" s="1" t="s">
        <v>15</v>
      </c>
      <c r="B1443" s="1" t="s">
        <v>82</v>
      </c>
      <c r="C1443" s="2">
        <v>44937</v>
      </c>
      <c r="D1443" s="1" t="s">
        <v>25</v>
      </c>
      <c r="E1443" s="1" t="s">
        <v>40</v>
      </c>
      <c r="F1443">
        <v>1016.99</v>
      </c>
      <c r="G1443">
        <v>34</v>
      </c>
      <c r="H1443" s="1" t="s">
        <v>37</v>
      </c>
      <c r="I1443">
        <v>4984.21</v>
      </c>
      <c r="J1443">
        <v>5184.6400000000003</v>
      </c>
      <c r="K1443" s="1" t="s">
        <v>26</v>
      </c>
      <c r="L1443">
        <v>0.17</v>
      </c>
      <c r="M1443" s="1" t="s">
        <v>21</v>
      </c>
      <c r="N1443" s="1" t="s">
        <v>22</v>
      </c>
      <c r="O1443" s="1" t="s">
        <v>83</v>
      </c>
      <c r="P1443">
        <v>169463.14</v>
      </c>
      <c r="Q1443">
        <v>2023</v>
      </c>
      <c r="R1443">
        <v>146310.54079999999</v>
      </c>
      <c r="S1443">
        <v>-23152.599200000026</v>
      </c>
      <c r="T1443" s="1" t="s">
        <v>163</v>
      </c>
      <c r="U1443">
        <v>-0.158242865301473</v>
      </c>
    </row>
    <row r="1444" spans="1:21" x14ac:dyDescent="0.3">
      <c r="A1444" s="1" t="s">
        <v>15</v>
      </c>
      <c r="B1444" s="1" t="s">
        <v>84</v>
      </c>
      <c r="C1444" s="2">
        <v>44937</v>
      </c>
      <c r="D1444" s="1" t="s">
        <v>43</v>
      </c>
      <c r="E1444" s="1" t="s">
        <v>44</v>
      </c>
      <c r="F1444">
        <v>8967.18</v>
      </c>
      <c r="G1444">
        <v>21</v>
      </c>
      <c r="H1444" s="1" t="s">
        <v>19</v>
      </c>
      <c r="I1444">
        <v>576.74</v>
      </c>
      <c r="J1444">
        <v>648.29</v>
      </c>
      <c r="K1444" s="1" t="s">
        <v>20</v>
      </c>
      <c r="L1444">
        <v>0.2</v>
      </c>
      <c r="M1444" s="1" t="s">
        <v>32</v>
      </c>
      <c r="N1444" s="1" t="s">
        <v>22</v>
      </c>
      <c r="O1444" s="1" t="s">
        <v>45</v>
      </c>
      <c r="P1444">
        <v>12111.54</v>
      </c>
      <c r="Q1444">
        <v>2023</v>
      </c>
      <c r="R1444">
        <v>10891.272000000001</v>
      </c>
      <c r="S1444">
        <v>-1220.268</v>
      </c>
      <c r="T1444" s="1" t="s">
        <v>163</v>
      </c>
      <c r="U1444">
        <v>-0.11204090761850399</v>
      </c>
    </row>
    <row r="1445" spans="1:21" x14ac:dyDescent="0.3">
      <c r="A1445" s="1" t="s">
        <v>15</v>
      </c>
      <c r="B1445" s="1" t="s">
        <v>85</v>
      </c>
      <c r="C1445" s="2">
        <v>44937</v>
      </c>
      <c r="D1445" s="1" t="s">
        <v>59</v>
      </c>
      <c r="E1445" s="1" t="s">
        <v>30</v>
      </c>
      <c r="F1445">
        <v>1758.16</v>
      </c>
      <c r="G1445">
        <v>11</v>
      </c>
      <c r="H1445" s="1" t="s">
        <v>57</v>
      </c>
      <c r="I1445">
        <v>3884.13</v>
      </c>
      <c r="J1445">
        <v>3915.41</v>
      </c>
      <c r="K1445" s="1" t="s">
        <v>20</v>
      </c>
      <c r="L1445">
        <v>0.02</v>
      </c>
      <c r="M1445" s="1" t="s">
        <v>21</v>
      </c>
      <c r="N1445" s="1" t="s">
        <v>22</v>
      </c>
      <c r="O1445" s="1" t="s">
        <v>86</v>
      </c>
      <c r="P1445">
        <v>42725.43</v>
      </c>
      <c r="Q1445">
        <v>2023</v>
      </c>
      <c r="R1445">
        <v>42208.119799999993</v>
      </c>
      <c r="S1445">
        <v>-517.31020000000717</v>
      </c>
      <c r="T1445" s="1" t="s">
        <v>163</v>
      </c>
      <c r="U1445">
        <v>-1.2256177305486299E-2</v>
      </c>
    </row>
    <row r="1446" spans="1:21" x14ac:dyDescent="0.3">
      <c r="A1446" s="1" t="s">
        <v>15</v>
      </c>
      <c r="B1446" s="1" t="s">
        <v>87</v>
      </c>
      <c r="C1446" s="2">
        <v>44938</v>
      </c>
      <c r="D1446" s="1" t="s">
        <v>17</v>
      </c>
      <c r="E1446" s="1" t="s">
        <v>44</v>
      </c>
      <c r="F1446">
        <v>2761.65</v>
      </c>
      <c r="G1446">
        <v>13</v>
      </c>
      <c r="H1446" s="1" t="s">
        <v>57</v>
      </c>
      <c r="I1446">
        <v>2312.4499999999998</v>
      </c>
      <c r="J1446">
        <v>2504.6</v>
      </c>
      <c r="K1446" s="1" t="s">
        <v>20</v>
      </c>
      <c r="L1446">
        <v>0.06</v>
      </c>
      <c r="M1446" s="1" t="s">
        <v>32</v>
      </c>
      <c r="N1446" s="1" t="s">
        <v>22</v>
      </c>
      <c r="O1446" s="1" t="s">
        <v>49</v>
      </c>
      <c r="P1446">
        <v>30061.85</v>
      </c>
      <c r="Q1446">
        <v>2023</v>
      </c>
      <c r="R1446">
        <v>30606.211999999996</v>
      </c>
      <c r="S1446">
        <v>544.36199999999735</v>
      </c>
      <c r="T1446" s="1" t="s">
        <v>163</v>
      </c>
      <c r="U1446">
        <v>1.7785997169463399E-2</v>
      </c>
    </row>
    <row r="1447" spans="1:21" x14ac:dyDescent="0.3">
      <c r="A1447" s="1" t="s">
        <v>15</v>
      </c>
      <c r="B1447" s="1" t="s">
        <v>88</v>
      </c>
      <c r="C1447" s="2">
        <v>44938</v>
      </c>
      <c r="D1447" s="1" t="s">
        <v>17</v>
      </c>
      <c r="E1447" s="1" t="s">
        <v>44</v>
      </c>
      <c r="F1447">
        <v>4481.2</v>
      </c>
      <c r="G1447">
        <v>36</v>
      </c>
      <c r="H1447" s="1" t="s">
        <v>57</v>
      </c>
      <c r="I1447">
        <v>4548.88</v>
      </c>
      <c r="J1447">
        <v>4853.41</v>
      </c>
      <c r="K1447" s="1" t="s">
        <v>20</v>
      </c>
      <c r="L1447">
        <v>0.25</v>
      </c>
      <c r="M1447" s="1" t="s">
        <v>27</v>
      </c>
      <c r="N1447" s="1" t="s">
        <v>33</v>
      </c>
      <c r="O1447" s="1" t="s">
        <v>49</v>
      </c>
      <c r="P1447">
        <v>163759.67999999999</v>
      </c>
      <c r="Q1447">
        <v>2023</v>
      </c>
      <c r="R1447">
        <v>131042.07</v>
      </c>
      <c r="S1447">
        <v>-32717.609999999986</v>
      </c>
      <c r="T1447" s="1" t="s">
        <v>163</v>
      </c>
      <c r="U1447">
        <v>-0.24967256698554899</v>
      </c>
    </row>
    <row r="1448" spans="1:21" x14ac:dyDescent="0.3">
      <c r="A1448" s="1" t="s">
        <v>15</v>
      </c>
      <c r="B1448" s="1" t="s">
        <v>46</v>
      </c>
      <c r="C1448" s="2">
        <v>44938</v>
      </c>
      <c r="D1448" s="1" t="s">
        <v>25</v>
      </c>
      <c r="E1448" s="1" t="s">
        <v>18</v>
      </c>
      <c r="F1448">
        <v>6701.79</v>
      </c>
      <c r="G1448">
        <v>21</v>
      </c>
      <c r="H1448" s="1" t="s">
        <v>57</v>
      </c>
      <c r="I1448">
        <v>3724.38</v>
      </c>
      <c r="J1448">
        <v>3988.7</v>
      </c>
      <c r="K1448" s="1" t="s">
        <v>26</v>
      </c>
      <c r="L1448">
        <v>0.03</v>
      </c>
      <c r="M1448" s="1" t="s">
        <v>32</v>
      </c>
      <c r="N1448" s="1" t="s">
        <v>33</v>
      </c>
      <c r="O1448" s="1" t="s">
        <v>28</v>
      </c>
      <c r="P1448">
        <v>78211.98</v>
      </c>
      <c r="Q1448">
        <v>2023</v>
      </c>
      <c r="R1448">
        <v>81249.818999999989</v>
      </c>
      <c r="S1448">
        <v>3037.8389999999927</v>
      </c>
      <c r="T1448" s="1" t="s">
        <v>163</v>
      </c>
      <c r="U1448">
        <v>3.7388870983207902E-2</v>
      </c>
    </row>
    <row r="1449" spans="1:21" x14ac:dyDescent="0.3">
      <c r="A1449" s="1" t="s">
        <v>15</v>
      </c>
      <c r="B1449" s="1" t="s">
        <v>89</v>
      </c>
      <c r="C1449" s="2">
        <v>44938</v>
      </c>
      <c r="D1449" s="1" t="s">
        <v>59</v>
      </c>
      <c r="E1449" s="1" t="s">
        <v>40</v>
      </c>
      <c r="F1449">
        <v>7646.8</v>
      </c>
      <c r="G1449">
        <v>35</v>
      </c>
      <c r="H1449" s="1" t="s">
        <v>37</v>
      </c>
      <c r="I1449">
        <v>1312.71</v>
      </c>
      <c r="J1449">
        <v>1352.11</v>
      </c>
      <c r="K1449" s="1" t="s">
        <v>20</v>
      </c>
      <c r="L1449">
        <v>0.22</v>
      </c>
      <c r="M1449" s="1" t="s">
        <v>32</v>
      </c>
      <c r="N1449" s="1" t="s">
        <v>33</v>
      </c>
      <c r="O1449" s="1" t="s">
        <v>90</v>
      </c>
      <c r="P1449">
        <v>45944.85</v>
      </c>
      <c r="Q1449">
        <v>2023</v>
      </c>
      <c r="R1449">
        <v>36912.603000000003</v>
      </c>
      <c r="S1449">
        <v>-9032.2469999999958</v>
      </c>
      <c r="T1449" s="1" t="s">
        <v>163</v>
      </c>
      <c r="U1449">
        <v>-0.24469276794161601</v>
      </c>
    </row>
    <row r="1450" spans="1:21" x14ac:dyDescent="0.3">
      <c r="A1450" s="1" t="s">
        <v>15</v>
      </c>
      <c r="B1450" s="1" t="s">
        <v>91</v>
      </c>
      <c r="C1450" s="2">
        <v>44938</v>
      </c>
      <c r="D1450" s="1" t="s">
        <v>25</v>
      </c>
      <c r="E1450" s="1" t="s">
        <v>30</v>
      </c>
      <c r="F1450">
        <v>9613.11</v>
      </c>
      <c r="G1450">
        <v>35</v>
      </c>
      <c r="H1450" s="1" t="s">
        <v>31</v>
      </c>
      <c r="I1450">
        <v>3777.94</v>
      </c>
      <c r="J1450">
        <v>4188.66</v>
      </c>
      <c r="K1450" s="1" t="s">
        <v>26</v>
      </c>
      <c r="L1450">
        <v>0.17</v>
      </c>
      <c r="M1450" s="1" t="s">
        <v>32</v>
      </c>
      <c r="N1450" s="1" t="s">
        <v>22</v>
      </c>
      <c r="O1450" s="1" t="s">
        <v>92</v>
      </c>
      <c r="P1450">
        <v>132227.9</v>
      </c>
      <c r="Q1450">
        <v>2023</v>
      </c>
      <c r="R1450">
        <v>121680.573</v>
      </c>
      <c r="S1450">
        <v>-10547.32699999999</v>
      </c>
      <c r="T1450" s="1" t="s">
        <v>163</v>
      </c>
      <c r="U1450">
        <v>-8.6680451447249396E-2</v>
      </c>
    </row>
    <row r="1451" spans="1:21" x14ac:dyDescent="0.3">
      <c r="A1451" s="1" t="s">
        <v>15</v>
      </c>
      <c r="B1451" s="1" t="s">
        <v>79</v>
      </c>
      <c r="C1451" s="2">
        <v>44938</v>
      </c>
      <c r="D1451" s="1" t="s">
        <v>17</v>
      </c>
      <c r="E1451" s="1" t="s">
        <v>40</v>
      </c>
      <c r="F1451">
        <v>5835.21</v>
      </c>
      <c r="G1451">
        <v>38</v>
      </c>
      <c r="H1451" s="1" t="s">
        <v>57</v>
      </c>
      <c r="I1451">
        <v>3443.98</v>
      </c>
      <c r="J1451">
        <v>3820.3</v>
      </c>
      <c r="K1451" s="1" t="s">
        <v>20</v>
      </c>
      <c r="L1451">
        <v>0.01</v>
      </c>
      <c r="M1451" s="1" t="s">
        <v>27</v>
      </c>
      <c r="N1451" s="1" t="s">
        <v>33</v>
      </c>
      <c r="O1451" s="1" t="s">
        <v>67</v>
      </c>
      <c r="P1451">
        <v>130871.24</v>
      </c>
      <c r="Q1451">
        <v>2023</v>
      </c>
      <c r="R1451">
        <v>143719.68599999999</v>
      </c>
      <c r="S1451">
        <v>12848.445999999982</v>
      </c>
      <c r="T1451" s="1" t="s">
        <v>163</v>
      </c>
      <c r="U1451">
        <v>8.9399346447222194E-2</v>
      </c>
    </row>
    <row r="1452" spans="1:21" x14ac:dyDescent="0.3">
      <c r="A1452" s="1" t="s">
        <v>15</v>
      </c>
      <c r="B1452" s="1" t="s">
        <v>93</v>
      </c>
      <c r="C1452" s="2">
        <v>44938</v>
      </c>
      <c r="D1452" s="1" t="s">
        <v>25</v>
      </c>
      <c r="E1452" s="1" t="s">
        <v>44</v>
      </c>
      <c r="F1452">
        <v>6482.98</v>
      </c>
      <c r="G1452">
        <v>47</v>
      </c>
      <c r="H1452" s="1" t="s">
        <v>19</v>
      </c>
      <c r="I1452">
        <v>702.44</v>
      </c>
      <c r="J1452">
        <v>1067.6600000000001</v>
      </c>
      <c r="K1452" s="1" t="s">
        <v>26</v>
      </c>
      <c r="L1452">
        <v>0.24</v>
      </c>
      <c r="M1452" s="1" t="s">
        <v>21</v>
      </c>
      <c r="N1452" s="1" t="s">
        <v>33</v>
      </c>
      <c r="O1452" s="1" t="s">
        <v>47</v>
      </c>
      <c r="P1452">
        <v>33014.68</v>
      </c>
      <c r="Q1452">
        <v>2023</v>
      </c>
      <c r="R1452">
        <v>38136.815200000005</v>
      </c>
      <c r="S1452">
        <v>5122.1352000000043</v>
      </c>
      <c r="T1452" s="1" t="s">
        <v>163</v>
      </c>
      <c r="U1452">
        <v>0.13430946378553399</v>
      </c>
    </row>
    <row r="1453" spans="1:21" x14ac:dyDescent="0.3">
      <c r="A1453" s="1" t="s">
        <v>15</v>
      </c>
      <c r="B1453" s="1" t="s">
        <v>55</v>
      </c>
      <c r="C1453" s="2">
        <v>44939</v>
      </c>
      <c r="D1453" s="1" t="s">
        <v>59</v>
      </c>
      <c r="E1453" s="1" t="s">
        <v>44</v>
      </c>
      <c r="F1453">
        <v>2359.5300000000002</v>
      </c>
      <c r="G1453">
        <v>17</v>
      </c>
      <c r="H1453" s="1" t="s">
        <v>19</v>
      </c>
      <c r="I1453">
        <v>2382.98</v>
      </c>
      <c r="J1453">
        <v>2839.73</v>
      </c>
      <c r="K1453" s="1" t="s">
        <v>20</v>
      </c>
      <c r="L1453">
        <v>0.23</v>
      </c>
      <c r="M1453" s="1" t="s">
        <v>32</v>
      </c>
      <c r="N1453" s="1" t="s">
        <v>33</v>
      </c>
      <c r="O1453" s="1" t="s">
        <v>60</v>
      </c>
      <c r="P1453">
        <v>40510.660000000003</v>
      </c>
      <c r="Q1453">
        <v>2023</v>
      </c>
      <c r="R1453">
        <v>37172.065700000006</v>
      </c>
      <c r="S1453">
        <v>-3338.594299999997</v>
      </c>
      <c r="T1453" s="1" t="s">
        <v>163</v>
      </c>
      <c r="U1453">
        <v>-8.9814602366852E-2</v>
      </c>
    </row>
    <row r="1454" spans="1:21" x14ac:dyDescent="0.3">
      <c r="A1454" s="1" t="s">
        <v>15</v>
      </c>
      <c r="B1454" s="1" t="s">
        <v>94</v>
      </c>
      <c r="C1454" s="2">
        <v>44939</v>
      </c>
      <c r="D1454" s="1" t="s">
        <v>59</v>
      </c>
      <c r="E1454" s="1" t="s">
        <v>44</v>
      </c>
      <c r="F1454">
        <v>8892.3700000000008</v>
      </c>
      <c r="G1454">
        <v>39</v>
      </c>
      <c r="H1454" s="1" t="s">
        <v>31</v>
      </c>
      <c r="I1454">
        <v>3126.52</v>
      </c>
      <c r="J1454">
        <v>3465.79</v>
      </c>
      <c r="K1454" s="1" t="s">
        <v>26</v>
      </c>
      <c r="L1454">
        <v>0.08</v>
      </c>
      <c r="M1454" s="1" t="s">
        <v>21</v>
      </c>
      <c r="N1454" s="1" t="s">
        <v>22</v>
      </c>
      <c r="O1454" s="1" t="s">
        <v>60</v>
      </c>
      <c r="P1454">
        <v>121934.28</v>
      </c>
      <c r="Q1454">
        <v>2023</v>
      </c>
      <c r="R1454">
        <v>124352.54520000001</v>
      </c>
      <c r="S1454">
        <v>2418.2652000000089</v>
      </c>
      <c r="T1454" s="1" t="s">
        <v>163</v>
      </c>
      <c r="U1454">
        <v>1.9446849247119501E-2</v>
      </c>
    </row>
    <row r="1455" spans="1:21" x14ac:dyDescent="0.3">
      <c r="A1455" s="1" t="s">
        <v>15</v>
      </c>
      <c r="B1455" s="1" t="s">
        <v>95</v>
      </c>
      <c r="C1455" s="2">
        <v>44940</v>
      </c>
      <c r="D1455" s="1" t="s">
        <v>59</v>
      </c>
      <c r="E1455" s="1" t="s">
        <v>40</v>
      </c>
      <c r="F1455">
        <v>1740.92</v>
      </c>
      <c r="G1455">
        <v>24</v>
      </c>
      <c r="H1455" s="1" t="s">
        <v>19</v>
      </c>
      <c r="I1455">
        <v>1345.67</v>
      </c>
      <c r="J1455">
        <v>1367.76</v>
      </c>
      <c r="K1455" s="1" t="s">
        <v>26</v>
      </c>
      <c r="L1455">
        <v>0.06</v>
      </c>
      <c r="M1455" s="1" t="s">
        <v>32</v>
      </c>
      <c r="N1455" s="1" t="s">
        <v>22</v>
      </c>
      <c r="O1455" s="1" t="s">
        <v>90</v>
      </c>
      <c r="P1455">
        <v>32296.080000000002</v>
      </c>
      <c r="Q1455">
        <v>2023</v>
      </c>
      <c r="R1455">
        <v>30856.665599999997</v>
      </c>
      <c r="S1455">
        <v>-1439.4144000000051</v>
      </c>
      <c r="T1455" s="1" t="s">
        <v>163</v>
      </c>
      <c r="U1455">
        <v>-4.6648410384303E-2</v>
      </c>
    </row>
    <row r="1456" spans="1:21" x14ac:dyDescent="0.3">
      <c r="A1456" s="1" t="s">
        <v>15</v>
      </c>
      <c r="B1456" s="1" t="s">
        <v>96</v>
      </c>
      <c r="C1456" s="2">
        <v>44940</v>
      </c>
      <c r="D1456" s="1" t="s">
        <v>43</v>
      </c>
      <c r="E1456" s="1" t="s">
        <v>44</v>
      </c>
      <c r="F1456">
        <v>5235.1400000000003</v>
      </c>
      <c r="G1456">
        <v>6</v>
      </c>
      <c r="H1456" s="1" t="s">
        <v>57</v>
      </c>
      <c r="I1456">
        <v>4987.71</v>
      </c>
      <c r="J1456">
        <v>4998.78</v>
      </c>
      <c r="K1456" s="1" t="s">
        <v>20</v>
      </c>
      <c r="L1456">
        <v>0.17</v>
      </c>
      <c r="M1456" s="1" t="s">
        <v>21</v>
      </c>
      <c r="N1456" s="1" t="s">
        <v>33</v>
      </c>
      <c r="O1456" s="1" t="s">
        <v>45</v>
      </c>
      <c r="P1456">
        <v>29926.260000000002</v>
      </c>
      <c r="Q1456">
        <v>2023</v>
      </c>
      <c r="R1456">
        <v>24893.9244</v>
      </c>
      <c r="S1456">
        <v>-5032.3356000000022</v>
      </c>
      <c r="T1456" s="1" t="s">
        <v>163</v>
      </c>
      <c r="U1456">
        <v>-0.202151156207416</v>
      </c>
    </row>
    <row r="1457" spans="1:21" x14ac:dyDescent="0.3">
      <c r="A1457" s="1" t="s">
        <v>15</v>
      </c>
      <c r="B1457" s="1" t="s">
        <v>97</v>
      </c>
      <c r="C1457" s="2">
        <v>44940</v>
      </c>
      <c r="D1457" s="1" t="s">
        <v>43</v>
      </c>
      <c r="E1457" s="1" t="s">
        <v>30</v>
      </c>
      <c r="F1457">
        <v>3334.75</v>
      </c>
      <c r="G1457">
        <v>45</v>
      </c>
      <c r="H1457" s="1" t="s">
        <v>19</v>
      </c>
      <c r="I1457">
        <v>2693.99</v>
      </c>
      <c r="J1457">
        <v>3045.94</v>
      </c>
      <c r="K1457" s="1" t="s">
        <v>26</v>
      </c>
      <c r="L1457">
        <v>0.01</v>
      </c>
      <c r="M1457" s="1" t="s">
        <v>21</v>
      </c>
      <c r="N1457" s="1" t="s">
        <v>33</v>
      </c>
      <c r="O1457" s="1" t="s">
        <v>54</v>
      </c>
      <c r="P1457">
        <v>121229.54999999999</v>
      </c>
      <c r="Q1457">
        <v>2023</v>
      </c>
      <c r="R1457">
        <v>135696.62699999998</v>
      </c>
      <c r="S1457">
        <v>14467.07699999999</v>
      </c>
      <c r="T1457" s="1" t="s">
        <v>163</v>
      </c>
      <c r="U1457">
        <v>0.106613386934076</v>
      </c>
    </row>
    <row r="1458" spans="1:21" x14ac:dyDescent="0.3">
      <c r="A1458" s="1" t="s">
        <v>15</v>
      </c>
      <c r="B1458" s="1" t="s">
        <v>98</v>
      </c>
      <c r="C1458" s="2">
        <v>44940</v>
      </c>
      <c r="D1458" s="1" t="s">
        <v>25</v>
      </c>
      <c r="E1458" s="1" t="s">
        <v>40</v>
      </c>
      <c r="F1458">
        <v>5720.5</v>
      </c>
      <c r="G1458">
        <v>25</v>
      </c>
      <c r="H1458" s="1" t="s">
        <v>57</v>
      </c>
      <c r="I1458">
        <v>2361.7399999999998</v>
      </c>
      <c r="J1458">
        <v>2584.35</v>
      </c>
      <c r="K1458" s="1" t="s">
        <v>20</v>
      </c>
      <c r="L1458">
        <v>0.2</v>
      </c>
      <c r="M1458" s="1" t="s">
        <v>21</v>
      </c>
      <c r="N1458" s="1" t="s">
        <v>22</v>
      </c>
      <c r="O1458" s="1" t="s">
        <v>83</v>
      </c>
      <c r="P1458">
        <v>59043.499999999993</v>
      </c>
      <c r="Q1458">
        <v>2023</v>
      </c>
      <c r="R1458">
        <v>51687</v>
      </c>
      <c r="S1458">
        <v>-7356.4999999999927</v>
      </c>
      <c r="T1458" s="1" t="s">
        <v>163</v>
      </c>
      <c r="U1458">
        <v>-0.14232785806876</v>
      </c>
    </row>
    <row r="1459" spans="1:21" x14ac:dyDescent="0.3">
      <c r="A1459" s="1" t="s">
        <v>15</v>
      </c>
      <c r="B1459" s="1" t="s">
        <v>48</v>
      </c>
      <c r="C1459" s="2">
        <v>44941</v>
      </c>
      <c r="D1459" s="1" t="s">
        <v>43</v>
      </c>
      <c r="E1459" s="1" t="s">
        <v>40</v>
      </c>
      <c r="F1459">
        <v>6261.2</v>
      </c>
      <c r="G1459">
        <v>26</v>
      </c>
      <c r="H1459" s="1" t="s">
        <v>57</v>
      </c>
      <c r="I1459">
        <v>149.11000000000001</v>
      </c>
      <c r="J1459">
        <v>477.67</v>
      </c>
      <c r="K1459" s="1" t="s">
        <v>20</v>
      </c>
      <c r="L1459">
        <v>0.14000000000000001</v>
      </c>
      <c r="M1459" s="1" t="s">
        <v>21</v>
      </c>
      <c r="N1459" s="1" t="s">
        <v>33</v>
      </c>
      <c r="O1459" s="1" t="s">
        <v>99</v>
      </c>
      <c r="P1459">
        <v>3876.8600000000006</v>
      </c>
      <c r="Q1459">
        <v>2023</v>
      </c>
      <c r="R1459">
        <v>10680.7012</v>
      </c>
      <c r="S1459">
        <v>6803.8411999999989</v>
      </c>
      <c r="T1459" s="1" t="s">
        <v>163</v>
      </c>
      <c r="U1459">
        <v>0.63702195882045598</v>
      </c>
    </row>
    <row r="1460" spans="1:21" x14ac:dyDescent="0.3">
      <c r="A1460" s="1" t="s">
        <v>15</v>
      </c>
      <c r="B1460" s="1" t="s">
        <v>100</v>
      </c>
      <c r="C1460" s="2">
        <v>44941</v>
      </c>
      <c r="D1460" s="1" t="s">
        <v>36</v>
      </c>
      <c r="E1460" s="1" t="s">
        <v>30</v>
      </c>
      <c r="F1460">
        <v>2298.5500000000002</v>
      </c>
      <c r="G1460">
        <v>46</v>
      </c>
      <c r="H1460" s="1" t="s">
        <v>31</v>
      </c>
      <c r="I1460">
        <v>2172.38</v>
      </c>
      <c r="J1460">
        <v>2367.11</v>
      </c>
      <c r="K1460" s="1" t="s">
        <v>26</v>
      </c>
      <c r="L1460">
        <v>0.16</v>
      </c>
      <c r="M1460" s="1" t="s">
        <v>21</v>
      </c>
      <c r="N1460" s="1" t="s">
        <v>33</v>
      </c>
      <c r="O1460" s="1" t="s">
        <v>38</v>
      </c>
      <c r="P1460">
        <v>99929.48000000001</v>
      </c>
      <c r="Q1460">
        <v>2023</v>
      </c>
      <c r="R1460">
        <v>91465.130400000009</v>
      </c>
      <c r="S1460">
        <v>-8464.3496000000014</v>
      </c>
      <c r="T1460" s="1" t="s">
        <v>163</v>
      </c>
      <c r="U1460">
        <v>-9.2541819630970495E-2</v>
      </c>
    </row>
    <row r="1461" spans="1:21" x14ac:dyDescent="0.3">
      <c r="A1461" s="1" t="s">
        <v>15</v>
      </c>
      <c r="B1461" s="1" t="s">
        <v>101</v>
      </c>
      <c r="C1461" s="2">
        <v>44941</v>
      </c>
      <c r="D1461" s="1" t="s">
        <v>25</v>
      </c>
      <c r="E1461" s="1" t="s">
        <v>18</v>
      </c>
      <c r="F1461">
        <v>8601.77</v>
      </c>
      <c r="G1461">
        <v>19</v>
      </c>
      <c r="H1461" s="1" t="s">
        <v>31</v>
      </c>
      <c r="I1461">
        <v>342.3</v>
      </c>
      <c r="J1461">
        <v>768.06</v>
      </c>
      <c r="K1461" s="1" t="s">
        <v>20</v>
      </c>
      <c r="L1461">
        <v>0.09</v>
      </c>
      <c r="M1461" s="1" t="s">
        <v>27</v>
      </c>
      <c r="N1461" s="1" t="s">
        <v>22</v>
      </c>
      <c r="O1461" s="1" t="s">
        <v>28</v>
      </c>
      <c r="P1461">
        <v>6503.7</v>
      </c>
      <c r="Q1461">
        <v>2023</v>
      </c>
      <c r="R1461">
        <v>13279.7574</v>
      </c>
      <c r="S1461">
        <v>6776.0574000000006</v>
      </c>
      <c r="T1461" s="1" t="s">
        <v>163</v>
      </c>
      <c r="U1461">
        <v>0.51025460751263396</v>
      </c>
    </row>
    <row r="1462" spans="1:21" x14ac:dyDescent="0.3">
      <c r="A1462" s="1" t="s">
        <v>15</v>
      </c>
      <c r="B1462" s="1" t="s">
        <v>102</v>
      </c>
      <c r="C1462" s="2">
        <v>44941</v>
      </c>
      <c r="D1462" s="1" t="s">
        <v>17</v>
      </c>
      <c r="E1462" s="1" t="s">
        <v>18</v>
      </c>
      <c r="F1462">
        <v>289.52999999999997</v>
      </c>
      <c r="G1462">
        <v>6</v>
      </c>
      <c r="H1462" s="1" t="s">
        <v>31</v>
      </c>
      <c r="I1462">
        <v>2594.42</v>
      </c>
      <c r="J1462">
        <v>3081.04</v>
      </c>
      <c r="K1462" s="1" t="s">
        <v>20</v>
      </c>
      <c r="L1462">
        <v>0.1</v>
      </c>
      <c r="M1462" s="1" t="s">
        <v>32</v>
      </c>
      <c r="N1462" s="1" t="s">
        <v>33</v>
      </c>
      <c r="O1462" s="1" t="s">
        <v>23</v>
      </c>
      <c r="P1462">
        <v>15566.52</v>
      </c>
      <c r="Q1462">
        <v>2023</v>
      </c>
      <c r="R1462">
        <v>16637.615999999998</v>
      </c>
      <c r="S1462">
        <v>1071.0959999999977</v>
      </c>
      <c r="T1462" s="1" t="s">
        <v>163</v>
      </c>
      <c r="U1462">
        <v>6.4377973382724898E-2</v>
      </c>
    </row>
    <row r="1463" spans="1:21" x14ac:dyDescent="0.3">
      <c r="A1463" s="1" t="s">
        <v>15</v>
      </c>
      <c r="B1463" s="1" t="s">
        <v>79</v>
      </c>
      <c r="C1463" s="2">
        <v>44941</v>
      </c>
      <c r="D1463" s="1" t="s">
        <v>43</v>
      </c>
      <c r="E1463" s="1" t="s">
        <v>18</v>
      </c>
      <c r="F1463">
        <v>8872.33</v>
      </c>
      <c r="G1463">
        <v>45</v>
      </c>
      <c r="H1463" s="1" t="s">
        <v>31</v>
      </c>
      <c r="I1463">
        <v>4470.91</v>
      </c>
      <c r="J1463">
        <v>4695.54</v>
      </c>
      <c r="K1463" s="1" t="s">
        <v>20</v>
      </c>
      <c r="L1463">
        <v>0.06</v>
      </c>
      <c r="M1463" s="1" t="s">
        <v>21</v>
      </c>
      <c r="N1463" s="1" t="s">
        <v>33</v>
      </c>
      <c r="O1463" s="1" t="s">
        <v>62</v>
      </c>
      <c r="P1463">
        <v>201190.94999999998</v>
      </c>
      <c r="Q1463">
        <v>2023</v>
      </c>
      <c r="R1463">
        <v>198621.34199999998</v>
      </c>
      <c r="S1463">
        <v>-2569.6080000000075</v>
      </c>
      <c r="T1463" s="1" t="s">
        <v>163</v>
      </c>
      <c r="U1463">
        <v>-1.2937220009318099E-2</v>
      </c>
    </row>
    <row r="1464" spans="1:21" x14ac:dyDescent="0.3">
      <c r="A1464" s="1" t="s">
        <v>15</v>
      </c>
      <c r="B1464" s="1" t="s">
        <v>69</v>
      </c>
      <c r="C1464" s="2">
        <v>44942</v>
      </c>
      <c r="D1464" s="1" t="s">
        <v>59</v>
      </c>
      <c r="E1464" s="1" t="s">
        <v>18</v>
      </c>
      <c r="F1464">
        <v>1937.9</v>
      </c>
      <c r="G1464">
        <v>13</v>
      </c>
      <c r="H1464" s="1" t="s">
        <v>31</v>
      </c>
      <c r="I1464">
        <v>366.31</v>
      </c>
      <c r="J1464">
        <v>492.68</v>
      </c>
      <c r="K1464" s="1" t="s">
        <v>26</v>
      </c>
      <c r="L1464">
        <v>0.12</v>
      </c>
      <c r="M1464" s="1" t="s">
        <v>27</v>
      </c>
      <c r="N1464" s="1" t="s">
        <v>33</v>
      </c>
      <c r="O1464" s="1" t="s">
        <v>77</v>
      </c>
      <c r="P1464">
        <v>4762.03</v>
      </c>
      <c r="Q1464">
        <v>2023</v>
      </c>
      <c r="R1464">
        <v>5636.2592000000004</v>
      </c>
      <c r="S1464">
        <v>874.22920000000067</v>
      </c>
      <c r="T1464" s="1" t="s">
        <v>163</v>
      </c>
      <c r="U1464">
        <v>0.15510805464730901</v>
      </c>
    </row>
    <row r="1465" spans="1:21" x14ac:dyDescent="0.3">
      <c r="A1465" s="1" t="s">
        <v>15</v>
      </c>
      <c r="B1465" s="1" t="s">
        <v>89</v>
      </c>
      <c r="C1465" s="2">
        <v>44942</v>
      </c>
      <c r="D1465" s="1" t="s">
        <v>17</v>
      </c>
      <c r="E1465" s="1" t="s">
        <v>44</v>
      </c>
      <c r="F1465">
        <v>6769.09</v>
      </c>
      <c r="G1465">
        <v>20</v>
      </c>
      <c r="H1465" s="1" t="s">
        <v>19</v>
      </c>
      <c r="I1465">
        <v>3356.62</v>
      </c>
      <c r="J1465">
        <v>3759.01</v>
      </c>
      <c r="K1465" s="1" t="s">
        <v>20</v>
      </c>
      <c r="L1465">
        <v>0.05</v>
      </c>
      <c r="M1465" s="1" t="s">
        <v>27</v>
      </c>
      <c r="N1465" s="1" t="s">
        <v>33</v>
      </c>
      <c r="O1465" s="1" t="s">
        <v>49</v>
      </c>
      <c r="P1465">
        <v>67132.399999999994</v>
      </c>
      <c r="Q1465">
        <v>2023</v>
      </c>
      <c r="R1465">
        <v>71421.19</v>
      </c>
      <c r="S1465">
        <v>4288.7900000000081</v>
      </c>
      <c r="T1465" s="1" t="s">
        <v>163</v>
      </c>
      <c r="U1465">
        <v>6.0049265491096002E-2</v>
      </c>
    </row>
    <row r="1466" spans="1:21" x14ac:dyDescent="0.3">
      <c r="A1466" s="1" t="s">
        <v>15</v>
      </c>
      <c r="B1466" s="1" t="s">
        <v>103</v>
      </c>
      <c r="C1466" s="2">
        <v>44943</v>
      </c>
      <c r="D1466" s="1" t="s">
        <v>43</v>
      </c>
      <c r="E1466" s="1" t="s">
        <v>30</v>
      </c>
      <c r="F1466">
        <v>4224</v>
      </c>
      <c r="G1466">
        <v>47</v>
      </c>
      <c r="H1466" s="1" t="s">
        <v>31</v>
      </c>
      <c r="I1466">
        <v>4035.33</v>
      </c>
      <c r="J1466">
        <v>4211.25</v>
      </c>
      <c r="K1466" s="1" t="s">
        <v>20</v>
      </c>
      <c r="L1466">
        <v>7.0000000000000007E-2</v>
      </c>
      <c r="M1466" s="1" t="s">
        <v>32</v>
      </c>
      <c r="N1466" s="1" t="s">
        <v>22</v>
      </c>
      <c r="O1466" s="1" t="s">
        <v>54</v>
      </c>
      <c r="P1466">
        <v>189660.51</v>
      </c>
      <c r="Q1466">
        <v>2023</v>
      </c>
      <c r="R1466">
        <v>184073.73749999999</v>
      </c>
      <c r="S1466">
        <v>-5586.772500000021</v>
      </c>
      <c r="T1466" s="1" t="s">
        <v>163</v>
      </c>
      <c r="U1466">
        <v>-3.0350731048746301E-2</v>
      </c>
    </row>
    <row r="1467" spans="1:21" x14ac:dyDescent="0.3">
      <c r="A1467" s="1" t="s">
        <v>15</v>
      </c>
      <c r="B1467" s="1" t="s">
        <v>82</v>
      </c>
      <c r="C1467" s="2">
        <v>44943</v>
      </c>
      <c r="D1467" s="1" t="s">
        <v>43</v>
      </c>
      <c r="E1467" s="1" t="s">
        <v>30</v>
      </c>
      <c r="F1467">
        <v>2747.28</v>
      </c>
      <c r="G1467">
        <v>3</v>
      </c>
      <c r="H1467" s="1" t="s">
        <v>37</v>
      </c>
      <c r="I1467">
        <v>1190.4100000000001</v>
      </c>
      <c r="J1467">
        <v>1582.89</v>
      </c>
      <c r="K1467" s="1" t="s">
        <v>26</v>
      </c>
      <c r="L1467">
        <v>0.02</v>
      </c>
      <c r="M1467" s="1" t="s">
        <v>27</v>
      </c>
      <c r="N1467" s="1" t="s">
        <v>33</v>
      </c>
      <c r="O1467" s="1" t="s">
        <v>54</v>
      </c>
      <c r="P1467">
        <v>3571.2300000000005</v>
      </c>
      <c r="Q1467">
        <v>2023</v>
      </c>
      <c r="R1467">
        <v>4653.6966000000002</v>
      </c>
      <c r="S1467">
        <v>1082.4665999999997</v>
      </c>
      <c r="T1467" s="1" t="s">
        <v>163</v>
      </c>
      <c r="U1467">
        <v>0.23260360376737901</v>
      </c>
    </row>
    <row r="1468" spans="1:21" x14ac:dyDescent="0.3">
      <c r="A1468" s="1" t="s">
        <v>15</v>
      </c>
      <c r="B1468" s="1" t="s">
        <v>104</v>
      </c>
      <c r="C1468" s="2">
        <v>44943</v>
      </c>
      <c r="D1468" s="1" t="s">
        <v>36</v>
      </c>
      <c r="E1468" s="1" t="s">
        <v>40</v>
      </c>
      <c r="F1468">
        <v>8401.07</v>
      </c>
      <c r="G1468">
        <v>12</v>
      </c>
      <c r="H1468" s="1" t="s">
        <v>31</v>
      </c>
      <c r="I1468">
        <v>2278.67</v>
      </c>
      <c r="J1468">
        <v>2476.8000000000002</v>
      </c>
      <c r="K1468" s="1" t="s">
        <v>26</v>
      </c>
      <c r="L1468">
        <v>0.09</v>
      </c>
      <c r="M1468" s="1" t="s">
        <v>21</v>
      </c>
      <c r="N1468" s="1" t="s">
        <v>33</v>
      </c>
      <c r="O1468" s="1" t="s">
        <v>41</v>
      </c>
      <c r="P1468">
        <v>27344.04</v>
      </c>
      <c r="Q1468">
        <v>2023</v>
      </c>
      <c r="R1468">
        <v>27046.656000000003</v>
      </c>
      <c r="S1468">
        <v>-297.3839999999982</v>
      </c>
      <c r="T1468" s="1" t="s">
        <v>163</v>
      </c>
      <c r="U1468">
        <v>-1.09952224777806E-2</v>
      </c>
    </row>
    <row r="1469" spans="1:21" x14ac:dyDescent="0.3">
      <c r="A1469" s="1" t="s">
        <v>15</v>
      </c>
      <c r="B1469" s="1" t="s">
        <v>105</v>
      </c>
      <c r="C1469" s="2">
        <v>44943</v>
      </c>
      <c r="D1469" s="1" t="s">
        <v>17</v>
      </c>
      <c r="E1469" s="1" t="s">
        <v>40</v>
      </c>
      <c r="F1469">
        <v>4598.0200000000004</v>
      </c>
      <c r="G1469">
        <v>21</v>
      </c>
      <c r="H1469" s="1" t="s">
        <v>37</v>
      </c>
      <c r="I1469">
        <v>2863.74</v>
      </c>
      <c r="J1469">
        <v>2953.91</v>
      </c>
      <c r="K1469" s="1" t="s">
        <v>26</v>
      </c>
      <c r="L1469">
        <v>0.1</v>
      </c>
      <c r="M1469" s="1" t="s">
        <v>32</v>
      </c>
      <c r="N1469" s="1" t="s">
        <v>33</v>
      </c>
      <c r="O1469" s="1" t="s">
        <v>67</v>
      </c>
      <c r="P1469">
        <v>60138.539999999994</v>
      </c>
      <c r="Q1469">
        <v>2023</v>
      </c>
      <c r="R1469">
        <v>55828.899000000005</v>
      </c>
      <c r="S1469">
        <v>-4309.6409999999887</v>
      </c>
      <c r="T1469" s="1" t="s">
        <v>163</v>
      </c>
      <c r="U1469">
        <v>-7.7193730795228302E-2</v>
      </c>
    </row>
    <row r="1470" spans="1:21" x14ac:dyDescent="0.3">
      <c r="A1470" s="1" t="s">
        <v>15</v>
      </c>
      <c r="B1470" s="1" t="s">
        <v>106</v>
      </c>
      <c r="C1470" s="2">
        <v>44943</v>
      </c>
      <c r="D1470" s="1" t="s">
        <v>25</v>
      </c>
      <c r="E1470" s="1" t="s">
        <v>30</v>
      </c>
      <c r="F1470">
        <v>8464.23</v>
      </c>
      <c r="G1470">
        <v>16</v>
      </c>
      <c r="H1470" s="1" t="s">
        <v>19</v>
      </c>
      <c r="I1470">
        <v>1964.15</v>
      </c>
      <c r="J1470">
        <v>2211.17</v>
      </c>
      <c r="K1470" s="1" t="s">
        <v>20</v>
      </c>
      <c r="L1470">
        <v>0.21</v>
      </c>
      <c r="M1470" s="1" t="s">
        <v>32</v>
      </c>
      <c r="N1470" s="1" t="s">
        <v>22</v>
      </c>
      <c r="O1470" s="1" t="s">
        <v>92</v>
      </c>
      <c r="P1470">
        <v>31426.400000000001</v>
      </c>
      <c r="Q1470">
        <v>2023</v>
      </c>
      <c r="R1470">
        <v>27949.188800000004</v>
      </c>
      <c r="S1470">
        <v>-3477.2111999999979</v>
      </c>
      <c r="T1470" s="1" t="s">
        <v>163</v>
      </c>
      <c r="U1470">
        <v>-0.12441188275203199</v>
      </c>
    </row>
    <row r="1471" spans="1:21" x14ac:dyDescent="0.3">
      <c r="A1471" s="1" t="s">
        <v>15</v>
      </c>
      <c r="B1471" s="1" t="s">
        <v>107</v>
      </c>
      <c r="C1471" s="2">
        <v>44943</v>
      </c>
      <c r="D1471" s="1" t="s">
        <v>25</v>
      </c>
      <c r="E1471" s="1" t="s">
        <v>18</v>
      </c>
      <c r="F1471">
        <v>6275.06</v>
      </c>
      <c r="G1471">
        <v>31</v>
      </c>
      <c r="H1471" s="1" t="s">
        <v>37</v>
      </c>
      <c r="I1471">
        <v>2719</v>
      </c>
      <c r="J1471">
        <v>3133.55</v>
      </c>
      <c r="K1471" s="1" t="s">
        <v>20</v>
      </c>
      <c r="L1471">
        <v>0.17</v>
      </c>
      <c r="M1471" s="1" t="s">
        <v>32</v>
      </c>
      <c r="N1471" s="1" t="s">
        <v>33</v>
      </c>
      <c r="O1471" s="1" t="s">
        <v>28</v>
      </c>
      <c r="P1471">
        <v>84289</v>
      </c>
      <c r="Q1471">
        <v>2023</v>
      </c>
      <c r="R1471">
        <v>80626.241500000004</v>
      </c>
      <c r="S1471">
        <v>-3662.7584999999963</v>
      </c>
      <c r="T1471" s="1" t="s">
        <v>163</v>
      </c>
      <c r="U1471">
        <v>-4.5428863256635803E-2</v>
      </c>
    </row>
    <row r="1472" spans="1:21" x14ac:dyDescent="0.3">
      <c r="A1472" s="1" t="s">
        <v>15</v>
      </c>
      <c r="B1472" s="1" t="s">
        <v>103</v>
      </c>
      <c r="C1472" s="2">
        <v>44944</v>
      </c>
      <c r="D1472" s="1" t="s">
        <v>25</v>
      </c>
      <c r="E1472" s="1" t="s">
        <v>44</v>
      </c>
      <c r="F1472">
        <v>5138.0200000000004</v>
      </c>
      <c r="G1472">
        <v>44</v>
      </c>
      <c r="H1472" s="1" t="s">
        <v>37</v>
      </c>
      <c r="I1472">
        <v>1763.67</v>
      </c>
      <c r="J1472">
        <v>1983.82</v>
      </c>
      <c r="K1472" s="1" t="s">
        <v>26</v>
      </c>
      <c r="L1472">
        <v>0.24</v>
      </c>
      <c r="M1472" s="1" t="s">
        <v>27</v>
      </c>
      <c r="N1472" s="1" t="s">
        <v>22</v>
      </c>
      <c r="O1472" s="1" t="s">
        <v>47</v>
      </c>
      <c r="P1472">
        <v>77601.48000000001</v>
      </c>
      <c r="Q1472">
        <v>2023</v>
      </c>
      <c r="R1472">
        <v>66338.940799999997</v>
      </c>
      <c r="S1472">
        <v>-11262.539200000014</v>
      </c>
      <c r="T1472" s="1" t="s">
        <v>163</v>
      </c>
      <c r="U1472">
        <v>-0.169772671438251</v>
      </c>
    </row>
    <row r="1473" spans="1:21" x14ac:dyDescent="0.3">
      <c r="A1473" s="1" t="s">
        <v>15</v>
      </c>
      <c r="B1473" s="1" t="s">
        <v>93</v>
      </c>
      <c r="C1473" s="2">
        <v>44945</v>
      </c>
      <c r="D1473" s="1" t="s">
        <v>43</v>
      </c>
      <c r="E1473" s="1" t="s">
        <v>40</v>
      </c>
      <c r="F1473">
        <v>5187.16</v>
      </c>
      <c r="G1473">
        <v>7</v>
      </c>
      <c r="H1473" s="1" t="s">
        <v>19</v>
      </c>
      <c r="I1473">
        <v>4310.95</v>
      </c>
      <c r="J1473">
        <v>4723.2</v>
      </c>
      <c r="K1473" s="1" t="s">
        <v>20</v>
      </c>
      <c r="L1473">
        <v>0.05</v>
      </c>
      <c r="M1473" s="1" t="s">
        <v>27</v>
      </c>
      <c r="N1473" s="1" t="s">
        <v>33</v>
      </c>
      <c r="O1473" s="1" t="s">
        <v>99</v>
      </c>
      <c r="P1473">
        <v>30176.649999999998</v>
      </c>
      <c r="Q1473">
        <v>2023</v>
      </c>
      <c r="R1473">
        <v>31409.279999999999</v>
      </c>
      <c r="S1473">
        <v>1232.630000000001</v>
      </c>
      <c r="T1473" s="1" t="s">
        <v>163</v>
      </c>
      <c r="U1473">
        <v>3.9244134217658003E-2</v>
      </c>
    </row>
    <row r="1474" spans="1:21" x14ac:dyDescent="0.3">
      <c r="A1474" s="1" t="s">
        <v>15</v>
      </c>
      <c r="B1474" s="1" t="s">
        <v>108</v>
      </c>
      <c r="C1474" s="2">
        <v>44946</v>
      </c>
      <c r="D1474" s="1" t="s">
        <v>25</v>
      </c>
      <c r="E1474" s="1" t="s">
        <v>44</v>
      </c>
      <c r="F1474">
        <v>2729.27</v>
      </c>
      <c r="G1474">
        <v>40</v>
      </c>
      <c r="H1474" s="1" t="s">
        <v>37</v>
      </c>
      <c r="I1474">
        <v>4624.16</v>
      </c>
      <c r="J1474">
        <v>4731.9799999999996</v>
      </c>
      <c r="K1474" s="1" t="s">
        <v>26</v>
      </c>
      <c r="L1474">
        <v>0.2</v>
      </c>
      <c r="M1474" s="1" t="s">
        <v>32</v>
      </c>
      <c r="N1474" s="1" t="s">
        <v>33</v>
      </c>
      <c r="O1474" s="1" t="s">
        <v>47</v>
      </c>
      <c r="P1474">
        <v>184966.39999999999</v>
      </c>
      <c r="Q1474">
        <v>2023</v>
      </c>
      <c r="R1474">
        <v>151423.35999999999</v>
      </c>
      <c r="S1474">
        <v>-33543.040000000008</v>
      </c>
      <c r="T1474" s="1" t="s">
        <v>163</v>
      </c>
      <c r="U1474">
        <v>-0.221518265081425</v>
      </c>
    </row>
    <row r="1475" spans="1:21" x14ac:dyDescent="0.3">
      <c r="A1475" s="1" t="s">
        <v>15</v>
      </c>
      <c r="B1475" s="1" t="s">
        <v>109</v>
      </c>
      <c r="C1475" s="2">
        <v>44946</v>
      </c>
      <c r="D1475" s="1" t="s">
        <v>17</v>
      </c>
      <c r="E1475" s="1" t="s">
        <v>44</v>
      </c>
      <c r="F1475">
        <v>4104.82</v>
      </c>
      <c r="G1475">
        <v>43</v>
      </c>
      <c r="H1475" s="1" t="s">
        <v>19</v>
      </c>
      <c r="I1475">
        <v>4052.42</v>
      </c>
      <c r="J1475">
        <v>4199.3</v>
      </c>
      <c r="K1475" s="1" t="s">
        <v>26</v>
      </c>
      <c r="L1475">
        <v>0.1</v>
      </c>
      <c r="M1475" s="1" t="s">
        <v>32</v>
      </c>
      <c r="N1475" s="1" t="s">
        <v>33</v>
      </c>
      <c r="O1475" s="1" t="s">
        <v>49</v>
      </c>
      <c r="P1475">
        <v>174254.06</v>
      </c>
      <c r="Q1475">
        <v>2023</v>
      </c>
      <c r="R1475">
        <v>162512.91</v>
      </c>
      <c r="S1475">
        <v>-11741.149999999994</v>
      </c>
      <c r="T1475" s="1" t="s">
        <v>163</v>
      </c>
      <c r="U1475">
        <v>-7.2247490983947005E-2</v>
      </c>
    </row>
    <row r="1476" spans="1:21" x14ac:dyDescent="0.3">
      <c r="A1476" s="1" t="s">
        <v>15</v>
      </c>
      <c r="B1476" s="1" t="s">
        <v>110</v>
      </c>
      <c r="C1476" s="2">
        <v>44946</v>
      </c>
      <c r="D1476" s="1" t="s">
        <v>36</v>
      </c>
      <c r="E1476" s="1" t="s">
        <v>40</v>
      </c>
      <c r="F1476">
        <v>8785.77</v>
      </c>
      <c r="G1476">
        <v>42</v>
      </c>
      <c r="H1476" s="1" t="s">
        <v>31</v>
      </c>
      <c r="I1476">
        <v>2443.5700000000002</v>
      </c>
      <c r="J1476">
        <v>2943.31</v>
      </c>
      <c r="K1476" s="1" t="s">
        <v>26</v>
      </c>
      <c r="L1476">
        <v>0.28999999999999998</v>
      </c>
      <c r="M1476" s="1" t="s">
        <v>21</v>
      </c>
      <c r="N1476" s="1" t="s">
        <v>22</v>
      </c>
      <c r="O1476" s="1" t="s">
        <v>41</v>
      </c>
      <c r="P1476">
        <v>102629.94</v>
      </c>
      <c r="Q1476">
        <v>2023</v>
      </c>
      <c r="R1476">
        <v>87769.504199999996</v>
      </c>
      <c r="S1476">
        <v>-14860.435800000007</v>
      </c>
      <c r="T1476" s="1" t="s">
        <v>163</v>
      </c>
      <c r="U1476">
        <v>-0.169312062719844</v>
      </c>
    </row>
    <row r="1477" spans="1:21" x14ac:dyDescent="0.3">
      <c r="A1477" s="1" t="s">
        <v>15</v>
      </c>
      <c r="B1477" s="1" t="s">
        <v>102</v>
      </c>
      <c r="C1477" s="2">
        <v>44946</v>
      </c>
      <c r="D1477" s="1" t="s">
        <v>43</v>
      </c>
      <c r="E1477" s="1" t="s">
        <v>44</v>
      </c>
      <c r="F1477">
        <v>496.59</v>
      </c>
      <c r="G1477">
        <v>29</v>
      </c>
      <c r="H1477" s="1" t="s">
        <v>19</v>
      </c>
      <c r="I1477">
        <v>3410.49</v>
      </c>
      <c r="J1477">
        <v>3481.72</v>
      </c>
      <c r="K1477" s="1" t="s">
        <v>26</v>
      </c>
      <c r="L1477">
        <v>0.24</v>
      </c>
      <c r="M1477" s="1" t="s">
        <v>32</v>
      </c>
      <c r="N1477" s="1" t="s">
        <v>33</v>
      </c>
      <c r="O1477" s="1" t="s">
        <v>45</v>
      </c>
      <c r="P1477">
        <v>98904.209999999992</v>
      </c>
      <c r="Q1477">
        <v>2023</v>
      </c>
      <c r="R1477">
        <v>76737.108799999987</v>
      </c>
      <c r="S1477">
        <v>-22167.101200000005</v>
      </c>
      <c r="T1477" s="1" t="s">
        <v>163</v>
      </c>
      <c r="U1477">
        <v>-0.28887068520882297</v>
      </c>
    </row>
    <row r="1478" spans="1:21" x14ac:dyDescent="0.3">
      <c r="A1478" s="1" t="s">
        <v>15</v>
      </c>
      <c r="B1478" s="1" t="s">
        <v>111</v>
      </c>
      <c r="C1478" s="2">
        <v>44947</v>
      </c>
      <c r="D1478" s="1" t="s">
        <v>25</v>
      </c>
      <c r="E1478" s="1" t="s">
        <v>18</v>
      </c>
      <c r="F1478">
        <v>6395.81</v>
      </c>
      <c r="G1478">
        <v>3</v>
      </c>
      <c r="H1478" s="1" t="s">
        <v>31</v>
      </c>
      <c r="I1478">
        <v>1792.05</v>
      </c>
      <c r="J1478">
        <v>2091.23</v>
      </c>
      <c r="K1478" s="1" t="s">
        <v>20</v>
      </c>
      <c r="L1478">
        <v>0.09</v>
      </c>
      <c r="M1478" s="1" t="s">
        <v>21</v>
      </c>
      <c r="N1478" s="1" t="s">
        <v>33</v>
      </c>
      <c r="O1478" s="1" t="s">
        <v>28</v>
      </c>
      <c r="P1478">
        <v>5376.15</v>
      </c>
      <c r="Q1478">
        <v>2023</v>
      </c>
      <c r="R1478">
        <v>5709.0579000000007</v>
      </c>
      <c r="S1478">
        <v>332.90790000000106</v>
      </c>
      <c r="T1478" s="1" t="s">
        <v>163</v>
      </c>
      <c r="U1478">
        <v>5.8312230464504698E-2</v>
      </c>
    </row>
    <row r="1479" spans="1:21" x14ac:dyDescent="0.3">
      <c r="A1479" s="1" t="s">
        <v>15</v>
      </c>
      <c r="B1479" s="1" t="s">
        <v>112</v>
      </c>
      <c r="C1479" s="2">
        <v>44948</v>
      </c>
      <c r="D1479" s="1" t="s">
        <v>59</v>
      </c>
      <c r="E1479" s="1" t="s">
        <v>18</v>
      </c>
      <c r="F1479">
        <v>8387.48</v>
      </c>
      <c r="G1479">
        <v>28</v>
      </c>
      <c r="H1479" s="1" t="s">
        <v>31</v>
      </c>
      <c r="I1479">
        <v>3771.38</v>
      </c>
      <c r="J1479">
        <v>4234.92</v>
      </c>
      <c r="K1479" s="1" t="s">
        <v>26</v>
      </c>
      <c r="L1479">
        <v>0.28000000000000003</v>
      </c>
      <c r="M1479" s="1" t="s">
        <v>27</v>
      </c>
      <c r="N1479" s="1" t="s">
        <v>33</v>
      </c>
      <c r="O1479" s="1" t="s">
        <v>77</v>
      </c>
      <c r="P1479">
        <v>105598.64</v>
      </c>
      <c r="Q1479">
        <v>2023</v>
      </c>
      <c r="R1479">
        <v>85375.987200000003</v>
      </c>
      <c r="S1479">
        <v>-20222.652799999996</v>
      </c>
      <c r="T1479" s="1" t="s">
        <v>163</v>
      </c>
      <c r="U1479">
        <v>-0.236865815122311</v>
      </c>
    </row>
    <row r="1480" spans="1:21" x14ac:dyDescent="0.3">
      <c r="A1480" s="1" t="s">
        <v>15</v>
      </c>
      <c r="B1480" s="1" t="s">
        <v>113</v>
      </c>
      <c r="C1480" s="2">
        <v>44948</v>
      </c>
      <c r="D1480" s="1" t="s">
        <v>59</v>
      </c>
      <c r="E1480" s="1" t="s">
        <v>30</v>
      </c>
      <c r="F1480">
        <v>5053.5600000000004</v>
      </c>
      <c r="G1480">
        <v>29</v>
      </c>
      <c r="H1480" s="1" t="s">
        <v>37</v>
      </c>
      <c r="I1480">
        <v>4353.29</v>
      </c>
      <c r="J1480">
        <v>4405.8</v>
      </c>
      <c r="K1480" s="1" t="s">
        <v>26</v>
      </c>
      <c r="L1480">
        <v>0.04</v>
      </c>
      <c r="M1480" s="1" t="s">
        <v>32</v>
      </c>
      <c r="N1480" s="1" t="s">
        <v>22</v>
      </c>
      <c r="O1480" s="1" t="s">
        <v>86</v>
      </c>
      <c r="P1480">
        <v>126245.41</v>
      </c>
      <c r="Q1480">
        <v>2023</v>
      </c>
      <c r="R1480">
        <v>122657.47200000001</v>
      </c>
      <c r="S1480">
        <v>-3587.9379999999946</v>
      </c>
      <c r="T1480" s="1" t="s">
        <v>163</v>
      </c>
      <c r="U1480">
        <v>-2.92516871699426E-2</v>
      </c>
    </row>
    <row r="1481" spans="1:21" x14ac:dyDescent="0.3">
      <c r="A1481" s="1" t="s">
        <v>15</v>
      </c>
      <c r="B1481" s="1" t="s">
        <v>91</v>
      </c>
      <c r="C1481" s="2">
        <v>44948</v>
      </c>
      <c r="D1481" s="1" t="s">
        <v>43</v>
      </c>
      <c r="E1481" s="1" t="s">
        <v>44</v>
      </c>
      <c r="F1481">
        <v>4594.5</v>
      </c>
      <c r="G1481">
        <v>46</v>
      </c>
      <c r="H1481" s="1" t="s">
        <v>57</v>
      </c>
      <c r="I1481">
        <v>2577.08</v>
      </c>
      <c r="J1481">
        <v>2961.56</v>
      </c>
      <c r="K1481" s="1" t="s">
        <v>20</v>
      </c>
      <c r="L1481">
        <v>0.1</v>
      </c>
      <c r="M1481" s="1" t="s">
        <v>21</v>
      </c>
      <c r="N1481" s="1" t="s">
        <v>22</v>
      </c>
      <c r="O1481" s="1" t="s">
        <v>45</v>
      </c>
      <c r="P1481">
        <v>118545.68</v>
      </c>
      <c r="Q1481">
        <v>2023</v>
      </c>
      <c r="R1481">
        <v>122608.58400000002</v>
      </c>
      <c r="S1481">
        <v>4062.9040000000241</v>
      </c>
      <c r="T1481" s="1" t="s">
        <v>163</v>
      </c>
      <c r="U1481">
        <v>3.3137190459682803E-2</v>
      </c>
    </row>
    <row r="1482" spans="1:21" x14ac:dyDescent="0.3">
      <c r="A1482" s="1" t="s">
        <v>15</v>
      </c>
      <c r="B1482" s="1" t="s">
        <v>75</v>
      </c>
      <c r="C1482" s="2">
        <v>44949</v>
      </c>
      <c r="D1482" s="1" t="s">
        <v>43</v>
      </c>
      <c r="E1482" s="1" t="s">
        <v>18</v>
      </c>
      <c r="F1482">
        <v>9813.81</v>
      </c>
      <c r="G1482">
        <v>40</v>
      </c>
      <c r="H1482" s="1" t="s">
        <v>19</v>
      </c>
      <c r="I1482">
        <v>2790.11</v>
      </c>
      <c r="J1482">
        <v>3192.37</v>
      </c>
      <c r="K1482" s="1" t="s">
        <v>20</v>
      </c>
      <c r="L1482">
        <v>0.26</v>
      </c>
      <c r="M1482" s="1" t="s">
        <v>32</v>
      </c>
      <c r="N1482" s="1" t="s">
        <v>22</v>
      </c>
      <c r="O1482" s="1" t="s">
        <v>62</v>
      </c>
      <c r="P1482">
        <v>111604.40000000001</v>
      </c>
      <c r="Q1482">
        <v>2023</v>
      </c>
      <c r="R1482">
        <v>94494.151999999987</v>
      </c>
      <c r="S1482">
        <v>-17110.248000000021</v>
      </c>
      <c r="T1482" s="1" t="s">
        <v>163</v>
      </c>
      <c r="U1482">
        <v>-0.181072030785567</v>
      </c>
    </row>
    <row r="1483" spans="1:21" x14ac:dyDescent="0.3">
      <c r="A1483" s="1" t="s">
        <v>15</v>
      </c>
      <c r="B1483" s="1" t="s">
        <v>75</v>
      </c>
      <c r="C1483" s="2">
        <v>44949</v>
      </c>
      <c r="D1483" s="1" t="s">
        <v>25</v>
      </c>
      <c r="E1483" s="1" t="s">
        <v>44</v>
      </c>
      <c r="F1483">
        <v>3649.93</v>
      </c>
      <c r="G1483">
        <v>25</v>
      </c>
      <c r="H1483" s="1" t="s">
        <v>57</v>
      </c>
      <c r="I1483">
        <v>1074.6199999999999</v>
      </c>
      <c r="J1483">
        <v>1382.43</v>
      </c>
      <c r="K1483" s="1" t="s">
        <v>20</v>
      </c>
      <c r="L1483">
        <v>0.24</v>
      </c>
      <c r="M1483" s="1" t="s">
        <v>27</v>
      </c>
      <c r="N1483" s="1" t="s">
        <v>33</v>
      </c>
      <c r="O1483" s="1" t="s">
        <v>47</v>
      </c>
      <c r="P1483">
        <v>26865.499999999996</v>
      </c>
      <c r="Q1483">
        <v>2023</v>
      </c>
      <c r="R1483">
        <v>26266.170000000002</v>
      </c>
      <c r="S1483">
        <v>-599.32999999999447</v>
      </c>
      <c r="T1483" s="1" t="s">
        <v>163</v>
      </c>
      <c r="U1483">
        <v>-2.2817563428546801E-2</v>
      </c>
    </row>
    <row r="1484" spans="1:21" x14ac:dyDescent="0.3">
      <c r="A1484" s="1" t="s">
        <v>15</v>
      </c>
      <c r="B1484" s="1" t="s">
        <v>114</v>
      </c>
      <c r="C1484" s="2">
        <v>44949</v>
      </c>
      <c r="D1484" s="1" t="s">
        <v>36</v>
      </c>
      <c r="E1484" s="1" t="s">
        <v>18</v>
      </c>
      <c r="F1484">
        <v>7019.59</v>
      </c>
      <c r="G1484">
        <v>20</v>
      </c>
      <c r="H1484" s="1" t="s">
        <v>31</v>
      </c>
      <c r="I1484">
        <v>1140.6199999999999</v>
      </c>
      <c r="J1484">
        <v>1258.6300000000001</v>
      </c>
      <c r="K1484" s="1" t="s">
        <v>20</v>
      </c>
      <c r="L1484">
        <v>0.26</v>
      </c>
      <c r="M1484" s="1" t="s">
        <v>32</v>
      </c>
      <c r="N1484" s="1" t="s">
        <v>22</v>
      </c>
      <c r="O1484" s="1" t="s">
        <v>115</v>
      </c>
      <c r="P1484">
        <v>22812.399999999998</v>
      </c>
      <c r="Q1484">
        <v>2023</v>
      </c>
      <c r="R1484">
        <v>18627.724000000002</v>
      </c>
      <c r="S1484">
        <v>-4184.6759999999958</v>
      </c>
      <c r="T1484" s="1" t="s">
        <v>163</v>
      </c>
      <c r="U1484">
        <v>-0.224647734742043</v>
      </c>
    </row>
    <row r="1485" spans="1:21" x14ac:dyDescent="0.3">
      <c r="A1485" s="1" t="s">
        <v>15</v>
      </c>
      <c r="B1485" s="1" t="s">
        <v>78</v>
      </c>
      <c r="C1485" s="2">
        <v>44950</v>
      </c>
      <c r="D1485" s="1" t="s">
        <v>43</v>
      </c>
      <c r="E1485" s="1" t="s">
        <v>44</v>
      </c>
      <c r="F1485">
        <v>6624.55</v>
      </c>
      <c r="G1485">
        <v>22</v>
      </c>
      <c r="H1485" s="1" t="s">
        <v>37</v>
      </c>
      <c r="I1485">
        <v>4200.08</v>
      </c>
      <c r="J1485">
        <v>4647.28</v>
      </c>
      <c r="K1485" s="1" t="s">
        <v>20</v>
      </c>
      <c r="L1485">
        <v>0.11</v>
      </c>
      <c r="M1485" s="1" t="s">
        <v>21</v>
      </c>
      <c r="N1485" s="1" t="s">
        <v>22</v>
      </c>
      <c r="O1485" s="1" t="s">
        <v>45</v>
      </c>
      <c r="P1485">
        <v>92401.76</v>
      </c>
      <c r="Q1485">
        <v>2023</v>
      </c>
      <c r="R1485">
        <v>90993.742399999988</v>
      </c>
      <c r="S1485">
        <v>-1408.0176000000065</v>
      </c>
      <c r="T1485" s="1" t="s">
        <v>163</v>
      </c>
      <c r="U1485">
        <v>-1.5473784931391101E-2</v>
      </c>
    </row>
    <row r="1486" spans="1:21" x14ac:dyDescent="0.3">
      <c r="A1486" s="1" t="s">
        <v>15</v>
      </c>
      <c r="B1486" s="1" t="s">
        <v>102</v>
      </c>
      <c r="C1486" s="2">
        <v>44950</v>
      </c>
      <c r="D1486" s="1" t="s">
        <v>17</v>
      </c>
      <c r="E1486" s="1" t="s">
        <v>18</v>
      </c>
      <c r="F1486">
        <v>4637.3999999999996</v>
      </c>
      <c r="G1486">
        <v>27</v>
      </c>
      <c r="H1486" s="1" t="s">
        <v>37</v>
      </c>
      <c r="I1486">
        <v>927.89</v>
      </c>
      <c r="J1486">
        <v>1399.09</v>
      </c>
      <c r="K1486" s="1" t="s">
        <v>20</v>
      </c>
      <c r="L1486">
        <v>0.27</v>
      </c>
      <c r="M1486" s="1" t="s">
        <v>27</v>
      </c>
      <c r="N1486" s="1" t="s">
        <v>22</v>
      </c>
      <c r="O1486" s="1" t="s">
        <v>23</v>
      </c>
      <c r="P1486">
        <v>25053.03</v>
      </c>
      <c r="Q1486">
        <v>2023</v>
      </c>
      <c r="R1486">
        <v>27576.063900000001</v>
      </c>
      <c r="S1486">
        <v>2523.0339000000022</v>
      </c>
      <c r="T1486" s="1" t="s">
        <v>163</v>
      </c>
      <c r="U1486">
        <v>9.1493619580711893E-2</v>
      </c>
    </row>
    <row r="1487" spans="1:21" x14ac:dyDescent="0.3">
      <c r="A1487" s="1" t="s">
        <v>15</v>
      </c>
      <c r="B1487" s="1" t="s">
        <v>116</v>
      </c>
      <c r="C1487" s="2">
        <v>44951</v>
      </c>
      <c r="D1487" s="1" t="s">
        <v>17</v>
      </c>
      <c r="E1487" s="1" t="s">
        <v>18</v>
      </c>
      <c r="F1487">
        <v>2896.48</v>
      </c>
      <c r="G1487">
        <v>22</v>
      </c>
      <c r="H1487" s="1" t="s">
        <v>37</v>
      </c>
      <c r="I1487">
        <v>1324.52</v>
      </c>
      <c r="J1487">
        <v>1510.3</v>
      </c>
      <c r="K1487" s="1" t="s">
        <v>20</v>
      </c>
      <c r="L1487">
        <v>0.15</v>
      </c>
      <c r="M1487" s="1" t="s">
        <v>21</v>
      </c>
      <c r="N1487" s="1" t="s">
        <v>33</v>
      </c>
      <c r="O1487" s="1" t="s">
        <v>23</v>
      </c>
      <c r="P1487">
        <v>29139.439999999999</v>
      </c>
      <c r="Q1487">
        <v>2023</v>
      </c>
      <c r="R1487">
        <v>28242.609999999997</v>
      </c>
      <c r="S1487">
        <v>-896.83000000000175</v>
      </c>
      <c r="T1487" s="1" t="s">
        <v>163</v>
      </c>
      <c r="U1487">
        <v>-3.17545014430324E-2</v>
      </c>
    </row>
    <row r="1488" spans="1:21" x14ac:dyDescent="0.3">
      <c r="A1488" s="1" t="s">
        <v>15</v>
      </c>
      <c r="B1488" s="1" t="s">
        <v>55</v>
      </c>
      <c r="C1488" s="2">
        <v>44951</v>
      </c>
      <c r="D1488" s="1" t="s">
        <v>25</v>
      </c>
      <c r="E1488" s="1" t="s">
        <v>30</v>
      </c>
      <c r="F1488">
        <v>2381.12</v>
      </c>
      <c r="G1488">
        <v>17</v>
      </c>
      <c r="H1488" s="1" t="s">
        <v>19</v>
      </c>
      <c r="I1488">
        <v>4190.26</v>
      </c>
      <c r="J1488">
        <v>4645.3500000000004</v>
      </c>
      <c r="K1488" s="1" t="s">
        <v>26</v>
      </c>
      <c r="L1488">
        <v>0.12</v>
      </c>
      <c r="M1488" s="1" t="s">
        <v>27</v>
      </c>
      <c r="N1488" s="1" t="s">
        <v>33</v>
      </c>
      <c r="O1488" s="1" t="s">
        <v>92</v>
      </c>
      <c r="P1488">
        <v>71234.42</v>
      </c>
      <c r="Q1488">
        <v>2023</v>
      </c>
      <c r="R1488">
        <v>69494.436000000016</v>
      </c>
      <c r="S1488">
        <v>-1739.9839999999822</v>
      </c>
      <c r="T1488" s="1" t="s">
        <v>163</v>
      </c>
      <c r="U1488">
        <v>-2.5037745467852701E-2</v>
      </c>
    </row>
    <row r="1489" spans="1:21" x14ac:dyDescent="0.3">
      <c r="A1489" s="1" t="s">
        <v>15</v>
      </c>
      <c r="B1489" s="1" t="s">
        <v>117</v>
      </c>
      <c r="C1489" s="2">
        <v>44951</v>
      </c>
      <c r="D1489" s="1" t="s">
        <v>25</v>
      </c>
      <c r="E1489" s="1" t="s">
        <v>40</v>
      </c>
      <c r="F1489">
        <v>6206.16</v>
      </c>
      <c r="G1489">
        <v>27</v>
      </c>
      <c r="H1489" s="1" t="s">
        <v>19</v>
      </c>
      <c r="I1489">
        <v>4809</v>
      </c>
      <c r="J1489">
        <v>4967.4399999999996</v>
      </c>
      <c r="K1489" s="1" t="s">
        <v>26</v>
      </c>
      <c r="L1489">
        <v>0.12</v>
      </c>
      <c r="M1489" s="1" t="s">
        <v>21</v>
      </c>
      <c r="N1489" s="1" t="s">
        <v>22</v>
      </c>
      <c r="O1489" s="1" t="s">
        <v>83</v>
      </c>
      <c r="P1489">
        <v>129843</v>
      </c>
      <c r="Q1489">
        <v>2023</v>
      </c>
      <c r="R1489">
        <v>118026.37439999999</v>
      </c>
      <c r="S1489">
        <v>-11816.625600000014</v>
      </c>
      <c r="T1489" s="1" t="s">
        <v>163</v>
      </c>
      <c r="U1489">
        <v>-0.10011851723880499</v>
      </c>
    </row>
    <row r="1490" spans="1:21" x14ac:dyDescent="0.3">
      <c r="A1490" s="1" t="s">
        <v>15</v>
      </c>
      <c r="B1490" s="1" t="s">
        <v>93</v>
      </c>
      <c r="C1490" s="2">
        <v>44951</v>
      </c>
      <c r="D1490" s="1" t="s">
        <v>17</v>
      </c>
      <c r="E1490" s="1" t="s">
        <v>30</v>
      </c>
      <c r="F1490">
        <v>4961.8500000000004</v>
      </c>
      <c r="G1490">
        <v>7</v>
      </c>
      <c r="H1490" s="1" t="s">
        <v>37</v>
      </c>
      <c r="I1490">
        <v>1655.43</v>
      </c>
      <c r="J1490">
        <v>2001.08</v>
      </c>
      <c r="K1490" s="1" t="s">
        <v>26</v>
      </c>
      <c r="L1490">
        <v>0.19</v>
      </c>
      <c r="M1490" s="1" t="s">
        <v>32</v>
      </c>
      <c r="N1490" s="1" t="s">
        <v>22</v>
      </c>
      <c r="O1490" s="1" t="s">
        <v>34</v>
      </c>
      <c r="P1490">
        <v>11588.01</v>
      </c>
      <c r="Q1490">
        <v>2023</v>
      </c>
      <c r="R1490">
        <v>11346.123600000001</v>
      </c>
      <c r="S1490">
        <v>-241.88639999999941</v>
      </c>
      <c r="T1490" s="1" t="s">
        <v>163</v>
      </c>
      <c r="U1490">
        <v>-2.13188581869494E-2</v>
      </c>
    </row>
    <row r="1491" spans="1:21" x14ac:dyDescent="0.3">
      <c r="A1491" s="1" t="s">
        <v>15</v>
      </c>
      <c r="B1491" s="1" t="s">
        <v>118</v>
      </c>
      <c r="C1491" s="2">
        <v>44951</v>
      </c>
      <c r="D1491" s="1" t="s">
        <v>36</v>
      </c>
      <c r="E1491" s="1" t="s">
        <v>44</v>
      </c>
      <c r="F1491">
        <v>757.99</v>
      </c>
      <c r="G1491">
        <v>34</v>
      </c>
      <c r="H1491" s="1" t="s">
        <v>19</v>
      </c>
      <c r="I1491">
        <v>1167.9100000000001</v>
      </c>
      <c r="J1491">
        <v>1547.26</v>
      </c>
      <c r="K1491" s="1" t="s">
        <v>26</v>
      </c>
      <c r="L1491">
        <v>0.11</v>
      </c>
      <c r="M1491" s="1" t="s">
        <v>32</v>
      </c>
      <c r="N1491" s="1" t="s">
        <v>22</v>
      </c>
      <c r="O1491" s="1" t="s">
        <v>71</v>
      </c>
      <c r="P1491">
        <v>39708.94</v>
      </c>
      <c r="Q1491">
        <v>2023</v>
      </c>
      <c r="R1491">
        <v>46820.087599999999</v>
      </c>
      <c r="S1491">
        <v>7111.1475999999966</v>
      </c>
      <c r="T1491" s="1" t="s">
        <v>163</v>
      </c>
      <c r="U1491">
        <v>0.151882406986355</v>
      </c>
    </row>
    <row r="1492" spans="1:21" x14ac:dyDescent="0.3">
      <c r="A1492" s="1" t="s">
        <v>15</v>
      </c>
      <c r="B1492" s="1" t="s">
        <v>119</v>
      </c>
      <c r="C1492" s="2">
        <v>44951</v>
      </c>
      <c r="D1492" s="1" t="s">
        <v>43</v>
      </c>
      <c r="E1492" s="1" t="s">
        <v>44</v>
      </c>
      <c r="F1492">
        <v>2375.2800000000002</v>
      </c>
      <c r="G1492">
        <v>38</v>
      </c>
      <c r="H1492" s="1" t="s">
        <v>31</v>
      </c>
      <c r="I1492">
        <v>4440.8599999999997</v>
      </c>
      <c r="J1492">
        <v>4506.8100000000004</v>
      </c>
      <c r="K1492" s="1" t="s">
        <v>20</v>
      </c>
      <c r="L1492">
        <v>0.24</v>
      </c>
      <c r="M1492" s="1" t="s">
        <v>32</v>
      </c>
      <c r="N1492" s="1" t="s">
        <v>22</v>
      </c>
      <c r="O1492" s="1" t="s">
        <v>45</v>
      </c>
      <c r="P1492">
        <v>168752.68</v>
      </c>
      <c r="Q1492">
        <v>2023</v>
      </c>
      <c r="R1492">
        <v>130156.67280000003</v>
      </c>
      <c r="S1492">
        <v>-38596.007199999964</v>
      </c>
      <c r="T1492" s="1" t="s">
        <v>163</v>
      </c>
      <c r="U1492">
        <v>-0.29653498641062298</v>
      </c>
    </row>
    <row r="1493" spans="1:21" x14ac:dyDescent="0.3">
      <c r="A1493" s="1" t="s">
        <v>15</v>
      </c>
      <c r="B1493" s="1" t="s">
        <v>114</v>
      </c>
      <c r="C1493" s="2">
        <v>44952</v>
      </c>
      <c r="D1493" s="1" t="s">
        <v>59</v>
      </c>
      <c r="E1493" s="1" t="s">
        <v>44</v>
      </c>
      <c r="F1493">
        <v>3187.45</v>
      </c>
      <c r="G1493">
        <v>11</v>
      </c>
      <c r="H1493" s="1" t="s">
        <v>19</v>
      </c>
      <c r="I1493">
        <v>2414.8200000000002</v>
      </c>
      <c r="J1493">
        <v>2519.0700000000002</v>
      </c>
      <c r="K1493" s="1" t="s">
        <v>20</v>
      </c>
      <c r="L1493">
        <v>0</v>
      </c>
      <c r="M1493" s="1" t="s">
        <v>21</v>
      </c>
      <c r="N1493" s="1" t="s">
        <v>22</v>
      </c>
      <c r="O1493" s="1" t="s">
        <v>60</v>
      </c>
      <c r="P1493">
        <v>26563.02</v>
      </c>
      <c r="Q1493">
        <v>2023</v>
      </c>
      <c r="R1493">
        <v>27709.77</v>
      </c>
      <c r="S1493">
        <v>1146.75</v>
      </c>
      <c r="T1493" s="1" t="s">
        <v>163</v>
      </c>
      <c r="U1493">
        <v>4.1384320403958598E-2</v>
      </c>
    </row>
    <row r="1494" spans="1:21" x14ac:dyDescent="0.3">
      <c r="A1494" s="1" t="s">
        <v>15</v>
      </c>
      <c r="B1494" s="1" t="s">
        <v>58</v>
      </c>
      <c r="C1494" s="2">
        <v>44952</v>
      </c>
      <c r="D1494" s="1" t="s">
        <v>36</v>
      </c>
      <c r="E1494" s="1" t="s">
        <v>18</v>
      </c>
      <c r="F1494">
        <v>2676.34</v>
      </c>
      <c r="G1494">
        <v>36</v>
      </c>
      <c r="H1494" s="1" t="s">
        <v>19</v>
      </c>
      <c r="I1494">
        <v>1991.72</v>
      </c>
      <c r="J1494">
        <v>2329.37</v>
      </c>
      <c r="K1494" s="1" t="s">
        <v>26</v>
      </c>
      <c r="L1494">
        <v>0.28000000000000003</v>
      </c>
      <c r="M1494" s="1" t="s">
        <v>27</v>
      </c>
      <c r="N1494" s="1" t="s">
        <v>33</v>
      </c>
      <c r="O1494" s="1" t="s">
        <v>115</v>
      </c>
      <c r="P1494">
        <v>71701.919999999998</v>
      </c>
      <c r="Q1494">
        <v>2023</v>
      </c>
      <c r="R1494">
        <v>60377.270399999994</v>
      </c>
      <c r="S1494">
        <v>-11324.649600000004</v>
      </c>
      <c r="T1494" s="1" t="s">
        <v>163</v>
      </c>
      <c r="U1494">
        <v>-0.18756478265701801</v>
      </c>
    </row>
    <row r="1495" spans="1:21" x14ac:dyDescent="0.3">
      <c r="A1495" s="1" t="s">
        <v>15</v>
      </c>
      <c r="B1495" s="1" t="s">
        <v>120</v>
      </c>
      <c r="C1495" s="2">
        <v>44952</v>
      </c>
      <c r="D1495" s="1" t="s">
        <v>36</v>
      </c>
      <c r="E1495" s="1" t="s">
        <v>44</v>
      </c>
      <c r="F1495">
        <v>2195.1999999999998</v>
      </c>
      <c r="G1495">
        <v>5</v>
      </c>
      <c r="H1495" s="1" t="s">
        <v>57</v>
      </c>
      <c r="I1495">
        <v>4093.61</v>
      </c>
      <c r="J1495">
        <v>4117.88</v>
      </c>
      <c r="K1495" s="1" t="s">
        <v>20</v>
      </c>
      <c r="L1495">
        <v>0.12</v>
      </c>
      <c r="M1495" s="1" t="s">
        <v>27</v>
      </c>
      <c r="N1495" s="1" t="s">
        <v>33</v>
      </c>
      <c r="O1495" s="1" t="s">
        <v>71</v>
      </c>
      <c r="P1495">
        <v>20468.05</v>
      </c>
      <c r="Q1495">
        <v>2023</v>
      </c>
      <c r="R1495">
        <v>18118.672000000002</v>
      </c>
      <c r="S1495">
        <v>-2349.377999999997</v>
      </c>
      <c r="T1495" s="1" t="s">
        <v>163</v>
      </c>
      <c r="U1495">
        <v>-0.129666125640996</v>
      </c>
    </row>
    <row r="1496" spans="1:21" x14ac:dyDescent="0.3">
      <c r="A1496" s="1" t="s">
        <v>15</v>
      </c>
      <c r="B1496" s="1" t="s">
        <v>105</v>
      </c>
      <c r="C1496" s="2">
        <v>44953</v>
      </c>
      <c r="D1496" s="1" t="s">
        <v>17</v>
      </c>
      <c r="E1496" s="1" t="s">
        <v>18</v>
      </c>
      <c r="F1496">
        <v>2783.85</v>
      </c>
      <c r="G1496">
        <v>41</v>
      </c>
      <c r="H1496" s="1" t="s">
        <v>57</v>
      </c>
      <c r="I1496">
        <v>3386.49</v>
      </c>
      <c r="J1496">
        <v>3430.99</v>
      </c>
      <c r="K1496" s="1" t="s">
        <v>26</v>
      </c>
      <c r="L1496">
        <v>0.21</v>
      </c>
      <c r="M1496" s="1" t="s">
        <v>32</v>
      </c>
      <c r="N1496" s="1" t="s">
        <v>33</v>
      </c>
      <c r="O1496" s="1" t="s">
        <v>23</v>
      </c>
      <c r="P1496">
        <v>138846.09</v>
      </c>
      <c r="Q1496">
        <v>2023</v>
      </c>
      <c r="R1496">
        <v>111129.76610000001</v>
      </c>
      <c r="S1496">
        <v>-27716.323899999988</v>
      </c>
      <c r="T1496" s="1" t="s">
        <v>163</v>
      </c>
      <c r="U1496">
        <v>-0.249405041265537</v>
      </c>
    </row>
    <row r="1497" spans="1:21" x14ac:dyDescent="0.3">
      <c r="A1497" s="1" t="s">
        <v>15</v>
      </c>
      <c r="B1497" s="1" t="s">
        <v>108</v>
      </c>
      <c r="C1497" s="2">
        <v>44953</v>
      </c>
      <c r="D1497" s="1" t="s">
        <v>36</v>
      </c>
      <c r="E1497" s="1" t="s">
        <v>40</v>
      </c>
      <c r="F1497">
        <v>6939.75</v>
      </c>
      <c r="G1497">
        <v>26</v>
      </c>
      <c r="H1497" s="1" t="s">
        <v>31</v>
      </c>
      <c r="I1497">
        <v>3697.29</v>
      </c>
      <c r="J1497">
        <v>4003.96</v>
      </c>
      <c r="K1497" s="1" t="s">
        <v>26</v>
      </c>
      <c r="L1497">
        <v>0.24</v>
      </c>
      <c r="M1497" s="1" t="s">
        <v>21</v>
      </c>
      <c r="N1497" s="1" t="s">
        <v>22</v>
      </c>
      <c r="O1497" s="1" t="s">
        <v>41</v>
      </c>
      <c r="P1497">
        <v>96129.54</v>
      </c>
      <c r="Q1497">
        <v>2023</v>
      </c>
      <c r="R1497">
        <v>79118.24960000001</v>
      </c>
      <c r="S1497">
        <v>-17011.290399999983</v>
      </c>
      <c r="T1497" s="1" t="s">
        <v>163</v>
      </c>
      <c r="U1497">
        <v>-0.21501095494407901</v>
      </c>
    </row>
    <row r="1498" spans="1:21" x14ac:dyDescent="0.3">
      <c r="A1498" s="1" t="s">
        <v>15</v>
      </c>
      <c r="B1498" s="1" t="s">
        <v>68</v>
      </c>
      <c r="C1498" s="2">
        <v>44953</v>
      </c>
      <c r="D1498" s="1" t="s">
        <v>43</v>
      </c>
      <c r="E1498" s="1" t="s">
        <v>30</v>
      </c>
      <c r="F1498">
        <v>1621.54</v>
      </c>
      <c r="G1498">
        <v>12</v>
      </c>
      <c r="H1498" s="1" t="s">
        <v>37</v>
      </c>
      <c r="I1498">
        <v>2035.68</v>
      </c>
      <c r="J1498">
        <v>2079.64</v>
      </c>
      <c r="K1498" s="1" t="s">
        <v>20</v>
      </c>
      <c r="L1498">
        <v>0.04</v>
      </c>
      <c r="M1498" s="1" t="s">
        <v>21</v>
      </c>
      <c r="N1498" s="1" t="s">
        <v>22</v>
      </c>
      <c r="O1498" s="1" t="s">
        <v>54</v>
      </c>
      <c r="P1498">
        <v>24428.16</v>
      </c>
      <c r="Q1498">
        <v>2023</v>
      </c>
      <c r="R1498">
        <v>23957.452799999999</v>
      </c>
      <c r="S1498">
        <v>-470.70720000000074</v>
      </c>
      <c r="T1498" s="1" t="s">
        <v>163</v>
      </c>
      <c r="U1498">
        <v>-1.96476313208056E-2</v>
      </c>
    </row>
    <row r="1499" spans="1:21" x14ac:dyDescent="0.3">
      <c r="A1499" s="1" t="s">
        <v>15</v>
      </c>
      <c r="B1499" s="1" t="s">
        <v>69</v>
      </c>
      <c r="C1499" s="2">
        <v>44953</v>
      </c>
      <c r="D1499" s="1" t="s">
        <v>43</v>
      </c>
      <c r="E1499" s="1" t="s">
        <v>44</v>
      </c>
      <c r="F1499">
        <v>414.26</v>
      </c>
      <c r="G1499">
        <v>38</v>
      </c>
      <c r="H1499" s="1" t="s">
        <v>57</v>
      </c>
      <c r="I1499">
        <v>2729.75</v>
      </c>
      <c r="J1499">
        <v>3081.5</v>
      </c>
      <c r="K1499" s="1" t="s">
        <v>26</v>
      </c>
      <c r="L1499">
        <v>0.01</v>
      </c>
      <c r="M1499" s="1" t="s">
        <v>32</v>
      </c>
      <c r="N1499" s="1" t="s">
        <v>22</v>
      </c>
      <c r="O1499" s="1" t="s">
        <v>45</v>
      </c>
      <c r="P1499">
        <v>103730.5</v>
      </c>
      <c r="Q1499">
        <v>2023</v>
      </c>
      <c r="R1499">
        <v>115926.03</v>
      </c>
      <c r="S1499">
        <v>12195.529999999999</v>
      </c>
      <c r="T1499" s="1" t="s">
        <v>163</v>
      </c>
      <c r="U1499">
        <v>0.105200963062394</v>
      </c>
    </row>
    <row r="1500" spans="1:21" x14ac:dyDescent="0.3">
      <c r="A1500" s="1" t="s">
        <v>15</v>
      </c>
      <c r="B1500" s="1" t="s">
        <v>108</v>
      </c>
      <c r="C1500" s="2">
        <v>44955</v>
      </c>
      <c r="D1500" s="1" t="s">
        <v>43</v>
      </c>
      <c r="E1500" s="1" t="s">
        <v>30</v>
      </c>
      <c r="F1500">
        <v>8936.33</v>
      </c>
      <c r="G1500">
        <v>13</v>
      </c>
      <c r="H1500" s="1" t="s">
        <v>19</v>
      </c>
      <c r="I1500">
        <v>2684.5</v>
      </c>
      <c r="J1500">
        <v>2913.78</v>
      </c>
      <c r="K1500" s="1" t="s">
        <v>26</v>
      </c>
      <c r="L1500">
        <v>0.08</v>
      </c>
      <c r="M1500" s="1" t="s">
        <v>27</v>
      </c>
      <c r="N1500" s="1" t="s">
        <v>33</v>
      </c>
      <c r="O1500" s="1" t="s">
        <v>54</v>
      </c>
      <c r="P1500">
        <v>34898.5</v>
      </c>
      <c r="Q1500">
        <v>2023</v>
      </c>
      <c r="R1500">
        <v>34848.808799999999</v>
      </c>
      <c r="S1500">
        <v>-49.691200000001118</v>
      </c>
      <c r="T1500" s="1" t="s">
        <v>163</v>
      </c>
      <c r="U1500">
        <v>-1.42590813606235E-3</v>
      </c>
    </row>
    <row r="1501" spans="1:21" x14ac:dyDescent="0.3">
      <c r="A1501" s="1" t="s">
        <v>15</v>
      </c>
      <c r="B1501" s="1" t="s">
        <v>102</v>
      </c>
      <c r="C1501" s="2">
        <v>44955</v>
      </c>
      <c r="D1501" s="1" t="s">
        <v>25</v>
      </c>
      <c r="E1501" s="1" t="s">
        <v>30</v>
      </c>
      <c r="F1501">
        <v>4882.09</v>
      </c>
      <c r="G1501">
        <v>19</v>
      </c>
      <c r="H1501" s="1" t="s">
        <v>37</v>
      </c>
      <c r="I1501">
        <v>1233.1199999999999</v>
      </c>
      <c r="J1501">
        <v>1697.19</v>
      </c>
      <c r="K1501" s="1" t="s">
        <v>26</v>
      </c>
      <c r="L1501">
        <v>0.1</v>
      </c>
      <c r="M1501" s="1" t="s">
        <v>27</v>
      </c>
      <c r="N1501" s="1" t="s">
        <v>22</v>
      </c>
      <c r="O1501" s="1" t="s">
        <v>92</v>
      </c>
      <c r="P1501">
        <v>23429.279999999999</v>
      </c>
      <c r="Q1501">
        <v>2023</v>
      </c>
      <c r="R1501">
        <v>29021.949000000001</v>
      </c>
      <c r="S1501">
        <v>5592.6690000000017</v>
      </c>
      <c r="T1501" s="1" t="s">
        <v>163</v>
      </c>
      <c r="U1501">
        <v>0.19270480421559599</v>
      </c>
    </row>
    <row r="1502" spans="1:21" x14ac:dyDescent="0.3">
      <c r="A1502" s="1" t="s">
        <v>15</v>
      </c>
      <c r="B1502" s="1" t="s">
        <v>100</v>
      </c>
      <c r="C1502" s="2">
        <v>44955</v>
      </c>
      <c r="D1502" s="1" t="s">
        <v>17</v>
      </c>
      <c r="E1502" s="1" t="s">
        <v>18</v>
      </c>
      <c r="F1502">
        <v>9772.3700000000008</v>
      </c>
      <c r="G1502">
        <v>25</v>
      </c>
      <c r="H1502" s="1" t="s">
        <v>57</v>
      </c>
      <c r="I1502">
        <v>2403.54</v>
      </c>
      <c r="J1502">
        <v>2850.56</v>
      </c>
      <c r="K1502" s="1" t="s">
        <v>26</v>
      </c>
      <c r="L1502">
        <v>0.13</v>
      </c>
      <c r="M1502" s="1" t="s">
        <v>32</v>
      </c>
      <c r="N1502" s="1" t="s">
        <v>22</v>
      </c>
      <c r="O1502" s="1" t="s">
        <v>23</v>
      </c>
      <c r="P1502">
        <v>60088.5</v>
      </c>
      <c r="Q1502">
        <v>2023</v>
      </c>
      <c r="R1502">
        <v>61999.68</v>
      </c>
      <c r="S1502">
        <v>1911.1800000000003</v>
      </c>
      <c r="T1502" s="1" t="s">
        <v>163</v>
      </c>
      <c r="U1502">
        <v>3.08256429710605E-2</v>
      </c>
    </row>
    <row r="1503" spans="1:21" x14ac:dyDescent="0.3">
      <c r="A1503" s="1" t="s">
        <v>15</v>
      </c>
      <c r="B1503" s="1" t="s">
        <v>121</v>
      </c>
      <c r="C1503" s="2">
        <v>44955</v>
      </c>
      <c r="D1503" s="1" t="s">
        <v>25</v>
      </c>
      <c r="E1503" s="1" t="s">
        <v>40</v>
      </c>
      <c r="F1503">
        <v>2491.21</v>
      </c>
      <c r="G1503">
        <v>13</v>
      </c>
      <c r="H1503" s="1" t="s">
        <v>31</v>
      </c>
      <c r="I1503">
        <v>3765.46</v>
      </c>
      <c r="J1503">
        <v>3860.56</v>
      </c>
      <c r="K1503" s="1" t="s">
        <v>20</v>
      </c>
      <c r="L1503">
        <v>0.22</v>
      </c>
      <c r="M1503" s="1" t="s">
        <v>21</v>
      </c>
      <c r="N1503" s="1" t="s">
        <v>33</v>
      </c>
      <c r="O1503" s="1" t="s">
        <v>83</v>
      </c>
      <c r="P1503">
        <v>48950.98</v>
      </c>
      <c r="Q1503">
        <v>2023</v>
      </c>
      <c r="R1503">
        <v>39146.078399999999</v>
      </c>
      <c r="S1503">
        <v>-9804.9016000000047</v>
      </c>
      <c r="T1503" s="1" t="s">
        <v>163</v>
      </c>
      <c r="U1503">
        <v>-0.25046957449510499</v>
      </c>
    </row>
    <row r="1504" spans="1:21" x14ac:dyDescent="0.3">
      <c r="A1504" s="1" t="s">
        <v>15</v>
      </c>
      <c r="B1504" s="1" t="s">
        <v>104</v>
      </c>
      <c r="C1504" s="2">
        <v>44955</v>
      </c>
      <c r="D1504" s="1" t="s">
        <v>17</v>
      </c>
      <c r="E1504" s="1" t="s">
        <v>40</v>
      </c>
      <c r="F1504">
        <v>182.8</v>
      </c>
      <c r="G1504">
        <v>16</v>
      </c>
      <c r="H1504" s="1" t="s">
        <v>19</v>
      </c>
      <c r="I1504">
        <v>3745.69</v>
      </c>
      <c r="J1504">
        <v>3883.77</v>
      </c>
      <c r="K1504" s="1" t="s">
        <v>20</v>
      </c>
      <c r="L1504">
        <v>0.18</v>
      </c>
      <c r="M1504" s="1" t="s">
        <v>32</v>
      </c>
      <c r="N1504" s="1" t="s">
        <v>33</v>
      </c>
      <c r="O1504" s="1" t="s">
        <v>67</v>
      </c>
      <c r="P1504">
        <v>59931.040000000001</v>
      </c>
      <c r="Q1504">
        <v>2023</v>
      </c>
      <c r="R1504">
        <v>50955.062400000003</v>
      </c>
      <c r="S1504">
        <v>-8975.9775999999983</v>
      </c>
      <c r="T1504" s="1" t="s">
        <v>163</v>
      </c>
      <c r="U1504">
        <v>-0.176154775938416</v>
      </c>
    </row>
    <row r="1505" spans="1:21" x14ac:dyDescent="0.3">
      <c r="A1505" s="1" t="s">
        <v>15</v>
      </c>
      <c r="B1505" s="1" t="s">
        <v>114</v>
      </c>
      <c r="C1505" s="2">
        <v>44955</v>
      </c>
      <c r="D1505" s="1" t="s">
        <v>36</v>
      </c>
      <c r="E1505" s="1" t="s">
        <v>40</v>
      </c>
      <c r="F1505">
        <v>6008.83</v>
      </c>
      <c r="G1505">
        <v>25</v>
      </c>
      <c r="H1505" s="1" t="s">
        <v>57</v>
      </c>
      <c r="I1505">
        <v>4660.82</v>
      </c>
      <c r="J1505">
        <v>5011.43</v>
      </c>
      <c r="K1505" s="1" t="s">
        <v>26</v>
      </c>
      <c r="L1505">
        <v>7.0000000000000007E-2</v>
      </c>
      <c r="M1505" s="1" t="s">
        <v>32</v>
      </c>
      <c r="N1505" s="1" t="s">
        <v>22</v>
      </c>
      <c r="O1505" s="1" t="s">
        <v>41</v>
      </c>
      <c r="P1505">
        <v>116520.5</v>
      </c>
      <c r="Q1505">
        <v>2023</v>
      </c>
      <c r="R1505">
        <v>116515.7475</v>
      </c>
      <c r="S1505">
        <v>-4.7525000000023283</v>
      </c>
      <c r="T1505" s="1" t="s">
        <v>163</v>
      </c>
      <c r="U1505">
        <v>-4.0788477969489301E-5</v>
      </c>
    </row>
    <row r="1506" spans="1:21" x14ac:dyDescent="0.3">
      <c r="A1506" s="1" t="s">
        <v>15</v>
      </c>
      <c r="B1506" s="1" t="s">
        <v>100</v>
      </c>
      <c r="C1506" s="2">
        <v>44957</v>
      </c>
      <c r="D1506" s="1" t="s">
        <v>59</v>
      </c>
      <c r="E1506" s="1" t="s">
        <v>18</v>
      </c>
      <c r="F1506">
        <v>5207.03</v>
      </c>
      <c r="G1506">
        <v>11</v>
      </c>
      <c r="H1506" s="1" t="s">
        <v>57</v>
      </c>
      <c r="I1506">
        <v>635.20000000000005</v>
      </c>
      <c r="J1506">
        <v>814.14</v>
      </c>
      <c r="K1506" s="1" t="s">
        <v>20</v>
      </c>
      <c r="L1506">
        <v>0.02</v>
      </c>
      <c r="M1506" s="1" t="s">
        <v>21</v>
      </c>
      <c r="N1506" s="1" t="s">
        <v>22</v>
      </c>
      <c r="O1506" s="1" t="s">
        <v>77</v>
      </c>
      <c r="P1506">
        <v>6987.2000000000007</v>
      </c>
      <c r="Q1506">
        <v>2023</v>
      </c>
      <c r="R1506">
        <v>8776.4291999999987</v>
      </c>
      <c r="S1506">
        <v>1789.2291999999979</v>
      </c>
      <c r="T1506" s="1" t="s">
        <v>163</v>
      </c>
      <c r="U1506">
        <v>0.20386755925747099</v>
      </c>
    </row>
    <row r="1507" spans="1:21" x14ac:dyDescent="0.3">
      <c r="A1507" s="1" t="s">
        <v>15</v>
      </c>
      <c r="B1507" s="1" t="s">
        <v>74</v>
      </c>
      <c r="C1507" s="2">
        <v>44957</v>
      </c>
      <c r="D1507" s="1" t="s">
        <v>25</v>
      </c>
      <c r="E1507" s="1" t="s">
        <v>18</v>
      </c>
      <c r="F1507">
        <v>975.01</v>
      </c>
      <c r="G1507">
        <v>36</v>
      </c>
      <c r="H1507" s="1" t="s">
        <v>57</v>
      </c>
      <c r="I1507">
        <v>4995.3</v>
      </c>
      <c r="J1507">
        <v>5165.09</v>
      </c>
      <c r="K1507" s="1" t="s">
        <v>20</v>
      </c>
      <c r="L1507">
        <v>0.24</v>
      </c>
      <c r="M1507" s="1" t="s">
        <v>21</v>
      </c>
      <c r="N1507" s="1" t="s">
        <v>22</v>
      </c>
      <c r="O1507" s="1" t="s">
        <v>28</v>
      </c>
      <c r="P1507">
        <v>179830.80000000002</v>
      </c>
      <c r="Q1507">
        <v>2023</v>
      </c>
      <c r="R1507">
        <v>141316.86239999998</v>
      </c>
      <c r="S1507">
        <v>-38513.937600000034</v>
      </c>
      <c r="T1507" s="1" t="s">
        <v>163</v>
      </c>
      <c r="U1507">
        <v>-0.27253603671857402</v>
      </c>
    </row>
    <row r="1508" spans="1:21" x14ac:dyDescent="0.3">
      <c r="A1508" s="1" t="s">
        <v>15</v>
      </c>
      <c r="B1508" s="1" t="s">
        <v>65</v>
      </c>
      <c r="C1508" s="2">
        <v>44958</v>
      </c>
      <c r="D1508" s="1" t="s">
        <v>17</v>
      </c>
      <c r="E1508" s="1" t="s">
        <v>18</v>
      </c>
      <c r="F1508">
        <v>2726.73</v>
      </c>
      <c r="G1508">
        <v>18</v>
      </c>
      <c r="H1508" s="1" t="s">
        <v>31</v>
      </c>
      <c r="I1508">
        <v>2760.21</v>
      </c>
      <c r="J1508">
        <v>3219.58</v>
      </c>
      <c r="K1508" s="1" t="s">
        <v>26</v>
      </c>
      <c r="L1508">
        <v>0.27</v>
      </c>
      <c r="M1508" s="1" t="s">
        <v>32</v>
      </c>
      <c r="N1508" s="1" t="s">
        <v>33</v>
      </c>
      <c r="O1508" s="1" t="s">
        <v>23</v>
      </c>
      <c r="P1508">
        <v>49683.78</v>
      </c>
      <c r="Q1508">
        <v>2023</v>
      </c>
      <c r="R1508">
        <v>42305.281199999998</v>
      </c>
      <c r="S1508">
        <v>-7378.4988000000012</v>
      </c>
      <c r="T1508" s="1" t="s">
        <v>163</v>
      </c>
      <c r="U1508">
        <v>-0.17441082036821401</v>
      </c>
    </row>
    <row r="1509" spans="1:21" x14ac:dyDescent="0.3">
      <c r="A1509" s="1" t="s">
        <v>15</v>
      </c>
      <c r="B1509" s="1" t="s">
        <v>122</v>
      </c>
      <c r="C1509" s="2">
        <v>44958</v>
      </c>
      <c r="D1509" s="1" t="s">
        <v>59</v>
      </c>
      <c r="E1509" s="1" t="s">
        <v>40</v>
      </c>
      <c r="F1509">
        <v>1099.68</v>
      </c>
      <c r="G1509">
        <v>27</v>
      </c>
      <c r="H1509" s="1" t="s">
        <v>37</v>
      </c>
      <c r="I1509">
        <v>3955.19</v>
      </c>
      <c r="J1509">
        <v>4393.68</v>
      </c>
      <c r="K1509" s="1" t="s">
        <v>20</v>
      </c>
      <c r="L1509">
        <v>0.04</v>
      </c>
      <c r="M1509" s="1" t="s">
        <v>27</v>
      </c>
      <c r="N1509" s="1" t="s">
        <v>22</v>
      </c>
      <c r="O1509" s="1" t="s">
        <v>90</v>
      </c>
      <c r="P1509">
        <v>106790.13</v>
      </c>
      <c r="Q1509">
        <v>2023</v>
      </c>
      <c r="R1509">
        <v>113884.18560000001</v>
      </c>
      <c r="S1509">
        <v>7094.055600000007</v>
      </c>
      <c r="T1509" s="1" t="s">
        <v>163</v>
      </c>
      <c r="U1509">
        <v>6.2291841159726399E-2</v>
      </c>
    </row>
    <row r="1510" spans="1:21" x14ac:dyDescent="0.3">
      <c r="A1510" s="1" t="s">
        <v>15</v>
      </c>
      <c r="B1510" s="1" t="s">
        <v>117</v>
      </c>
      <c r="C1510" s="2">
        <v>44959</v>
      </c>
      <c r="D1510" s="1" t="s">
        <v>59</v>
      </c>
      <c r="E1510" s="1" t="s">
        <v>44</v>
      </c>
      <c r="F1510">
        <v>9289</v>
      </c>
      <c r="G1510">
        <v>31</v>
      </c>
      <c r="H1510" s="1" t="s">
        <v>37</v>
      </c>
      <c r="I1510">
        <v>1724.24</v>
      </c>
      <c r="J1510">
        <v>2036.2</v>
      </c>
      <c r="K1510" s="1" t="s">
        <v>26</v>
      </c>
      <c r="L1510">
        <v>0.17</v>
      </c>
      <c r="M1510" s="1" t="s">
        <v>21</v>
      </c>
      <c r="N1510" s="1" t="s">
        <v>22</v>
      </c>
      <c r="O1510" s="1" t="s">
        <v>60</v>
      </c>
      <c r="P1510">
        <v>53451.44</v>
      </c>
      <c r="Q1510">
        <v>2023</v>
      </c>
      <c r="R1510">
        <v>52391.425999999999</v>
      </c>
      <c r="S1510">
        <v>-1060.0140000000029</v>
      </c>
      <c r="T1510" s="1" t="s">
        <v>163</v>
      </c>
      <c r="U1510">
        <v>-2.0232585385249899E-2</v>
      </c>
    </row>
    <row r="1511" spans="1:21" x14ac:dyDescent="0.3">
      <c r="A1511" s="1" t="s">
        <v>15</v>
      </c>
      <c r="B1511" s="1" t="s">
        <v>61</v>
      </c>
      <c r="C1511" s="2">
        <v>44960</v>
      </c>
      <c r="D1511" s="1" t="s">
        <v>43</v>
      </c>
      <c r="E1511" s="1" t="s">
        <v>18</v>
      </c>
      <c r="F1511">
        <v>5053.97</v>
      </c>
      <c r="G1511">
        <v>18</v>
      </c>
      <c r="H1511" s="1" t="s">
        <v>31</v>
      </c>
      <c r="I1511">
        <v>152.75</v>
      </c>
      <c r="J1511">
        <v>267.22000000000003</v>
      </c>
      <c r="K1511" s="1" t="s">
        <v>20</v>
      </c>
      <c r="L1511">
        <v>0.09</v>
      </c>
      <c r="M1511" s="1" t="s">
        <v>21</v>
      </c>
      <c r="N1511" s="1" t="s">
        <v>22</v>
      </c>
      <c r="O1511" s="1" t="s">
        <v>62</v>
      </c>
      <c r="P1511">
        <v>2749.5</v>
      </c>
      <c r="Q1511">
        <v>2023</v>
      </c>
      <c r="R1511">
        <v>4377.0636000000013</v>
      </c>
      <c r="S1511">
        <v>1627.5636000000013</v>
      </c>
      <c r="T1511" s="1" t="s">
        <v>163</v>
      </c>
      <c r="U1511">
        <v>0.37183914805350299</v>
      </c>
    </row>
    <row r="1512" spans="1:21" x14ac:dyDescent="0.3">
      <c r="A1512" s="1" t="s">
        <v>15</v>
      </c>
      <c r="B1512" s="1" t="s">
        <v>89</v>
      </c>
      <c r="C1512" s="2">
        <v>44960</v>
      </c>
      <c r="D1512" s="1" t="s">
        <v>43</v>
      </c>
      <c r="E1512" s="1" t="s">
        <v>18</v>
      </c>
      <c r="F1512">
        <v>6520.2</v>
      </c>
      <c r="G1512">
        <v>42</v>
      </c>
      <c r="H1512" s="1" t="s">
        <v>19</v>
      </c>
      <c r="I1512">
        <v>4625.33</v>
      </c>
      <c r="J1512">
        <v>4642.83</v>
      </c>
      <c r="K1512" s="1" t="s">
        <v>26</v>
      </c>
      <c r="L1512">
        <v>0.19</v>
      </c>
      <c r="M1512" s="1" t="s">
        <v>27</v>
      </c>
      <c r="N1512" s="1" t="s">
        <v>22</v>
      </c>
      <c r="O1512" s="1" t="s">
        <v>62</v>
      </c>
      <c r="P1512">
        <v>194263.86</v>
      </c>
      <c r="Q1512">
        <v>2023</v>
      </c>
      <c r="R1512">
        <v>157949.0766</v>
      </c>
      <c r="S1512">
        <v>-36314.783399999986</v>
      </c>
      <c r="T1512" s="1" t="s">
        <v>163</v>
      </c>
      <c r="U1512">
        <v>-0.22991450271004599</v>
      </c>
    </row>
    <row r="1513" spans="1:21" x14ac:dyDescent="0.3">
      <c r="A1513" s="1" t="s">
        <v>15</v>
      </c>
      <c r="B1513" s="1" t="s">
        <v>112</v>
      </c>
      <c r="C1513" s="2">
        <v>44960</v>
      </c>
      <c r="D1513" s="1" t="s">
        <v>25</v>
      </c>
      <c r="E1513" s="1" t="s">
        <v>18</v>
      </c>
      <c r="F1513">
        <v>1736.32</v>
      </c>
      <c r="G1513">
        <v>5</v>
      </c>
      <c r="H1513" s="1" t="s">
        <v>57</v>
      </c>
      <c r="I1513">
        <v>4483.8500000000004</v>
      </c>
      <c r="J1513">
        <v>4795.42</v>
      </c>
      <c r="K1513" s="1" t="s">
        <v>20</v>
      </c>
      <c r="L1513">
        <v>0.23</v>
      </c>
      <c r="M1513" s="1" t="s">
        <v>21</v>
      </c>
      <c r="N1513" s="1" t="s">
        <v>22</v>
      </c>
      <c r="O1513" s="1" t="s">
        <v>28</v>
      </c>
      <c r="P1513">
        <v>22419.25</v>
      </c>
      <c r="Q1513">
        <v>2023</v>
      </c>
      <c r="R1513">
        <v>18462.366999999998</v>
      </c>
      <c r="S1513">
        <v>-3956.8830000000016</v>
      </c>
      <c r="T1513" s="1" t="s">
        <v>163</v>
      </c>
      <c r="U1513">
        <v>-0.21432154392771</v>
      </c>
    </row>
    <row r="1514" spans="1:21" x14ac:dyDescent="0.3">
      <c r="A1514" s="1" t="s">
        <v>15</v>
      </c>
      <c r="B1514" s="1" t="s">
        <v>120</v>
      </c>
      <c r="C1514" s="2">
        <v>44961</v>
      </c>
      <c r="D1514" s="1" t="s">
        <v>59</v>
      </c>
      <c r="E1514" s="1" t="s">
        <v>40</v>
      </c>
      <c r="F1514">
        <v>1554.93</v>
      </c>
      <c r="G1514">
        <v>19</v>
      </c>
      <c r="H1514" s="1" t="s">
        <v>37</v>
      </c>
      <c r="I1514">
        <v>1265.48</v>
      </c>
      <c r="J1514">
        <v>1715.83</v>
      </c>
      <c r="K1514" s="1" t="s">
        <v>26</v>
      </c>
      <c r="L1514">
        <v>0.05</v>
      </c>
      <c r="M1514" s="1" t="s">
        <v>27</v>
      </c>
      <c r="N1514" s="1" t="s">
        <v>33</v>
      </c>
      <c r="O1514" s="1" t="s">
        <v>90</v>
      </c>
      <c r="P1514">
        <v>24044.12</v>
      </c>
      <c r="Q1514">
        <v>2023</v>
      </c>
      <c r="R1514">
        <v>30970.731499999994</v>
      </c>
      <c r="S1514">
        <v>6926.6114999999954</v>
      </c>
      <c r="T1514" s="1" t="s">
        <v>163</v>
      </c>
      <c r="U1514">
        <v>0.223650238936074</v>
      </c>
    </row>
    <row r="1515" spans="1:21" x14ac:dyDescent="0.3">
      <c r="A1515" s="1" t="s">
        <v>15</v>
      </c>
      <c r="B1515" s="1" t="s">
        <v>123</v>
      </c>
      <c r="C1515" s="2">
        <v>44961</v>
      </c>
      <c r="D1515" s="1" t="s">
        <v>25</v>
      </c>
      <c r="E1515" s="1" t="s">
        <v>18</v>
      </c>
      <c r="F1515">
        <v>8753.31</v>
      </c>
      <c r="G1515">
        <v>7</v>
      </c>
      <c r="H1515" s="1" t="s">
        <v>31</v>
      </c>
      <c r="I1515">
        <v>523.02</v>
      </c>
      <c r="J1515">
        <v>686.25</v>
      </c>
      <c r="K1515" s="1" t="s">
        <v>20</v>
      </c>
      <c r="L1515">
        <v>0.04</v>
      </c>
      <c r="M1515" s="1" t="s">
        <v>21</v>
      </c>
      <c r="N1515" s="1" t="s">
        <v>22</v>
      </c>
      <c r="O1515" s="1" t="s">
        <v>28</v>
      </c>
      <c r="P1515">
        <v>3661.14</v>
      </c>
      <c r="Q1515">
        <v>2023</v>
      </c>
      <c r="R1515">
        <v>4611.5999999999995</v>
      </c>
      <c r="S1515">
        <v>950.45999999999958</v>
      </c>
      <c r="T1515" s="1" t="s">
        <v>163</v>
      </c>
      <c r="U1515">
        <v>0.206102003642987</v>
      </c>
    </row>
    <row r="1516" spans="1:21" x14ac:dyDescent="0.3">
      <c r="A1516" s="1" t="s">
        <v>15</v>
      </c>
      <c r="B1516" s="1" t="s">
        <v>103</v>
      </c>
      <c r="C1516" s="2">
        <v>44962</v>
      </c>
      <c r="D1516" s="1" t="s">
        <v>25</v>
      </c>
      <c r="E1516" s="1" t="s">
        <v>30</v>
      </c>
      <c r="F1516">
        <v>245.46</v>
      </c>
      <c r="G1516">
        <v>9</v>
      </c>
      <c r="H1516" s="1" t="s">
        <v>37</v>
      </c>
      <c r="I1516">
        <v>1141.52</v>
      </c>
      <c r="J1516">
        <v>1550.19</v>
      </c>
      <c r="K1516" s="1" t="s">
        <v>26</v>
      </c>
      <c r="L1516">
        <v>0.28000000000000003</v>
      </c>
      <c r="M1516" s="1" t="s">
        <v>27</v>
      </c>
      <c r="N1516" s="1" t="s">
        <v>33</v>
      </c>
      <c r="O1516" s="1" t="s">
        <v>92</v>
      </c>
      <c r="P1516">
        <v>10273.68</v>
      </c>
      <c r="Q1516">
        <v>2023</v>
      </c>
      <c r="R1516">
        <v>10045.2312</v>
      </c>
      <c r="S1516">
        <v>-228.44880000000012</v>
      </c>
      <c r="T1516" s="1" t="s">
        <v>163</v>
      </c>
      <c r="U1516">
        <v>-2.2742015136495802E-2</v>
      </c>
    </row>
    <row r="1517" spans="1:21" x14ac:dyDescent="0.3">
      <c r="A1517" s="1" t="s">
        <v>15</v>
      </c>
      <c r="B1517" s="1" t="s">
        <v>93</v>
      </c>
      <c r="C1517" s="2">
        <v>44962</v>
      </c>
      <c r="D1517" s="1" t="s">
        <v>36</v>
      </c>
      <c r="E1517" s="1" t="s">
        <v>18</v>
      </c>
      <c r="F1517">
        <v>9070.26</v>
      </c>
      <c r="G1517">
        <v>42</v>
      </c>
      <c r="H1517" s="1" t="s">
        <v>37</v>
      </c>
      <c r="I1517">
        <v>4723.83</v>
      </c>
      <c r="J1517">
        <v>5186.1899999999996</v>
      </c>
      <c r="K1517" s="1" t="s">
        <v>20</v>
      </c>
      <c r="L1517">
        <v>0.22</v>
      </c>
      <c r="M1517" s="1" t="s">
        <v>27</v>
      </c>
      <c r="N1517" s="1" t="s">
        <v>22</v>
      </c>
      <c r="O1517" s="1" t="s">
        <v>115</v>
      </c>
      <c r="P1517">
        <v>198400.86</v>
      </c>
      <c r="Q1517">
        <v>2023</v>
      </c>
      <c r="R1517">
        <v>169899.58439999999</v>
      </c>
      <c r="S1517">
        <v>-28501.275599999994</v>
      </c>
      <c r="T1517" s="1" t="s">
        <v>163</v>
      </c>
      <c r="U1517">
        <v>-0.167753651079561</v>
      </c>
    </row>
    <row r="1518" spans="1:21" x14ac:dyDescent="0.3">
      <c r="A1518" s="1" t="s">
        <v>15</v>
      </c>
      <c r="B1518" s="1" t="s">
        <v>124</v>
      </c>
      <c r="C1518" s="2">
        <v>44962</v>
      </c>
      <c r="D1518" s="1" t="s">
        <v>36</v>
      </c>
      <c r="E1518" s="1" t="s">
        <v>44</v>
      </c>
      <c r="F1518">
        <v>236.08</v>
      </c>
      <c r="G1518">
        <v>49</v>
      </c>
      <c r="H1518" s="1" t="s">
        <v>31</v>
      </c>
      <c r="I1518">
        <v>2590.29</v>
      </c>
      <c r="J1518">
        <v>2925.86</v>
      </c>
      <c r="K1518" s="1" t="s">
        <v>20</v>
      </c>
      <c r="L1518">
        <v>0.26</v>
      </c>
      <c r="M1518" s="1" t="s">
        <v>21</v>
      </c>
      <c r="N1518" s="1" t="s">
        <v>33</v>
      </c>
      <c r="O1518" s="1" t="s">
        <v>71</v>
      </c>
      <c r="P1518">
        <v>126924.20999999999</v>
      </c>
      <c r="Q1518">
        <v>2023</v>
      </c>
      <c r="R1518">
        <v>106091.6836</v>
      </c>
      <c r="S1518">
        <v>-20832.526399999988</v>
      </c>
      <c r="T1518" s="1" t="s">
        <v>163</v>
      </c>
      <c r="U1518">
        <v>-0.196363425417447</v>
      </c>
    </row>
    <row r="1519" spans="1:21" x14ac:dyDescent="0.3">
      <c r="A1519" s="1" t="s">
        <v>15</v>
      </c>
      <c r="B1519" s="1" t="s">
        <v>125</v>
      </c>
      <c r="C1519" s="2">
        <v>44963</v>
      </c>
      <c r="D1519" s="1" t="s">
        <v>25</v>
      </c>
      <c r="E1519" s="1" t="s">
        <v>44</v>
      </c>
      <c r="F1519">
        <v>6242.69</v>
      </c>
      <c r="G1519">
        <v>26</v>
      </c>
      <c r="H1519" s="1" t="s">
        <v>37</v>
      </c>
      <c r="I1519">
        <v>4266.3599999999997</v>
      </c>
      <c r="J1519">
        <v>4331.43</v>
      </c>
      <c r="K1519" s="1" t="s">
        <v>20</v>
      </c>
      <c r="L1519">
        <v>0.14000000000000001</v>
      </c>
      <c r="M1519" s="1" t="s">
        <v>27</v>
      </c>
      <c r="N1519" s="1" t="s">
        <v>33</v>
      </c>
      <c r="O1519" s="1" t="s">
        <v>47</v>
      </c>
      <c r="P1519">
        <v>110925.35999999999</v>
      </c>
      <c r="Q1519">
        <v>2023</v>
      </c>
      <c r="R1519">
        <v>96850.774799999999</v>
      </c>
      <c r="S1519">
        <v>-14074.585199999987</v>
      </c>
      <c r="T1519" s="1" t="s">
        <v>163</v>
      </c>
      <c r="U1519">
        <v>-0.145322381045113</v>
      </c>
    </row>
    <row r="1520" spans="1:21" x14ac:dyDescent="0.3">
      <c r="A1520" s="1" t="s">
        <v>15</v>
      </c>
      <c r="B1520" s="1" t="s">
        <v>48</v>
      </c>
      <c r="C1520" s="2">
        <v>44963</v>
      </c>
      <c r="D1520" s="1" t="s">
        <v>17</v>
      </c>
      <c r="E1520" s="1" t="s">
        <v>40</v>
      </c>
      <c r="F1520">
        <v>3668.23</v>
      </c>
      <c r="G1520">
        <v>45</v>
      </c>
      <c r="H1520" s="1" t="s">
        <v>57</v>
      </c>
      <c r="I1520">
        <v>1153.9000000000001</v>
      </c>
      <c r="J1520">
        <v>1485.34</v>
      </c>
      <c r="K1520" s="1" t="s">
        <v>26</v>
      </c>
      <c r="L1520">
        <v>0.25</v>
      </c>
      <c r="M1520" s="1" t="s">
        <v>27</v>
      </c>
      <c r="N1520" s="1" t="s">
        <v>33</v>
      </c>
      <c r="O1520" s="1" t="s">
        <v>67</v>
      </c>
      <c r="P1520">
        <v>51925.500000000007</v>
      </c>
      <c r="Q1520">
        <v>2023</v>
      </c>
      <c r="R1520">
        <v>50130.225000000006</v>
      </c>
      <c r="S1520">
        <v>-1795.2750000000015</v>
      </c>
      <c r="T1520" s="1" t="s">
        <v>163</v>
      </c>
      <c r="U1520">
        <v>-3.58122270546362E-2</v>
      </c>
    </row>
    <row r="1521" spans="1:21" x14ac:dyDescent="0.3">
      <c r="A1521" s="1" t="s">
        <v>15</v>
      </c>
      <c r="B1521" s="1" t="s">
        <v>120</v>
      </c>
      <c r="C1521" s="2">
        <v>44963</v>
      </c>
      <c r="D1521" s="1" t="s">
        <v>43</v>
      </c>
      <c r="E1521" s="1" t="s">
        <v>40</v>
      </c>
      <c r="F1521">
        <v>961.47</v>
      </c>
      <c r="G1521">
        <v>34</v>
      </c>
      <c r="H1521" s="1" t="s">
        <v>37</v>
      </c>
      <c r="I1521">
        <v>68.33</v>
      </c>
      <c r="J1521">
        <v>219.08</v>
      </c>
      <c r="K1521" s="1" t="s">
        <v>26</v>
      </c>
      <c r="L1521">
        <v>0.02</v>
      </c>
      <c r="M1521" s="1" t="s">
        <v>27</v>
      </c>
      <c r="N1521" s="1" t="s">
        <v>22</v>
      </c>
      <c r="O1521" s="1" t="s">
        <v>99</v>
      </c>
      <c r="P1521">
        <v>2323.2199999999998</v>
      </c>
      <c r="Q1521">
        <v>2023</v>
      </c>
      <c r="R1521">
        <v>7299.7456000000002</v>
      </c>
      <c r="S1521">
        <v>4976.5256000000008</v>
      </c>
      <c r="T1521" s="1" t="s">
        <v>163</v>
      </c>
      <c r="U1521">
        <v>0.68173959377433602</v>
      </c>
    </row>
    <row r="1522" spans="1:21" x14ac:dyDescent="0.3">
      <c r="A1522" s="1" t="s">
        <v>15</v>
      </c>
      <c r="B1522" s="1" t="s">
        <v>56</v>
      </c>
      <c r="C1522" s="2">
        <v>44964</v>
      </c>
      <c r="D1522" s="1" t="s">
        <v>36</v>
      </c>
      <c r="E1522" s="1" t="s">
        <v>44</v>
      </c>
      <c r="F1522">
        <v>3068.03</v>
      </c>
      <c r="G1522">
        <v>41</v>
      </c>
      <c r="H1522" s="1" t="s">
        <v>31</v>
      </c>
      <c r="I1522">
        <v>2782.08</v>
      </c>
      <c r="J1522">
        <v>2879.24</v>
      </c>
      <c r="K1522" s="1" t="s">
        <v>26</v>
      </c>
      <c r="L1522">
        <v>0.21</v>
      </c>
      <c r="M1522" s="1" t="s">
        <v>32</v>
      </c>
      <c r="N1522" s="1" t="s">
        <v>22</v>
      </c>
      <c r="O1522" s="1" t="s">
        <v>71</v>
      </c>
      <c r="P1522">
        <v>114065.28</v>
      </c>
      <c r="Q1522">
        <v>2023</v>
      </c>
      <c r="R1522">
        <v>93258.583599999998</v>
      </c>
      <c r="S1522">
        <v>-20806.696400000001</v>
      </c>
      <c r="T1522" s="1" t="s">
        <v>163</v>
      </c>
      <c r="U1522">
        <v>-0.22310757462544201</v>
      </c>
    </row>
    <row r="1523" spans="1:21" x14ac:dyDescent="0.3">
      <c r="A1523" s="1" t="s">
        <v>15</v>
      </c>
      <c r="B1523" s="1" t="s">
        <v>126</v>
      </c>
      <c r="C1523" s="2">
        <v>44964</v>
      </c>
      <c r="D1523" s="1" t="s">
        <v>43</v>
      </c>
      <c r="E1523" s="1" t="s">
        <v>44</v>
      </c>
      <c r="F1523">
        <v>5490.38</v>
      </c>
      <c r="G1523">
        <v>26</v>
      </c>
      <c r="H1523" s="1" t="s">
        <v>57</v>
      </c>
      <c r="I1523">
        <v>3640.17</v>
      </c>
      <c r="J1523">
        <v>4002.63</v>
      </c>
      <c r="K1523" s="1" t="s">
        <v>26</v>
      </c>
      <c r="L1523">
        <v>0.05</v>
      </c>
      <c r="M1523" s="1" t="s">
        <v>27</v>
      </c>
      <c r="N1523" s="1" t="s">
        <v>33</v>
      </c>
      <c r="O1523" s="1" t="s">
        <v>45</v>
      </c>
      <c r="P1523">
        <v>94644.42</v>
      </c>
      <c r="Q1523">
        <v>2023</v>
      </c>
      <c r="R1523">
        <v>98864.960999999996</v>
      </c>
      <c r="S1523">
        <v>4220.5409999999974</v>
      </c>
      <c r="T1523" s="1" t="s">
        <v>163</v>
      </c>
      <c r="U1523">
        <v>4.2689957668622297E-2</v>
      </c>
    </row>
    <row r="1524" spans="1:21" x14ac:dyDescent="0.3">
      <c r="A1524" s="1" t="s">
        <v>15</v>
      </c>
      <c r="B1524" s="1" t="s">
        <v>80</v>
      </c>
      <c r="C1524" s="2">
        <v>44964</v>
      </c>
      <c r="D1524" s="1" t="s">
        <v>17</v>
      </c>
      <c r="E1524" s="1" t="s">
        <v>40</v>
      </c>
      <c r="F1524">
        <v>9605.34</v>
      </c>
      <c r="G1524">
        <v>12</v>
      </c>
      <c r="H1524" s="1" t="s">
        <v>19</v>
      </c>
      <c r="I1524">
        <v>2427.46</v>
      </c>
      <c r="J1524">
        <v>2743.09</v>
      </c>
      <c r="K1524" s="1" t="s">
        <v>26</v>
      </c>
      <c r="L1524">
        <v>0.28999999999999998</v>
      </c>
      <c r="M1524" s="1" t="s">
        <v>27</v>
      </c>
      <c r="N1524" s="1" t="s">
        <v>33</v>
      </c>
      <c r="O1524" s="1" t="s">
        <v>67</v>
      </c>
      <c r="P1524">
        <v>29129.52</v>
      </c>
      <c r="Q1524">
        <v>2023</v>
      </c>
      <c r="R1524">
        <v>23371.126800000002</v>
      </c>
      <c r="S1524">
        <v>-5758.3931999999986</v>
      </c>
      <c r="T1524" s="1" t="s">
        <v>163</v>
      </c>
      <c r="U1524">
        <v>-0.24638919848742599</v>
      </c>
    </row>
    <row r="1525" spans="1:21" x14ac:dyDescent="0.3">
      <c r="A1525" s="1" t="s">
        <v>15</v>
      </c>
      <c r="B1525" s="1" t="s">
        <v>48</v>
      </c>
      <c r="C1525" s="2">
        <v>44964</v>
      </c>
      <c r="D1525" s="1" t="s">
        <v>43</v>
      </c>
      <c r="E1525" s="1" t="s">
        <v>40</v>
      </c>
      <c r="F1525">
        <v>7896.74</v>
      </c>
      <c r="G1525">
        <v>3</v>
      </c>
      <c r="H1525" s="1" t="s">
        <v>57</v>
      </c>
      <c r="I1525">
        <v>999.09</v>
      </c>
      <c r="J1525">
        <v>1271.99</v>
      </c>
      <c r="K1525" s="1" t="s">
        <v>26</v>
      </c>
      <c r="L1525">
        <v>0.15</v>
      </c>
      <c r="M1525" s="1" t="s">
        <v>27</v>
      </c>
      <c r="N1525" s="1" t="s">
        <v>22</v>
      </c>
      <c r="O1525" s="1" t="s">
        <v>99</v>
      </c>
      <c r="P1525">
        <v>2997.27</v>
      </c>
      <c r="Q1525">
        <v>2023</v>
      </c>
      <c r="R1525">
        <v>3243.5745000000002</v>
      </c>
      <c r="S1525">
        <v>246.30450000000019</v>
      </c>
      <c r="T1525" s="1" t="s">
        <v>163</v>
      </c>
      <c r="U1525">
        <v>7.5936131573361501E-2</v>
      </c>
    </row>
    <row r="1526" spans="1:21" x14ac:dyDescent="0.3">
      <c r="A1526" s="1" t="s">
        <v>15</v>
      </c>
      <c r="B1526" s="1" t="s">
        <v>102</v>
      </c>
      <c r="C1526" s="2">
        <v>44964</v>
      </c>
      <c r="D1526" s="1" t="s">
        <v>25</v>
      </c>
      <c r="E1526" s="1" t="s">
        <v>40</v>
      </c>
      <c r="F1526">
        <v>7542.3</v>
      </c>
      <c r="G1526">
        <v>2</v>
      </c>
      <c r="H1526" s="1" t="s">
        <v>57</v>
      </c>
      <c r="I1526">
        <v>728.41</v>
      </c>
      <c r="J1526">
        <v>1094.92</v>
      </c>
      <c r="K1526" s="1" t="s">
        <v>26</v>
      </c>
      <c r="L1526">
        <v>0.24</v>
      </c>
      <c r="M1526" s="1" t="s">
        <v>21</v>
      </c>
      <c r="N1526" s="1" t="s">
        <v>33</v>
      </c>
      <c r="O1526" s="1" t="s">
        <v>83</v>
      </c>
      <c r="P1526">
        <v>1456.82</v>
      </c>
      <c r="Q1526">
        <v>2023</v>
      </c>
      <c r="R1526">
        <v>1664.2784000000001</v>
      </c>
      <c r="S1526">
        <v>207.45840000000021</v>
      </c>
      <c r="T1526" s="1" t="s">
        <v>163</v>
      </c>
      <c r="U1526">
        <v>0.124653663713956</v>
      </c>
    </row>
    <row r="1527" spans="1:21" x14ac:dyDescent="0.3">
      <c r="A1527" s="1" t="s">
        <v>15</v>
      </c>
      <c r="B1527" s="1" t="s">
        <v>88</v>
      </c>
      <c r="C1527" s="2">
        <v>44965</v>
      </c>
      <c r="D1527" s="1" t="s">
        <v>59</v>
      </c>
      <c r="E1527" s="1" t="s">
        <v>30</v>
      </c>
      <c r="F1527">
        <v>9813.32</v>
      </c>
      <c r="G1527">
        <v>49</v>
      </c>
      <c r="H1527" s="1" t="s">
        <v>31</v>
      </c>
      <c r="I1527">
        <v>3026.85</v>
      </c>
      <c r="J1527">
        <v>3183.58</v>
      </c>
      <c r="K1527" s="1" t="s">
        <v>20</v>
      </c>
      <c r="L1527">
        <v>0.25</v>
      </c>
      <c r="M1527" s="1" t="s">
        <v>21</v>
      </c>
      <c r="N1527" s="1" t="s">
        <v>33</v>
      </c>
      <c r="O1527" s="1" t="s">
        <v>86</v>
      </c>
      <c r="P1527">
        <v>148315.65</v>
      </c>
      <c r="Q1527">
        <v>2023</v>
      </c>
      <c r="R1527">
        <v>116996.56499999999</v>
      </c>
      <c r="S1527">
        <v>-31319.085000000006</v>
      </c>
      <c r="T1527" s="1" t="s">
        <v>163</v>
      </c>
      <c r="U1527">
        <v>-0.26769234635222</v>
      </c>
    </row>
    <row r="1528" spans="1:21" x14ac:dyDescent="0.3">
      <c r="A1528" s="1" t="s">
        <v>15</v>
      </c>
      <c r="B1528" s="1" t="s">
        <v>93</v>
      </c>
      <c r="C1528" s="2">
        <v>44965</v>
      </c>
      <c r="D1528" s="1" t="s">
        <v>25</v>
      </c>
      <c r="E1528" s="1" t="s">
        <v>40</v>
      </c>
      <c r="F1528">
        <v>7454.53</v>
      </c>
      <c r="G1528">
        <v>27</v>
      </c>
      <c r="H1528" s="1" t="s">
        <v>19</v>
      </c>
      <c r="I1528">
        <v>3197.76</v>
      </c>
      <c r="J1528">
        <v>3572.61</v>
      </c>
      <c r="K1528" s="1" t="s">
        <v>20</v>
      </c>
      <c r="L1528">
        <v>0.08</v>
      </c>
      <c r="M1528" s="1" t="s">
        <v>27</v>
      </c>
      <c r="N1528" s="1" t="s">
        <v>22</v>
      </c>
      <c r="O1528" s="1" t="s">
        <v>83</v>
      </c>
      <c r="P1528">
        <v>86339.520000000004</v>
      </c>
      <c r="Q1528">
        <v>2023</v>
      </c>
      <c r="R1528">
        <v>88743.632400000002</v>
      </c>
      <c r="S1528">
        <v>2404.1123999999982</v>
      </c>
      <c r="T1528" s="1" t="s">
        <v>163</v>
      </c>
      <c r="U1528">
        <v>2.7090534103492499E-2</v>
      </c>
    </row>
    <row r="1529" spans="1:21" x14ac:dyDescent="0.3">
      <c r="A1529" s="1" t="s">
        <v>15</v>
      </c>
      <c r="B1529" s="1" t="s">
        <v>95</v>
      </c>
      <c r="C1529" s="2">
        <v>44965</v>
      </c>
      <c r="D1529" s="1" t="s">
        <v>17</v>
      </c>
      <c r="E1529" s="1" t="s">
        <v>18</v>
      </c>
      <c r="F1529">
        <v>8395.2900000000009</v>
      </c>
      <c r="G1529">
        <v>39</v>
      </c>
      <c r="H1529" s="1" t="s">
        <v>37</v>
      </c>
      <c r="I1529">
        <v>4232.8100000000004</v>
      </c>
      <c r="J1529">
        <v>4345.25</v>
      </c>
      <c r="K1529" s="1" t="s">
        <v>20</v>
      </c>
      <c r="L1529">
        <v>0.12</v>
      </c>
      <c r="M1529" s="1" t="s">
        <v>32</v>
      </c>
      <c r="N1529" s="1" t="s">
        <v>22</v>
      </c>
      <c r="O1529" s="1" t="s">
        <v>23</v>
      </c>
      <c r="P1529">
        <v>165079.59000000003</v>
      </c>
      <c r="Q1529">
        <v>2023</v>
      </c>
      <c r="R1529">
        <v>149128.98000000001</v>
      </c>
      <c r="S1529">
        <v>-15950.610000000015</v>
      </c>
      <c r="T1529" s="1" t="s">
        <v>163</v>
      </c>
      <c r="U1529">
        <v>-0.10695848653963801</v>
      </c>
    </row>
    <row r="1530" spans="1:21" x14ac:dyDescent="0.3">
      <c r="A1530" s="1" t="s">
        <v>15</v>
      </c>
      <c r="B1530" s="1" t="s">
        <v>55</v>
      </c>
      <c r="C1530" s="2">
        <v>44965</v>
      </c>
      <c r="D1530" s="1" t="s">
        <v>25</v>
      </c>
      <c r="E1530" s="1" t="s">
        <v>18</v>
      </c>
      <c r="F1530">
        <v>1740.91</v>
      </c>
      <c r="G1530">
        <v>44</v>
      </c>
      <c r="H1530" s="1" t="s">
        <v>19</v>
      </c>
      <c r="I1530">
        <v>3542.18</v>
      </c>
      <c r="J1530">
        <v>3578.49</v>
      </c>
      <c r="K1530" s="1" t="s">
        <v>20</v>
      </c>
      <c r="L1530">
        <v>0.12</v>
      </c>
      <c r="M1530" s="1" t="s">
        <v>21</v>
      </c>
      <c r="N1530" s="1" t="s">
        <v>22</v>
      </c>
      <c r="O1530" s="1" t="s">
        <v>28</v>
      </c>
      <c r="P1530">
        <v>155855.91999999998</v>
      </c>
      <c r="Q1530">
        <v>2023</v>
      </c>
      <c r="R1530">
        <v>138559.13279999999</v>
      </c>
      <c r="S1530">
        <v>-17296.787199999992</v>
      </c>
      <c r="T1530" s="1" t="s">
        <v>163</v>
      </c>
      <c r="U1530">
        <v>-0.124833252420587</v>
      </c>
    </row>
    <row r="1531" spans="1:21" x14ac:dyDescent="0.3">
      <c r="A1531" s="1" t="s">
        <v>15</v>
      </c>
      <c r="B1531" s="1" t="s">
        <v>127</v>
      </c>
      <c r="C1531" s="2">
        <v>44965</v>
      </c>
      <c r="D1531" s="1" t="s">
        <v>25</v>
      </c>
      <c r="E1531" s="1" t="s">
        <v>44</v>
      </c>
      <c r="F1531">
        <v>2669.81</v>
      </c>
      <c r="G1531">
        <v>23</v>
      </c>
      <c r="H1531" s="1" t="s">
        <v>37</v>
      </c>
      <c r="I1531">
        <v>2644.77</v>
      </c>
      <c r="J1531">
        <v>2684.83</v>
      </c>
      <c r="K1531" s="1" t="s">
        <v>26</v>
      </c>
      <c r="L1531">
        <v>0.24</v>
      </c>
      <c r="M1531" s="1" t="s">
        <v>21</v>
      </c>
      <c r="N1531" s="1" t="s">
        <v>22</v>
      </c>
      <c r="O1531" s="1" t="s">
        <v>47</v>
      </c>
      <c r="P1531">
        <v>60829.71</v>
      </c>
      <c r="Q1531">
        <v>2023</v>
      </c>
      <c r="R1531">
        <v>46930.828399999999</v>
      </c>
      <c r="S1531">
        <v>-13898.881600000001</v>
      </c>
      <c r="T1531" s="1" t="s">
        <v>163</v>
      </c>
      <c r="U1531">
        <v>-0.29615674970697897</v>
      </c>
    </row>
    <row r="1532" spans="1:21" x14ac:dyDescent="0.3">
      <c r="A1532" s="1" t="s">
        <v>15</v>
      </c>
      <c r="B1532" s="1" t="s">
        <v>48</v>
      </c>
      <c r="C1532" s="2">
        <v>44965</v>
      </c>
      <c r="D1532" s="1" t="s">
        <v>59</v>
      </c>
      <c r="E1532" s="1" t="s">
        <v>40</v>
      </c>
      <c r="F1532">
        <v>7179.49</v>
      </c>
      <c r="G1532">
        <v>20</v>
      </c>
      <c r="H1532" s="1" t="s">
        <v>37</v>
      </c>
      <c r="I1532">
        <v>1748.11</v>
      </c>
      <c r="J1532">
        <v>2220.9</v>
      </c>
      <c r="K1532" s="1" t="s">
        <v>26</v>
      </c>
      <c r="L1532">
        <v>0.23</v>
      </c>
      <c r="M1532" s="1" t="s">
        <v>27</v>
      </c>
      <c r="N1532" s="1" t="s">
        <v>33</v>
      </c>
      <c r="O1532" s="1" t="s">
        <v>90</v>
      </c>
      <c r="P1532">
        <v>34962.199999999997</v>
      </c>
      <c r="Q1532">
        <v>2023</v>
      </c>
      <c r="R1532">
        <v>34201.86</v>
      </c>
      <c r="S1532">
        <v>-760.33999999999651</v>
      </c>
      <c r="T1532" s="1" t="s">
        <v>163</v>
      </c>
      <c r="U1532">
        <v>-2.22309546907682E-2</v>
      </c>
    </row>
    <row r="1533" spans="1:21" x14ac:dyDescent="0.3">
      <c r="A1533" s="1" t="s">
        <v>15</v>
      </c>
      <c r="B1533" s="1" t="s">
        <v>108</v>
      </c>
      <c r="C1533" s="2">
        <v>44966</v>
      </c>
      <c r="D1533" s="1" t="s">
        <v>36</v>
      </c>
      <c r="E1533" s="1" t="s">
        <v>40</v>
      </c>
      <c r="F1533">
        <v>2749.17</v>
      </c>
      <c r="G1533">
        <v>34</v>
      </c>
      <c r="H1533" s="1" t="s">
        <v>31</v>
      </c>
      <c r="I1533">
        <v>2037.41</v>
      </c>
      <c r="J1533">
        <v>2238.65</v>
      </c>
      <c r="K1533" s="1" t="s">
        <v>26</v>
      </c>
      <c r="L1533">
        <v>0.3</v>
      </c>
      <c r="M1533" s="1" t="s">
        <v>27</v>
      </c>
      <c r="N1533" s="1" t="s">
        <v>22</v>
      </c>
      <c r="O1533" s="1" t="s">
        <v>41</v>
      </c>
      <c r="P1533">
        <v>69271.94</v>
      </c>
      <c r="Q1533">
        <v>2023</v>
      </c>
      <c r="R1533">
        <v>53279.87</v>
      </c>
      <c r="S1533">
        <v>-15992.07</v>
      </c>
      <c r="T1533" s="1" t="s">
        <v>163</v>
      </c>
      <c r="U1533">
        <v>-0.30015219631729601</v>
      </c>
    </row>
    <row r="1534" spans="1:21" x14ac:dyDescent="0.3">
      <c r="A1534" s="1" t="s">
        <v>15</v>
      </c>
      <c r="B1534" s="1" t="s">
        <v>109</v>
      </c>
      <c r="C1534" s="2">
        <v>44966</v>
      </c>
      <c r="D1534" s="1" t="s">
        <v>25</v>
      </c>
      <c r="E1534" s="1" t="s">
        <v>44</v>
      </c>
      <c r="F1534">
        <v>9709.7000000000007</v>
      </c>
      <c r="G1534">
        <v>3</v>
      </c>
      <c r="H1534" s="1" t="s">
        <v>31</v>
      </c>
      <c r="I1534">
        <v>1216.1600000000001</v>
      </c>
      <c r="J1534">
        <v>1295.3699999999999</v>
      </c>
      <c r="K1534" s="1" t="s">
        <v>26</v>
      </c>
      <c r="L1534">
        <v>0.14000000000000001</v>
      </c>
      <c r="M1534" s="1" t="s">
        <v>21</v>
      </c>
      <c r="N1534" s="1" t="s">
        <v>33</v>
      </c>
      <c r="O1534" s="1" t="s">
        <v>47</v>
      </c>
      <c r="P1534">
        <v>3648.4800000000005</v>
      </c>
      <c r="Q1534">
        <v>2023</v>
      </c>
      <c r="R1534">
        <v>3342.0545999999995</v>
      </c>
      <c r="S1534">
        <v>-306.42540000000099</v>
      </c>
      <c r="T1534" s="1" t="s">
        <v>163</v>
      </c>
      <c r="U1534">
        <v>-9.1687730056834199E-2</v>
      </c>
    </row>
    <row r="1535" spans="1:21" x14ac:dyDescent="0.3">
      <c r="A1535" s="1" t="s">
        <v>15</v>
      </c>
      <c r="B1535" s="1" t="s">
        <v>123</v>
      </c>
      <c r="C1535" s="2">
        <v>44966</v>
      </c>
      <c r="D1535" s="1" t="s">
        <v>59</v>
      </c>
      <c r="E1535" s="1" t="s">
        <v>44</v>
      </c>
      <c r="F1535">
        <v>5529.35</v>
      </c>
      <c r="G1535">
        <v>16</v>
      </c>
      <c r="H1535" s="1" t="s">
        <v>31</v>
      </c>
      <c r="I1535">
        <v>3899.7</v>
      </c>
      <c r="J1535">
        <v>4228.18</v>
      </c>
      <c r="K1535" s="1" t="s">
        <v>26</v>
      </c>
      <c r="L1535">
        <v>0.27</v>
      </c>
      <c r="M1535" s="1" t="s">
        <v>21</v>
      </c>
      <c r="N1535" s="1" t="s">
        <v>33</v>
      </c>
      <c r="O1535" s="1" t="s">
        <v>60</v>
      </c>
      <c r="P1535">
        <v>62395.199999999997</v>
      </c>
      <c r="Q1535">
        <v>2023</v>
      </c>
      <c r="R1535">
        <v>49385.142400000004</v>
      </c>
      <c r="S1535">
        <v>-13010.057599999993</v>
      </c>
      <c r="T1535" s="1" t="s">
        <v>163</v>
      </c>
      <c r="U1535">
        <v>-0.26344072260891099</v>
      </c>
    </row>
    <row r="1536" spans="1:21" x14ac:dyDescent="0.3">
      <c r="A1536" s="1" t="s">
        <v>15</v>
      </c>
      <c r="B1536" s="1" t="s">
        <v>72</v>
      </c>
      <c r="C1536" s="2">
        <v>44966</v>
      </c>
      <c r="D1536" s="1" t="s">
        <v>36</v>
      </c>
      <c r="E1536" s="1" t="s">
        <v>30</v>
      </c>
      <c r="F1536">
        <v>9091.4599999999991</v>
      </c>
      <c r="G1536">
        <v>20</v>
      </c>
      <c r="H1536" s="1" t="s">
        <v>57</v>
      </c>
      <c r="I1536">
        <v>2014.11</v>
      </c>
      <c r="J1536">
        <v>2056.35</v>
      </c>
      <c r="K1536" s="1" t="s">
        <v>20</v>
      </c>
      <c r="L1536">
        <v>0.21</v>
      </c>
      <c r="M1536" s="1" t="s">
        <v>32</v>
      </c>
      <c r="N1536" s="1" t="s">
        <v>33</v>
      </c>
      <c r="O1536" s="1" t="s">
        <v>38</v>
      </c>
      <c r="P1536">
        <v>40282.199999999997</v>
      </c>
      <c r="Q1536">
        <v>2023</v>
      </c>
      <c r="R1536">
        <v>32490.33</v>
      </c>
      <c r="S1536">
        <v>-7791.8699999999953</v>
      </c>
      <c r="T1536" s="1" t="s">
        <v>163</v>
      </c>
      <c r="U1536">
        <v>-0.23982120218538899</v>
      </c>
    </row>
    <row r="1537" spans="1:21" x14ac:dyDescent="0.3">
      <c r="A1537" s="1" t="s">
        <v>15</v>
      </c>
      <c r="B1537" s="1" t="s">
        <v>108</v>
      </c>
      <c r="C1537" s="2">
        <v>44966</v>
      </c>
      <c r="D1537" s="1" t="s">
        <v>59</v>
      </c>
      <c r="E1537" s="1" t="s">
        <v>30</v>
      </c>
      <c r="F1537">
        <v>7192.33</v>
      </c>
      <c r="G1537">
        <v>14</v>
      </c>
      <c r="H1537" s="1" t="s">
        <v>19</v>
      </c>
      <c r="I1537">
        <v>3586.58</v>
      </c>
      <c r="J1537">
        <v>4068.43</v>
      </c>
      <c r="K1537" s="1" t="s">
        <v>26</v>
      </c>
      <c r="L1537">
        <v>0.22</v>
      </c>
      <c r="M1537" s="1" t="s">
        <v>27</v>
      </c>
      <c r="N1537" s="1" t="s">
        <v>22</v>
      </c>
      <c r="O1537" s="1" t="s">
        <v>86</v>
      </c>
      <c r="P1537">
        <v>50212.119999999995</v>
      </c>
      <c r="Q1537">
        <v>2023</v>
      </c>
      <c r="R1537">
        <v>44427.255599999997</v>
      </c>
      <c r="S1537">
        <v>-5784.8643999999986</v>
      </c>
      <c r="T1537" s="1" t="s">
        <v>163</v>
      </c>
      <c r="U1537">
        <v>-0.130209807512846</v>
      </c>
    </row>
    <row r="1538" spans="1:21" x14ac:dyDescent="0.3">
      <c r="A1538" s="1" t="s">
        <v>15</v>
      </c>
      <c r="B1538" s="1" t="s">
        <v>128</v>
      </c>
      <c r="C1538" s="2">
        <v>44966</v>
      </c>
      <c r="D1538" s="1" t="s">
        <v>25</v>
      </c>
      <c r="E1538" s="1" t="s">
        <v>44</v>
      </c>
      <c r="F1538">
        <v>2102.3200000000002</v>
      </c>
      <c r="G1538">
        <v>29</v>
      </c>
      <c r="H1538" s="1" t="s">
        <v>37</v>
      </c>
      <c r="I1538">
        <v>184.05</v>
      </c>
      <c r="J1538">
        <v>675.91</v>
      </c>
      <c r="K1538" s="1" t="s">
        <v>20</v>
      </c>
      <c r="L1538">
        <v>0.1</v>
      </c>
      <c r="M1538" s="1" t="s">
        <v>21</v>
      </c>
      <c r="N1538" s="1" t="s">
        <v>33</v>
      </c>
      <c r="O1538" s="1" t="s">
        <v>47</v>
      </c>
      <c r="P1538">
        <v>5337.4500000000007</v>
      </c>
      <c r="Q1538">
        <v>2023</v>
      </c>
      <c r="R1538">
        <v>17641.251</v>
      </c>
      <c r="S1538">
        <v>12303.800999999999</v>
      </c>
      <c r="T1538" s="1" t="s">
        <v>163</v>
      </c>
      <c r="U1538">
        <v>0.69744492609962905</v>
      </c>
    </row>
    <row r="1539" spans="1:21" x14ac:dyDescent="0.3">
      <c r="A1539" s="1" t="s">
        <v>15</v>
      </c>
      <c r="B1539" s="1" t="s">
        <v>97</v>
      </c>
      <c r="C1539" s="2">
        <v>44967</v>
      </c>
      <c r="D1539" s="1" t="s">
        <v>36</v>
      </c>
      <c r="E1539" s="1" t="s">
        <v>44</v>
      </c>
      <c r="F1539">
        <v>6274.12</v>
      </c>
      <c r="G1539">
        <v>13</v>
      </c>
      <c r="H1539" s="1" t="s">
        <v>19</v>
      </c>
      <c r="I1539">
        <v>1493.88</v>
      </c>
      <c r="J1539">
        <v>1781.09</v>
      </c>
      <c r="K1539" s="1" t="s">
        <v>26</v>
      </c>
      <c r="L1539">
        <v>0.04</v>
      </c>
      <c r="M1539" s="1" t="s">
        <v>21</v>
      </c>
      <c r="N1539" s="1" t="s">
        <v>33</v>
      </c>
      <c r="O1539" s="1" t="s">
        <v>71</v>
      </c>
      <c r="P1539">
        <v>19420.440000000002</v>
      </c>
      <c r="Q1539">
        <v>2023</v>
      </c>
      <c r="R1539">
        <v>22228.003199999999</v>
      </c>
      <c r="S1539">
        <v>2807.5631999999969</v>
      </c>
      <c r="T1539" s="1" t="s">
        <v>163</v>
      </c>
      <c r="U1539">
        <v>0.126307485865397</v>
      </c>
    </row>
    <row r="1540" spans="1:21" x14ac:dyDescent="0.3">
      <c r="A1540" s="1" t="s">
        <v>15</v>
      </c>
      <c r="B1540" s="1" t="s">
        <v>98</v>
      </c>
      <c r="C1540" s="2">
        <v>44967</v>
      </c>
      <c r="D1540" s="1" t="s">
        <v>43</v>
      </c>
      <c r="E1540" s="1" t="s">
        <v>40</v>
      </c>
      <c r="F1540">
        <v>3063.9</v>
      </c>
      <c r="G1540">
        <v>42</v>
      </c>
      <c r="H1540" s="1" t="s">
        <v>31</v>
      </c>
      <c r="I1540">
        <v>1080.1199999999999</v>
      </c>
      <c r="J1540">
        <v>1424.17</v>
      </c>
      <c r="K1540" s="1" t="s">
        <v>26</v>
      </c>
      <c r="L1540">
        <v>0.1</v>
      </c>
      <c r="M1540" s="1" t="s">
        <v>21</v>
      </c>
      <c r="N1540" s="1" t="s">
        <v>22</v>
      </c>
      <c r="O1540" s="1" t="s">
        <v>99</v>
      </c>
      <c r="P1540">
        <v>45365.039999999994</v>
      </c>
      <c r="Q1540">
        <v>2023</v>
      </c>
      <c r="R1540">
        <v>53833.626000000004</v>
      </c>
      <c r="S1540">
        <v>8468.5860000000102</v>
      </c>
      <c r="T1540" s="1" t="s">
        <v>163</v>
      </c>
      <c r="U1540">
        <v>0.15731033982366399</v>
      </c>
    </row>
    <row r="1541" spans="1:21" x14ac:dyDescent="0.3">
      <c r="A1541" s="1" t="s">
        <v>15</v>
      </c>
      <c r="B1541" s="1" t="s">
        <v>108</v>
      </c>
      <c r="C1541" s="2">
        <v>44967</v>
      </c>
      <c r="D1541" s="1" t="s">
        <v>43</v>
      </c>
      <c r="E1541" s="1" t="s">
        <v>44</v>
      </c>
      <c r="F1541">
        <v>5426.42</v>
      </c>
      <c r="G1541">
        <v>47</v>
      </c>
      <c r="H1541" s="1" t="s">
        <v>31</v>
      </c>
      <c r="I1541">
        <v>3681.53</v>
      </c>
      <c r="J1541">
        <v>4076.96</v>
      </c>
      <c r="K1541" s="1" t="s">
        <v>20</v>
      </c>
      <c r="L1541">
        <v>0.17</v>
      </c>
      <c r="M1541" s="1" t="s">
        <v>21</v>
      </c>
      <c r="N1541" s="1" t="s">
        <v>33</v>
      </c>
      <c r="O1541" s="1" t="s">
        <v>45</v>
      </c>
      <c r="P1541">
        <v>173031.91</v>
      </c>
      <c r="Q1541">
        <v>2023</v>
      </c>
      <c r="R1541">
        <v>159042.2096</v>
      </c>
      <c r="S1541">
        <v>-13989.700400000002</v>
      </c>
      <c r="T1541" s="1" t="s">
        <v>163</v>
      </c>
      <c r="U1541">
        <v>-8.7962185857357503E-2</v>
      </c>
    </row>
    <row r="1542" spans="1:21" x14ac:dyDescent="0.3">
      <c r="A1542" s="1" t="s">
        <v>15</v>
      </c>
      <c r="B1542" s="1" t="s">
        <v>64</v>
      </c>
      <c r="C1542" s="2">
        <v>44968</v>
      </c>
      <c r="D1542" s="1" t="s">
        <v>25</v>
      </c>
      <c r="E1542" s="1" t="s">
        <v>40</v>
      </c>
      <c r="F1542">
        <v>3761.15</v>
      </c>
      <c r="G1542">
        <v>32</v>
      </c>
      <c r="H1542" s="1" t="s">
        <v>57</v>
      </c>
      <c r="I1542">
        <v>900.79</v>
      </c>
      <c r="J1542">
        <v>1106.51</v>
      </c>
      <c r="K1542" s="1" t="s">
        <v>26</v>
      </c>
      <c r="L1542">
        <v>0.21</v>
      </c>
      <c r="M1542" s="1" t="s">
        <v>21</v>
      </c>
      <c r="N1542" s="1" t="s">
        <v>22</v>
      </c>
      <c r="O1542" s="1" t="s">
        <v>83</v>
      </c>
      <c r="P1542">
        <v>28825.279999999999</v>
      </c>
      <c r="Q1542">
        <v>2023</v>
      </c>
      <c r="R1542">
        <v>27972.572800000002</v>
      </c>
      <c r="S1542">
        <v>-852.7071999999971</v>
      </c>
      <c r="T1542" s="1" t="s">
        <v>163</v>
      </c>
      <c r="U1542">
        <v>-3.04836886509058E-2</v>
      </c>
    </row>
    <row r="1543" spans="1:21" x14ac:dyDescent="0.3">
      <c r="A1543" s="1" t="s">
        <v>15</v>
      </c>
      <c r="B1543" s="1" t="s">
        <v>129</v>
      </c>
      <c r="C1543" s="2">
        <v>44968</v>
      </c>
      <c r="D1543" s="1" t="s">
        <v>59</v>
      </c>
      <c r="E1543" s="1" t="s">
        <v>44</v>
      </c>
      <c r="F1543">
        <v>2819.57</v>
      </c>
      <c r="G1543">
        <v>24</v>
      </c>
      <c r="H1543" s="1" t="s">
        <v>19</v>
      </c>
      <c r="I1543">
        <v>2521.0300000000002</v>
      </c>
      <c r="J1543">
        <v>2766.05</v>
      </c>
      <c r="K1543" s="1" t="s">
        <v>20</v>
      </c>
      <c r="L1543">
        <v>0.16</v>
      </c>
      <c r="M1543" s="1" t="s">
        <v>32</v>
      </c>
      <c r="N1543" s="1" t="s">
        <v>33</v>
      </c>
      <c r="O1543" s="1" t="s">
        <v>60</v>
      </c>
      <c r="P1543">
        <v>60504.72</v>
      </c>
      <c r="Q1543">
        <v>2023</v>
      </c>
      <c r="R1543">
        <v>55763.568000000007</v>
      </c>
      <c r="S1543">
        <v>-4741.1519999999946</v>
      </c>
      <c r="T1543" s="1" t="s">
        <v>163</v>
      </c>
      <c r="U1543">
        <v>-8.5022393115160702E-2</v>
      </c>
    </row>
    <row r="1544" spans="1:21" x14ac:dyDescent="0.3">
      <c r="A1544" s="1" t="s">
        <v>15</v>
      </c>
      <c r="B1544" s="1" t="s">
        <v>130</v>
      </c>
      <c r="C1544" s="2">
        <v>44968</v>
      </c>
      <c r="D1544" s="1" t="s">
        <v>36</v>
      </c>
      <c r="E1544" s="1" t="s">
        <v>40</v>
      </c>
      <c r="F1544">
        <v>823.51</v>
      </c>
      <c r="G1544">
        <v>44</v>
      </c>
      <c r="H1544" s="1" t="s">
        <v>57</v>
      </c>
      <c r="I1544">
        <v>2257.48</v>
      </c>
      <c r="J1544">
        <v>2747.81</v>
      </c>
      <c r="K1544" s="1" t="s">
        <v>20</v>
      </c>
      <c r="L1544">
        <v>0.27</v>
      </c>
      <c r="M1544" s="1" t="s">
        <v>21</v>
      </c>
      <c r="N1544" s="1" t="s">
        <v>22</v>
      </c>
      <c r="O1544" s="1" t="s">
        <v>41</v>
      </c>
      <c r="P1544">
        <v>99329.12</v>
      </c>
      <c r="Q1544">
        <v>2023</v>
      </c>
      <c r="R1544">
        <v>88259.657200000001</v>
      </c>
      <c r="S1544">
        <v>-11069.462799999994</v>
      </c>
      <c r="T1544" s="1" t="s">
        <v>163</v>
      </c>
      <c r="U1544">
        <v>-0.125419281596756</v>
      </c>
    </row>
    <row r="1545" spans="1:21" x14ac:dyDescent="0.3">
      <c r="A1545" s="1" t="s">
        <v>15</v>
      </c>
      <c r="B1545" s="1" t="s">
        <v>131</v>
      </c>
      <c r="C1545" s="2">
        <v>44968</v>
      </c>
      <c r="D1545" s="1" t="s">
        <v>25</v>
      </c>
      <c r="E1545" s="1" t="s">
        <v>40</v>
      </c>
      <c r="F1545">
        <v>1011.46</v>
      </c>
      <c r="G1545">
        <v>48</v>
      </c>
      <c r="H1545" s="1" t="s">
        <v>31</v>
      </c>
      <c r="I1545">
        <v>710.06</v>
      </c>
      <c r="J1545">
        <v>851.35</v>
      </c>
      <c r="K1545" s="1" t="s">
        <v>20</v>
      </c>
      <c r="L1545">
        <v>0.04</v>
      </c>
      <c r="M1545" s="1" t="s">
        <v>32</v>
      </c>
      <c r="N1545" s="1" t="s">
        <v>22</v>
      </c>
      <c r="O1545" s="1" t="s">
        <v>83</v>
      </c>
      <c r="P1545">
        <v>34082.879999999997</v>
      </c>
      <c r="Q1545">
        <v>2023</v>
      </c>
      <c r="R1545">
        <v>39230.207999999999</v>
      </c>
      <c r="S1545">
        <v>5147.3280000000013</v>
      </c>
      <c r="T1545" s="1" t="s">
        <v>163</v>
      </c>
      <c r="U1545">
        <v>0.13120827705017499</v>
      </c>
    </row>
    <row r="1546" spans="1:21" x14ac:dyDescent="0.3">
      <c r="A1546" s="1" t="s">
        <v>15</v>
      </c>
      <c r="B1546" s="1" t="s">
        <v>69</v>
      </c>
      <c r="C1546" s="2">
        <v>44968</v>
      </c>
      <c r="D1546" s="1" t="s">
        <v>17</v>
      </c>
      <c r="E1546" s="1" t="s">
        <v>30</v>
      </c>
      <c r="F1546">
        <v>2082.79</v>
      </c>
      <c r="G1546">
        <v>26</v>
      </c>
      <c r="H1546" s="1" t="s">
        <v>37</v>
      </c>
      <c r="I1546">
        <v>667</v>
      </c>
      <c r="J1546">
        <v>718.72</v>
      </c>
      <c r="K1546" s="1" t="s">
        <v>26</v>
      </c>
      <c r="L1546">
        <v>0.2</v>
      </c>
      <c r="M1546" s="1" t="s">
        <v>21</v>
      </c>
      <c r="N1546" s="1" t="s">
        <v>33</v>
      </c>
      <c r="O1546" s="1" t="s">
        <v>34</v>
      </c>
      <c r="P1546">
        <v>17342</v>
      </c>
      <c r="Q1546">
        <v>2023</v>
      </c>
      <c r="R1546">
        <v>14949.376000000002</v>
      </c>
      <c r="S1546">
        <v>-2392.623999999998</v>
      </c>
      <c r="T1546" s="1" t="s">
        <v>163</v>
      </c>
      <c r="U1546">
        <v>-0.16004841941228801</v>
      </c>
    </row>
    <row r="1547" spans="1:21" x14ac:dyDescent="0.3">
      <c r="A1547" s="1" t="s">
        <v>15</v>
      </c>
      <c r="B1547" s="1" t="s">
        <v>106</v>
      </c>
      <c r="C1547" s="2">
        <v>44970</v>
      </c>
      <c r="D1547" s="1" t="s">
        <v>17</v>
      </c>
      <c r="E1547" s="1" t="s">
        <v>18</v>
      </c>
      <c r="F1547">
        <v>6697.98</v>
      </c>
      <c r="G1547">
        <v>17</v>
      </c>
      <c r="H1547" s="1" t="s">
        <v>19</v>
      </c>
      <c r="I1547">
        <v>604.08000000000004</v>
      </c>
      <c r="J1547">
        <v>624.71</v>
      </c>
      <c r="K1547" s="1" t="s">
        <v>26</v>
      </c>
      <c r="L1547">
        <v>0.14000000000000001</v>
      </c>
      <c r="M1547" s="1" t="s">
        <v>32</v>
      </c>
      <c r="N1547" s="1" t="s">
        <v>33</v>
      </c>
      <c r="O1547" s="1" t="s">
        <v>23</v>
      </c>
      <c r="P1547">
        <v>10269.36</v>
      </c>
      <c r="Q1547">
        <v>2023</v>
      </c>
      <c r="R1547">
        <v>9133.2601999999988</v>
      </c>
      <c r="S1547">
        <v>-1136.0998000000018</v>
      </c>
      <c r="T1547" s="1" t="s">
        <v>163</v>
      </c>
      <c r="U1547">
        <v>-0.124391485090943</v>
      </c>
    </row>
    <row r="1548" spans="1:21" x14ac:dyDescent="0.3">
      <c r="A1548" s="1" t="s">
        <v>15</v>
      </c>
      <c r="B1548" s="1" t="s">
        <v>81</v>
      </c>
      <c r="C1548" s="2">
        <v>44971</v>
      </c>
      <c r="D1548" s="1" t="s">
        <v>36</v>
      </c>
      <c r="E1548" s="1" t="s">
        <v>40</v>
      </c>
      <c r="F1548">
        <v>9396.7800000000007</v>
      </c>
      <c r="G1548">
        <v>12</v>
      </c>
      <c r="H1548" s="1" t="s">
        <v>37</v>
      </c>
      <c r="I1548">
        <v>2221.31</v>
      </c>
      <c r="J1548">
        <v>2494.48</v>
      </c>
      <c r="K1548" s="1" t="s">
        <v>20</v>
      </c>
      <c r="L1548">
        <v>0.22</v>
      </c>
      <c r="M1548" s="1" t="s">
        <v>32</v>
      </c>
      <c r="N1548" s="1" t="s">
        <v>22</v>
      </c>
      <c r="O1548" s="1" t="s">
        <v>41</v>
      </c>
      <c r="P1548">
        <v>26655.72</v>
      </c>
      <c r="Q1548">
        <v>2023</v>
      </c>
      <c r="R1548">
        <v>23348.332800000004</v>
      </c>
      <c r="S1548">
        <v>-3307.3871999999974</v>
      </c>
      <c r="T1548" s="1" t="s">
        <v>163</v>
      </c>
      <c r="U1548">
        <v>-0.14165410559849501</v>
      </c>
    </row>
    <row r="1549" spans="1:21" x14ac:dyDescent="0.3">
      <c r="A1549" s="1" t="s">
        <v>15</v>
      </c>
      <c r="B1549" s="1" t="s">
        <v>42</v>
      </c>
      <c r="C1549" s="2">
        <v>44971</v>
      </c>
      <c r="D1549" s="1" t="s">
        <v>36</v>
      </c>
      <c r="E1549" s="1" t="s">
        <v>30</v>
      </c>
      <c r="F1549">
        <v>7802.45</v>
      </c>
      <c r="G1549">
        <v>32</v>
      </c>
      <c r="H1549" s="1" t="s">
        <v>19</v>
      </c>
      <c r="I1549">
        <v>1517.86</v>
      </c>
      <c r="J1549">
        <v>1948.46</v>
      </c>
      <c r="K1549" s="1" t="s">
        <v>26</v>
      </c>
      <c r="L1549">
        <v>0.02</v>
      </c>
      <c r="M1549" s="1" t="s">
        <v>27</v>
      </c>
      <c r="N1549" s="1" t="s">
        <v>22</v>
      </c>
      <c r="O1549" s="1" t="s">
        <v>38</v>
      </c>
      <c r="P1549">
        <v>48571.519999999997</v>
      </c>
      <c r="Q1549">
        <v>2023</v>
      </c>
      <c r="R1549">
        <v>61103.705600000001</v>
      </c>
      <c r="S1549">
        <v>12532.185600000004</v>
      </c>
      <c r="T1549" s="1" t="s">
        <v>163</v>
      </c>
      <c r="U1549">
        <v>0.205096981876006</v>
      </c>
    </row>
    <row r="1550" spans="1:21" x14ac:dyDescent="0.3">
      <c r="A1550" s="1" t="s">
        <v>15</v>
      </c>
      <c r="B1550" s="1" t="s">
        <v>132</v>
      </c>
      <c r="C1550" s="2">
        <v>44972</v>
      </c>
      <c r="D1550" s="1" t="s">
        <v>36</v>
      </c>
      <c r="E1550" s="1" t="s">
        <v>30</v>
      </c>
      <c r="F1550">
        <v>4140.7</v>
      </c>
      <c r="G1550">
        <v>45</v>
      </c>
      <c r="H1550" s="1" t="s">
        <v>19</v>
      </c>
      <c r="I1550">
        <v>1588.04</v>
      </c>
      <c r="J1550">
        <v>1703.64</v>
      </c>
      <c r="K1550" s="1" t="s">
        <v>26</v>
      </c>
      <c r="L1550">
        <v>0.2</v>
      </c>
      <c r="M1550" s="1" t="s">
        <v>32</v>
      </c>
      <c r="N1550" s="1" t="s">
        <v>33</v>
      </c>
      <c r="O1550" s="1" t="s">
        <v>38</v>
      </c>
      <c r="P1550">
        <v>71461.8</v>
      </c>
      <c r="Q1550">
        <v>2023</v>
      </c>
      <c r="R1550">
        <v>61331.040000000008</v>
      </c>
      <c r="S1550">
        <v>-10130.759999999995</v>
      </c>
      <c r="T1550" s="1" t="s">
        <v>163</v>
      </c>
      <c r="U1550">
        <v>-0.16518161113850299</v>
      </c>
    </row>
    <row r="1551" spans="1:21" x14ac:dyDescent="0.3">
      <c r="A1551" s="1" t="s">
        <v>15</v>
      </c>
      <c r="B1551" s="1" t="s">
        <v>52</v>
      </c>
      <c r="C1551" s="2">
        <v>44972</v>
      </c>
      <c r="D1551" s="1" t="s">
        <v>59</v>
      </c>
      <c r="E1551" s="1" t="s">
        <v>30</v>
      </c>
      <c r="F1551">
        <v>3320.38</v>
      </c>
      <c r="G1551">
        <v>31</v>
      </c>
      <c r="H1551" s="1" t="s">
        <v>31</v>
      </c>
      <c r="I1551">
        <v>1138.32</v>
      </c>
      <c r="J1551">
        <v>1266.25</v>
      </c>
      <c r="K1551" s="1" t="s">
        <v>20</v>
      </c>
      <c r="L1551">
        <v>0.14000000000000001</v>
      </c>
      <c r="M1551" s="1" t="s">
        <v>21</v>
      </c>
      <c r="N1551" s="1" t="s">
        <v>33</v>
      </c>
      <c r="O1551" s="1" t="s">
        <v>86</v>
      </c>
      <c r="P1551">
        <v>35287.919999999998</v>
      </c>
      <c r="Q1551">
        <v>2023</v>
      </c>
      <c r="R1551">
        <v>33758.224999999999</v>
      </c>
      <c r="S1551">
        <v>-1529.6949999999997</v>
      </c>
      <c r="T1551" s="1" t="s">
        <v>163</v>
      </c>
      <c r="U1551">
        <v>-4.5313253288643003E-2</v>
      </c>
    </row>
    <row r="1552" spans="1:21" x14ac:dyDescent="0.3">
      <c r="A1552" s="1" t="s">
        <v>15</v>
      </c>
      <c r="B1552" s="1" t="s">
        <v>79</v>
      </c>
      <c r="C1552" s="2">
        <v>44972</v>
      </c>
      <c r="D1552" s="1" t="s">
        <v>25</v>
      </c>
      <c r="E1552" s="1" t="s">
        <v>30</v>
      </c>
      <c r="F1552">
        <v>8643.67</v>
      </c>
      <c r="G1552">
        <v>47</v>
      </c>
      <c r="H1552" s="1" t="s">
        <v>57</v>
      </c>
      <c r="I1552">
        <v>3450.36</v>
      </c>
      <c r="J1552">
        <v>3557.38</v>
      </c>
      <c r="K1552" s="1" t="s">
        <v>26</v>
      </c>
      <c r="L1552">
        <v>0.2</v>
      </c>
      <c r="M1552" s="1" t="s">
        <v>27</v>
      </c>
      <c r="N1552" s="1" t="s">
        <v>22</v>
      </c>
      <c r="O1552" s="1" t="s">
        <v>92</v>
      </c>
      <c r="P1552">
        <v>162166.92000000001</v>
      </c>
      <c r="Q1552">
        <v>2023</v>
      </c>
      <c r="R1552">
        <v>133757.48800000001</v>
      </c>
      <c r="S1552">
        <v>-28409.432000000001</v>
      </c>
      <c r="T1552" s="1" t="s">
        <v>163</v>
      </c>
      <c r="U1552">
        <v>-0.21239507727597301</v>
      </c>
    </row>
    <row r="1553" spans="1:21" x14ac:dyDescent="0.3">
      <c r="A1553" s="1" t="s">
        <v>15</v>
      </c>
      <c r="B1553" s="1" t="s">
        <v>52</v>
      </c>
      <c r="C1553" s="2">
        <v>44972</v>
      </c>
      <c r="D1553" s="1" t="s">
        <v>43</v>
      </c>
      <c r="E1553" s="1" t="s">
        <v>40</v>
      </c>
      <c r="F1553">
        <v>1383.82</v>
      </c>
      <c r="G1553">
        <v>1</v>
      </c>
      <c r="H1553" s="1" t="s">
        <v>31</v>
      </c>
      <c r="I1553">
        <v>1304.23</v>
      </c>
      <c r="J1553">
        <v>1705.71</v>
      </c>
      <c r="K1553" s="1" t="s">
        <v>20</v>
      </c>
      <c r="L1553">
        <v>0.01</v>
      </c>
      <c r="M1553" s="1" t="s">
        <v>21</v>
      </c>
      <c r="N1553" s="1" t="s">
        <v>33</v>
      </c>
      <c r="O1553" s="1" t="s">
        <v>99</v>
      </c>
      <c r="P1553">
        <v>1304.23</v>
      </c>
      <c r="Q1553">
        <v>2023</v>
      </c>
      <c r="R1553">
        <v>1688.6529</v>
      </c>
      <c r="S1553">
        <v>384.42290000000003</v>
      </c>
      <c r="T1553" s="1" t="s">
        <v>163</v>
      </c>
      <c r="U1553">
        <v>0.227650632051146</v>
      </c>
    </row>
    <row r="1554" spans="1:21" x14ac:dyDescent="0.3">
      <c r="A1554" s="1" t="s">
        <v>15</v>
      </c>
      <c r="B1554" s="1" t="s">
        <v>81</v>
      </c>
      <c r="C1554" s="2">
        <v>44973</v>
      </c>
      <c r="D1554" s="1" t="s">
        <v>36</v>
      </c>
      <c r="E1554" s="1" t="s">
        <v>30</v>
      </c>
      <c r="F1554">
        <v>7754.1</v>
      </c>
      <c r="G1554">
        <v>22</v>
      </c>
      <c r="H1554" s="1" t="s">
        <v>57</v>
      </c>
      <c r="I1554">
        <v>3373.46</v>
      </c>
      <c r="J1554">
        <v>3454.76</v>
      </c>
      <c r="K1554" s="1" t="s">
        <v>20</v>
      </c>
      <c r="L1554">
        <v>0.22</v>
      </c>
      <c r="M1554" s="1" t="s">
        <v>32</v>
      </c>
      <c r="N1554" s="1" t="s">
        <v>33</v>
      </c>
      <c r="O1554" s="1" t="s">
        <v>38</v>
      </c>
      <c r="P1554">
        <v>74216.12</v>
      </c>
      <c r="Q1554">
        <v>2023</v>
      </c>
      <c r="R1554">
        <v>59283.681600000004</v>
      </c>
      <c r="S1554">
        <v>-14932.438399999992</v>
      </c>
      <c r="T1554" s="1" t="s">
        <v>163</v>
      </c>
      <c r="U1554">
        <v>-0.25188109100160899</v>
      </c>
    </row>
    <row r="1555" spans="1:21" x14ac:dyDescent="0.3">
      <c r="A1555" s="1" t="s">
        <v>15</v>
      </c>
      <c r="B1555" s="1" t="s">
        <v>129</v>
      </c>
      <c r="C1555" s="2">
        <v>44973</v>
      </c>
      <c r="D1555" s="1" t="s">
        <v>43</v>
      </c>
      <c r="E1555" s="1" t="s">
        <v>44</v>
      </c>
      <c r="F1555">
        <v>4344.1499999999996</v>
      </c>
      <c r="G1555">
        <v>24</v>
      </c>
      <c r="H1555" s="1" t="s">
        <v>37</v>
      </c>
      <c r="I1555">
        <v>1969.09</v>
      </c>
      <c r="J1555">
        <v>2241.96</v>
      </c>
      <c r="K1555" s="1" t="s">
        <v>20</v>
      </c>
      <c r="L1555">
        <v>0.02</v>
      </c>
      <c r="M1555" s="1" t="s">
        <v>27</v>
      </c>
      <c r="N1555" s="1" t="s">
        <v>22</v>
      </c>
      <c r="O1555" s="1" t="s">
        <v>45</v>
      </c>
      <c r="P1555">
        <v>47258.159999999996</v>
      </c>
      <c r="Q1555">
        <v>2023</v>
      </c>
      <c r="R1555">
        <v>52730.8992</v>
      </c>
      <c r="S1555">
        <v>5472.7392000000036</v>
      </c>
      <c r="T1555" s="1" t="s">
        <v>163</v>
      </c>
      <c r="U1555">
        <v>0.103786191455654</v>
      </c>
    </row>
    <row r="1556" spans="1:21" x14ac:dyDescent="0.3">
      <c r="A1556" s="1" t="s">
        <v>15</v>
      </c>
      <c r="B1556" s="1" t="s">
        <v>133</v>
      </c>
      <c r="C1556" s="2">
        <v>44973</v>
      </c>
      <c r="D1556" s="1" t="s">
        <v>36</v>
      </c>
      <c r="E1556" s="1" t="s">
        <v>44</v>
      </c>
      <c r="F1556">
        <v>1678.97</v>
      </c>
      <c r="G1556">
        <v>47</v>
      </c>
      <c r="H1556" s="1" t="s">
        <v>31</v>
      </c>
      <c r="I1556">
        <v>2265.38</v>
      </c>
      <c r="J1556">
        <v>2429.9299999999998</v>
      </c>
      <c r="K1556" s="1" t="s">
        <v>20</v>
      </c>
      <c r="L1556">
        <v>0.06</v>
      </c>
      <c r="M1556" s="1" t="s">
        <v>32</v>
      </c>
      <c r="N1556" s="1" t="s">
        <v>22</v>
      </c>
      <c r="O1556" s="1" t="s">
        <v>71</v>
      </c>
      <c r="P1556">
        <v>106472.86</v>
      </c>
      <c r="Q1556">
        <v>2023</v>
      </c>
      <c r="R1556">
        <v>107354.30739999999</v>
      </c>
      <c r="S1556">
        <v>881.44739999999001</v>
      </c>
      <c r="T1556" s="1" t="s">
        <v>163</v>
      </c>
      <c r="U1556">
        <v>8.21063841170094E-3</v>
      </c>
    </row>
    <row r="1557" spans="1:21" x14ac:dyDescent="0.3">
      <c r="A1557" s="1" t="s">
        <v>15</v>
      </c>
      <c r="B1557" s="1" t="s">
        <v>110</v>
      </c>
      <c r="C1557" s="2">
        <v>44973</v>
      </c>
      <c r="D1557" s="1" t="s">
        <v>17</v>
      </c>
      <c r="E1557" s="1" t="s">
        <v>40</v>
      </c>
      <c r="F1557">
        <v>3939.48</v>
      </c>
      <c r="G1557">
        <v>11</v>
      </c>
      <c r="H1557" s="1" t="s">
        <v>31</v>
      </c>
      <c r="I1557">
        <v>1582.86</v>
      </c>
      <c r="J1557">
        <v>1942.55</v>
      </c>
      <c r="K1557" s="1" t="s">
        <v>26</v>
      </c>
      <c r="L1557">
        <v>0.17</v>
      </c>
      <c r="M1557" s="1" t="s">
        <v>27</v>
      </c>
      <c r="N1557" s="1" t="s">
        <v>33</v>
      </c>
      <c r="O1557" s="1" t="s">
        <v>67</v>
      </c>
      <c r="P1557">
        <v>17411.46</v>
      </c>
      <c r="Q1557">
        <v>2023</v>
      </c>
      <c r="R1557">
        <v>17735.481499999998</v>
      </c>
      <c r="S1557">
        <v>324.02149999999892</v>
      </c>
      <c r="T1557" s="1" t="s">
        <v>163</v>
      </c>
      <c r="U1557">
        <v>1.82696759600239E-2</v>
      </c>
    </row>
    <row r="1558" spans="1:21" x14ac:dyDescent="0.3">
      <c r="A1558" s="1" t="s">
        <v>15</v>
      </c>
      <c r="B1558" s="1" t="s">
        <v>134</v>
      </c>
      <c r="C1558" s="2">
        <v>44975</v>
      </c>
      <c r="D1558" s="1" t="s">
        <v>36</v>
      </c>
      <c r="E1558" s="1" t="s">
        <v>40</v>
      </c>
      <c r="F1558">
        <v>7154.95</v>
      </c>
      <c r="G1558">
        <v>27</v>
      </c>
      <c r="H1558" s="1" t="s">
        <v>19</v>
      </c>
      <c r="I1558">
        <v>939.02</v>
      </c>
      <c r="J1558">
        <v>1286.92</v>
      </c>
      <c r="K1558" s="1" t="s">
        <v>20</v>
      </c>
      <c r="L1558">
        <v>7.0000000000000007E-2</v>
      </c>
      <c r="M1558" s="1" t="s">
        <v>27</v>
      </c>
      <c r="N1558" s="1" t="s">
        <v>33</v>
      </c>
      <c r="O1558" s="1" t="s">
        <v>41</v>
      </c>
      <c r="P1558">
        <v>25353.54</v>
      </c>
      <c r="Q1558">
        <v>2023</v>
      </c>
      <c r="R1558">
        <v>32314.5612</v>
      </c>
      <c r="S1558">
        <v>6961.0211999999992</v>
      </c>
      <c r="T1558" s="1" t="s">
        <v>163</v>
      </c>
      <c r="U1558">
        <v>0.21541438105617799</v>
      </c>
    </row>
    <row r="1559" spans="1:21" x14ac:dyDescent="0.3">
      <c r="A1559" s="1" t="s">
        <v>15</v>
      </c>
      <c r="B1559" s="1" t="s">
        <v>121</v>
      </c>
      <c r="C1559" s="2">
        <v>44975</v>
      </c>
      <c r="D1559" s="1" t="s">
        <v>59</v>
      </c>
      <c r="E1559" s="1" t="s">
        <v>30</v>
      </c>
      <c r="F1559">
        <v>876.71</v>
      </c>
      <c r="G1559">
        <v>34</v>
      </c>
      <c r="H1559" s="1" t="s">
        <v>19</v>
      </c>
      <c r="I1559">
        <v>1921.07</v>
      </c>
      <c r="J1559">
        <v>2289.27</v>
      </c>
      <c r="K1559" s="1" t="s">
        <v>20</v>
      </c>
      <c r="L1559">
        <v>7.0000000000000007E-2</v>
      </c>
      <c r="M1559" s="1" t="s">
        <v>32</v>
      </c>
      <c r="N1559" s="1" t="s">
        <v>33</v>
      </c>
      <c r="O1559" s="1" t="s">
        <v>86</v>
      </c>
      <c r="P1559">
        <v>65316.38</v>
      </c>
      <c r="Q1559">
        <v>2023</v>
      </c>
      <c r="R1559">
        <v>72386.717399999994</v>
      </c>
      <c r="S1559">
        <v>7070.3373999999967</v>
      </c>
      <c r="T1559" s="1" t="s">
        <v>163</v>
      </c>
      <c r="U1559">
        <v>9.7674513418396794E-2</v>
      </c>
    </row>
    <row r="1560" spans="1:21" x14ac:dyDescent="0.3">
      <c r="A1560" s="1" t="s">
        <v>15</v>
      </c>
      <c r="B1560" s="1" t="s">
        <v>111</v>
      </c>
      <c r="C1560" s="2">
        <v>44976</v>
      </c>
      <c r="D1560" s="1" t="s">
        <v>59</v>
      </c>
      <c r="E1560" s="1" t="s">
        <v>44</v>
      </c>
      <c r="F1560">
        <v>937.2</v>
      </c>
      <c r="G1560">
        <v>45</v>
      </c>
      <c r="H1560" s="1" t="s">
        <v>37</v>
      </c>
      <c r="I1560">
        <v>4974.1400000000003</v>
      </c>
      <c r="J1560">
        <v>5227.93</v>
      </c>
      <c r="K1560" s="1" t="s">
        <v>26</v>
      </c>
      <c r="L1560">
        <v>0.21</v>
      </c>
      <c r="M1560" s="1" t="s">
        <v>32</v>
      </c>
      <c r="N1560" s="1" t="s">
        <v>22</v>
      </c>
      <c r="O1560" s="1" t="s">
        <v>60</v>
      </c>
      <c r="P1560">
        <v>223836.30000000002</v>
      </c>
      <c r="Q1560">
        <v>2023</v>
      </c>
      <c r="R1560">
        <v>185852.91150000002</v>
      </c>
      <c r="S1560">
        <v>-37983.388500000001</v>
      </c>
      <c r="T1560" s="1" t="s">
        <v>163</v>
      </c>
      <c r="U1560">
        <v>-0.20437338427168</v>
      </c>
    </row>
    <row r="1561" spans="1:21" x14ac:dyDescent="0.3">
      <c r="A1561" s="1" t="s">
        <v>15</v>
      </c>
      <c r="B1561" s="1" t="s">
        <v>84</v>
      </c>
      <c r="C1561" s="2">
        <v>44976</v>
      </c>
      <c r="D1561" s="1" t="s">
        <v>36</v>
      </c>
      <c r="E1561" s="1" t="s">
        <v>40</v>
      </c>
      <c r="F1561">
        <v>2154.66</v>
      </c>
      <c r="G1561">
        <v>35</v>
      </c>
      <c r="H1561" s="1" t="s">
        <v>57</v>
      </c>
      <c r="I1561">
        <v>465.61</v>
      </c>
      <c r="J1561">
        <v>812.91</v>
      </c>
      <c r="K1561" s="1" t="s">
        <v>26</v>
      </c>
      <c r="L1561">
        <v>0.16</v>
      </c>
      <c r="M1561" s="1" t="s">
        <v>32</v>
      </c>
      <c r="N1561" s="1" t="s">
        <v>22</v>
      </c>
      <c r="O1561" s="1" t="s">
        <v>41</v>
      </c>
      <c r="P1561">
        <v>16296.35</v>
      </c>
      <c r="Q1561">
        <v>2023</v>
      </c>
      <c r="R1561">
        <v>23899.553999999996</v>
      </c>
      <c r="S1561">
        <v>7603.2039999999961</v>
      </c>
      <c r="T1561" s="1" t="s">
        <v>163</v>
      </c>
      <c r="U1561">
        <v>0.31813162705881398</v>
      </c>
    </row>
    <row r="1562" spans="1:21" x14ac:dyDescent="0.3">
      <c r="A1562" s="1" t="s">
        <v>15</v>
      </c>
      <c r="B1562" s="1" t="s">
        <v>51</v>
      </c>
      <c r="C1562" s="2">
        <v>44977</v>
      </c>
      <c r="D1562" s="1" t="s">
        <v>25</v>
      </c>
      <c r="E1562" s="1" t="s">
        <v>40</v>
      </c>
      <c r="F1562">
        <v>9469.92</v>
      </c>
      <c r="G1562">
        <v>26</v>
      </c>
      <c r="H1562" s="1" t="s">
        <v>57</v>
      </c>
      <c r="I1562">
        <v>508.94</v>
      </c>
      <c r="J1562">
        <v>557.69000000000005</v>
      </c>
      <c r="K1562" s="1" t="s">
        <v>26</v>
      </c>
      <c r="L1562">
        <v>0.22</v>
      </c>
      <c r="M1562" s="1" t="s">
        <v>27</v>
      </c>
      <c r="N1562" s="1" t="s">
        <v>33</v>
      </c>
      <c r="O1562" s="1" t="s">
        <v>83</v>
      </c>
      <c r="P1562">
        <v>13232.44</v>
      </c>
      <c r="Q1562">
        <v>2023</v>
      </c>
      <c r="R1562">
        <v>11309.953200000002</v>
      </c>
      <c r="S1562">
        <v>-1922.4867999999988</v>
      </c>
      <c r="T1562" s="1" t="s">
        <v>163</v>
      </c>
      <c r="U1562">
        <v>-0.169981852798471</v>
      </c>
    </row>
    <row r="1563" spans="1:21" x14ac:dyDescent="0.3">
      <c r="A1563" s="1" t="s">
        <v>15</v>
      </c>
      <c r="B1563" s="1" t="s">
        <v>102</v>
      </c>
      <c r="C1563" s="2">
        <v>44977</v>
      </c>
      <c r="D1563" s="1" t="s">
        <v>25</v>
      </c>
      <c r="E1563" s="1" t="s">
        <v>18</v>
      </c>
      <c r="F1563">
        <v>8189.57</v>
      </c>
      <c r="G1563">
        <v>16</v>
      </c>
      <c r="H1563" s="1" t="s">
        <v>31</v>
      </c>
      <c r="I1563">
        <v>102.23</v>
      </c>
      <c r="J1563">
        <v>167.12</v>
      </c>
      <c r="K1563" s="1" t="s">
        <v>26</v>
      </c>
      <c r="L1563">
        <v>0.04</v>
      </c>
      <c r="M1563" s="1" t="s">
        <v>27</v>
      </c>
      <c r="N1563" s="1" t="s">
        <v>33</v>
      </c>
      <c r="O1563" s="1" t="s">
        <v>28</v>
      </c>
      <c r="P1563">
        <v>1635.68</v>
      </c>
      <c r="Q1563">
        <v>2023</v>
      </c>
      <c r="R1563">
        <v>2566.9632000000001</v>
      </c>
      <c r="S1563">
        <v>931.28320000000008</v>
      </c>
      <c r="T1563" s="1" t="s">
        <v>163</v>
      </c>
      <c r="U1563">
        <v>0.362795695707675</v>
      </c>
    </row>
    <row r="1564" spans="1:21" x14ac:dyDescent="0.3">
      <c r="A1564" s="1" t="s">
        <v>15</v>
      </c>
      <c r="B1564" s="1" t="s">
        <v>135</v>
      </c>
      <c r="C1564" s="2">
        <v>44978</v>
      </c>
      <c r="D1564" s="1" t="s">
        <v>59</v>
      </c>
      <c r="E1564" s="1" t="s">
        <v>44</v>
      </c>
      <c r="F1564">
        <v>783.55</v>
      </c>
      <c r="G1564">
        <v>31</v>
      </c>
      <c r="H1564" s="1" t="s">
        <v>37</v>
      </c>
      <c r="I1564">
        <v>3570.24</v>
      </c>
      <c r="J1564">
        <v>3712.25</v>
      </c>
      <c r="K1564" s="1" t="s">
        <v>26</v>
      </c>
      <c r="L1564">
        <v>0.03</v>
      </c>
      <c r="M1564" s="1" t="s">
        <v>27</v>
      </c>
      <c r="N1564" s="1" t="s">
        <v>22</v>
      </c>
      <c r="O1564" s="1" t="s">
        <v>60</v>
      </c>
      <c r="P1564">
        <v>110677.43999999999</v>
      </c>
      <c r="Q1564">
        <v>2023</v>
      </c>
      <c r="R1564">
        <v>111627.3575</v>
      </c>
      <c r="S1564">
        <v>949.91750000001048</v>
      </c>
      <c r="T1564" s="1" t="s">
        <v>163</v>
      </c>
      <c r="U1564">
        <v>8.5097194923745307E-3</v>
      </c>
    </row>
    <row r="1565" spans="1:21" x14ac:dyDescent="0.3">
      <c r="A1565" s="1" t="s">
        <v>15</v>
      </c>
      <c r="B1565" s="1" t="s">
        <v>109</v>
      </c>
      <c r="C1565" s="2">
        <v>44979</v>
      </c>
      <c r="D1565" s="1" t="s">
        <v>59</v>
      </c>
      <c r="E1565" s="1" t="s">
        <v>30</v>
      </c>
      <c r="F1565">
        <v>3391.32</v>
      </c>
      <c r="G1565">
        <v>46</v>
      </c>
      <c r="H1565" s="1" t="s">
        <v>19</v>
      </c>
      <c r="I1565">
        <v>2551.56</v>
      </c>
      <c r="J1565">
        <v>2841.68</v>
      </c>
      <c r="K1565" s="1" t="s">
        <v>26</v>
      </c>
      <c r="L1565">
        <v>0.09</v>
      </c>
      <c r="M1565" s="1" t="s">
        <v>32</v>
      </c>
      <c r="N1565" s="1" t="s">
        <v>33</v>
      </c>
      <c r="O1565" s="1" t="s">
        <v>86</v>
      </c>
      <c r="P1565">
        <v>117371.76</v>
      </c>
      <c r="Q1565">
        <v>2023</v>
      </c>
      <c r="R1565">
        <v>118952.7248</v>
      </c>
      <c r="S1565">
        <v>1580.9648000000016</v>
      </c>
      <c r="T1565" s="1" t="s">
        <v>163</v>
      </c>
      <c r="U1565">
        <v>1.32906984910026E-2</v>
      </c>
    </row>
    <row r="1566" spans="1:21" x14ac:dyDescent="0.3">
      <c r="A1566" s="1" t="s">
        <v>15</v>
      </c>
      <c r="B1566" s="1" t="s">
        <v>93</v>
      </c>
      <c r="C1566" s="2">
        <v>44980</v>
      </c>
      <c r="D1566" s="1" t="s">
        <v>43</v>
      </c>
      <c r="E1566" s="1" t="s">
        <v>40</v>
      </c>
      <c r="F1566">
        <v>7066.63</v>
      </c>
      <c r="G1566">
        <v>47</v>
      </c>
      <c r="H1566" s="1" t="s">
        <v>57</v>
      </c>
      <c r="I1566">
        <v>4535.8599999999997</v>
      </c>
      <c r="J1566">
        <v>4641.41</v>
      </c>
      <c r="K1566" s="1" t="s">
        <v>26</v>
      </c>
      <c r="L1566">
        <v>0.27</v>
      </c>
      <c r="M1566" s="1" t="s">
        <v>27</v>
      </c>
      <c r="N1566" s="1" t="s">
        <v>33</v>
      </c>
      <c r="O1566" s="1" t="s">
        <v>99</v>
      </c>
      <c r="P1566">
        <v>213185.41999999998</v>
      </c>
      <c r="Q1566">
        <v>2023</v>
      </c>
      <c r="R1566">
        <v>159246.77709999998</v>
      </c>
      <c r="S1566">
        <v>-53938.642900000006</v>
      </c>
      <c r="T1566" s="1" t="s">
        <v>163</v>
      </c>
      <c r="U1566">
        <v>-0.33871104886555398</v>
      </c>
    </row>
    <row r="1567" spans="1:21" x14ac:dyDescent="0.3">
      <c r="A1567" s="1" t="s">
        <v>15</v>
      </c>
      <c r="B1567" s="1" t="s">
        <v>136</v>
      </c>
      <c r="C1567" s="2">
        <v>44980</v>
      </c>
      <c r="D1567" s="1" t="s">
        <v>17</v>
      </c>
      <c r="E1567" s="1" t="s">
        <v>18</v>
      </c>
      <c r="F1567">
        <v>849.43</v>
      </c>
      <c r="G1567">
        <v>43</v>
      </c>
      <c r="H1567" s="1" t="s">
        <v>31</v>
      </c>
      <c r="I1567">
        <v>2116.09</v>
      </c>
      <c r="J1567">
        <v>2472.98</v>
      </c>
      <c r="K1567" s="1" t="s">
        <v>26</v>
      </c>
      <c r="L1567">
        <v>0.01</v>
      </c>
      <c r="M1567" s="1" t="s">
        <v>27</v>
      </c>
      <c r="N1567" s="1" t="s">
        <v>33</v>
      </c>
      <c r="O1567" s="1" t="s">
        <v>23</v>
      </c>
      <c r="P1567">
        <v>90991.87000000001</v>
      </c>
      <c r="Q1567">
        <v>2023</v>
      </c>
      <c r="R1567">
        <v>105274.7586</v>
      </c>
      <c r="S1567">
        <v>14282.888599999991</v>
      </c>
      <c r="T1567" s="1" t="s">
        <v>163</v>
      </c>
      <c r="U1567">
        <v>0.13567248968263099</v>
      </c>
    </row>
    <row r="1568" spans="1:21" x14ac:dyDescent="0.3">
      <c r="A1568" s="1" t="s">
        <v>15</v>
      </c>
      <c r="B1568" s="1" t="s">
        <v>137</v>
      </c>
      <c r="C1568" s="2">
        <v>44981</v>
      </c>
      <c r="D1568" s="1" t="s">
        <v>43</v>
      </c>
      <c r="E1568" s="1" t="s">
        <v>18</v>
      </c>
      <c r="F1568">
        <v>5118.51</v>
      </c>
      <c r="G1568">
        <v>22</v>
      </c>
      <c r="H1568" s="1" t="s">
        <v>19</v>
      </c>
      <c r="I1568">
        <v>3619.61</v>
      </c>
      <c r="J1568">
        <v>3651.42</v>
      </c>
      <c r="K1568" s="1" t="s">
        <v>20</v>
      </c>
      <c r="L1568">
        <v>0.26</v>
      </c>
      <c r="M1568" s="1" t="s">
        <v>32</v>
      </c>
      <c r="N1568" s="1" t="s">
        <v>22</v>
      </c>
      <c r="O1568" s="1" t="s">
        <v>62</v>
      </c>
      <c r="P1568">
        <v>79631.42</v>
      </c>
      <c r="Q1568">
        <v>2023</v>
      </c>
      <c r="R1568">
        <v>59445.117600000005</v>
      </c>
      <c r="S1568">
        <v>-20186.302399999993</v>
      </c>
      <c r="T1568" s="1" t="s">
        <v>163</v>
      </c>
      <c r="U1568">
        <v>-0.33957881176771398</v>
      </c>
    </row>
    <row r="1569" spans="1:21" x14ac:dyDescent="0.3">
      <c r="A1569" s="1" t="s">
        <v>15</v>
      </c>
      <c r="B1569" s="1" t="s">
        <v>42</v>
      </c>
      <c r="C1569" s="2">
        <v>44981</v>
      </c>
      <c r="D1569" s="1" t="s">
        <v>36</v>
      </c>
      <c r="E1569" s="1" t="s">
        <v>44</v>
      </c>
      <c r="F1569">
        <v>8090</v>
      </c>
      <c r="G1569">
        <v>35</v>
      </c>
      <c r="H1569" s="1" t="s">
        <v>19</v>
      </c>
      <c r="I1569">
        <v>2610.19</v>
      </c>
      <c r="J1569">
        <v>2682.53</v>
      </c>
      <c r="K1569" s="1" t="s">
        <v>26</v>
      </c>
      <c r="L1569">
        <v>0.14000000000000001</v>
      </c>
      <c r="M1569" s="1" t="s">
        <v>21</v>
      </c>
      <c r="N1569" s="1" t="s">
        <v>33</v>
      </c>
      <c r="O1569" s="1" t="s">
        <v>71</v>
      </c>
      <c r="P1569">
        <v>91356.650000000009</v>
      </c>
      <c r="Q1569">
        <v>2023</v>
      </c>
      <c r="R1569">
        <v>80744.153000000006</v>
      </c>
      <c r="S1569">
        <v>-10612.497000000003</v>
      </c>
      <c r="T1569" s="1" t="s">
        <v>163</v>
      </c>
      <c r="U1569">
        <v>-0.131433628389166</v>
      </c>
    </row>
    <row r="1570" spans="1:21" x14ac:dyDescent="0.3">
      <c r="A1570" s="1" t="s">
        <v>15</v>
      </c>
      <c r="B1570" s="1" t="s">
        <v>78</v>
      </c>
      <c r="C1570" s="2">
        <v>44981</v>
      </c>
      <c r="D1570" s="1" t="s">
        <v>59</v>
      </c>
      <c r="E1570" s="1" t="s">
        <v>18</v>
      </c>
      <c r="F1570">
        <v>5664.52</v>
      </c>
      <c r="G1570">
        <v>43</v>
      </c>
      <c r="H1570" s="1" t="s">
        <v>57</v>
      </c>
      <c r="I1570">
        <v>2124.7199999999998</v>
      </c>
      <c r="J1570">
        <v>2188.66</v>
      </c>
      <c r="K1570" s="1" t="s">
        <v>20</v>
      </c>
      <c r="L1570">
        <v>0.03</v>
      </c>
      <c r="M1570" s="1" t="s">
        <v>27</v>
      </c>
      <c r="N1570" s="1" t="s">
        <v>33</v>
      </c>
      <c r="O1570" s="1" t="s">
        <v>77</v>
      </c>
      <c r="P1570">
        <v>91362.959999999992</v>
      </c>
      <c r="Q1570">
        <v>2023</v>
      </c>
      <c r="R1570">
        <v>91289.008599999986</v>
      </c>
      <c r="S1570">
        <v>-73.951400000005378</v>
      </c>
      <c r="T1570" s="1" t="s">
        <v>163</v>
      </c>
      <c r="U1570">
        <v>-8.1007999905045999E-4</v>
      </c>
    </row>
    <row r="1571" spans="1:21" x14ac:dyDescent="0.3">
      <c r="A1571" s="1" t="s">
        <v>15</v>
      </c>
      <c r="B1571" s="1" t="s">
        <v>79</v>
      </c>
      <c r="C1571" s="2">
        <v>44981</v>
      </c>
      <c r="D1571" s="1" t="s">
        <v>43</v>
      </c>
      <c r="E1571" s="1" t="s">
        <v>40</v>
      </c>
      <c r="F1571">
        <v>6171.59</v>
      </c>
      <c r="G1571">
        <v>7</v>
      </c>
      <c r="H1571" s="1" t="s">
        <v>31</v>
      </c>
      <c r="I1571">
        <v>4122.38</v>
      </c>
      <c r="J1571">
        <v>4358.78</v>
      </c>
      <c r="K1571" s="1" t="s">
        <v>20</v>
      </c>
      <c r="L1571">
        <v>0.26</v>
      </c>
      <c r="M1571" s="1" t="s">
        <v>32</v>
      </c>
      <c r="N1571" s="1" t="s">
        <v>33</v>
      </c>
      <c r="O1571" s="1" t="s">
        <v>99</v>
      </c>
      <c r="P1571">
        <v>28856.66</v>
      </c>
      <c r="Q1571">
        <v>2023</v>
      </c>
      <c r="R1571">
        <v>22578.4804</v>
      </c>
      <c r="S1571">
        <v>-6278.1795999999995</v>
      </c>
      <c r="T1571" s="1" t="s">
        <v>163</v>
      </c>
      <c r="U1571">
        <v>-0.27806032508724499</v>
      </c>
    </row>
    <row r="1572" spans="1:21" x14ac:dyDescent="0.3">
      <c r="A1572" s="1" t="s">
        <v>15</v>
      </c>
      <c r="B1572" s="1" t="s">
        <v>16</v>
      </c>
      <c r="C1572" s="2">
        <v>44981</v>
      </c>
      <c r="D1572" s="1" t="s">
        <v>17</v>
      </c>
      <c r="E1572" s="1" t="s">
        <v>40</v>
      </c>
      <c r="F1572">
        <v>5751.69</v>
      </c>
      <c r="G1572">
        <v>22</v>
      </c>
      <c r="H1572" s="1" t="s">
        <v>37</v>
      </c>
      <c r="I1572">
        <v>2269.3200000000002</v>
      </c>
      <c r="J1572">
        <v>2365.35</v>
      </c>
      <c r="K1572" s="1" t="s">
        <v>26</v>
      </c>
      <c r="L1572">
        <v>0.03</v>
      </c>
      <c r="M1572" s="1" t="s">
        <v>21</v>
      </c>
      <c r="N1572" s="1" t="s">
        <v>33</v>
      </c>
      <c r="O1572" s="1" t="s">
        <v>67</v>
      </c>
      <c r="P1572">
        <v>49925.04</v>
      </c>
      <c r="Q1572">
        <v>2023</v>
      </c>
      <c r="R1572">
        <v>50476.568999999996</v>
      </c>
      <c r="S1572">
        <v>551.52899999999499</v>
      </c>
      <c r="T1572" s="1" t="s">
        <v>163</v>
      </c>
      <c r="U1572">
        <v>1.0926435986566301E-2</v>
      </c>
    </row>
    <row r="1573" spans="1:21" x14ac:dyDescent="0.3">
      <c r="A1573" s="1" t="s">
        <v>15</v>
      </c>
      <c r="B1573" s="1" t="s">
        <v>89</v>
      </c>
      <c r="C1573" s="2">
        <v>44982</v>
      </c>
      <c r="D1573" s="1" t="s">
        <v>17</v>
      </c>
      <c r="E1573" s="1" t="s">
        <v>44</v>
      </c>
      <c r="F1573">
        <v>4791.82</v>
      </c>
      <c r="G1573">
        <v>31</v>
      </c>
      <c r="H1573" s="1" t="s">
        <v>57</v>
      </c>
      <c r="I1573">
        <v>2757.06</v>
      </c>
      <c r="J1573">
        <v>3023.97</v>
      </c>
      <c r="K1573" s="1" t="s">
        <v>20</v>
      </c>
      <c r="L1573">
        <v>0.21</v>
      </c>
      <c r="M1573" s="1" t="s">
        <v>21</v>
      </c>
      <c r="N1573" s="1" t="s">
        <v>22</v>
      </c>
      <c r="O1573" s="1" t="s">
        <v>49</v>
      </c>
      <c r="P1573">
        <v>85468.86</v>
      </c>
      <c r="Q1573">
        <v>2023</v>
      </c>
      <c r="R1573">
        <v>74057.025299999994</v>
      </c>
      <c r="S1573">
        <v>-11411.834700000007</v>
      </c>
      <c r="T1573" s="1" t="s">
        <v>163</v>
      </c>
      <c r="U1573">
        <v>-0.154095234770387</v>
      </c>
    </row>
    <row r="1574" spans="1:21" x14ac:dyDescent="0.3">
      <c r="A1574" s="1" t="s">
        <v>15</v>
      </c>
      <c r="B1574" s="1" t="s">
        <v>53</v>
      </c>
      <c r="C1574" s="2">
        <v>44983</v>
      </c>
      <c r="D1574" s="1" t="s">
        <v>43</v>
      </c>
      <c r="E1574" s="1" t="s">
        <v>40</v>
      </c>
      <c r="F1574">
        <v>2559</v>
      </c>
      <c r="G1574">
        <v>5</v>
      </c>
      <c r="H1574" s="1" t="s">
        <v>37</v>
      </c>
      <c r="I1574">
        <v>4934.1000000000004</v>
      </c>
      <c r="J1574">
        <v>5191.0200000000004</v>
      </c>
      <c r="K1574" s="1" t="s">
        <v>26</v>
      </c>
      <c r="L1574">
        <v>0.3</v>
      </c>
      <c r="M1574" s="1" t="s">
        <v>32</v>
      </c>
      <c r="N1574" s="1" t="s">
        <v>22</v>
      </c>
      <c r="O1574" s="1" t="s">
        <v>99</v>
      </c>
      <c r="P1574">
        <v>24670.5</v>
      </c>
      <c r="Q1574">
        <v>2023</v>
      </c>
      <c r="R1574">
        <v>18168.57</v>
      </c>
      <c r="S1574">
        <v>-6501.93</v>
      </c>
      <c r="T1574" s="1" t="s">
        <v>163</v>
      </c>
      <c r="U1574">
        <v>-0.35786690972377</v>
      </c>
    </row>
    <row r="1575" spans="1:21" x14ac:dyDescent="0.3">
      <c r="A1575" s="1" t="s">
        <v>15</v>
      </c>
      <c r="B1575" s="1" t="s">
        <v>66</v>
      </c>
      <c r="C1575" s="2">
        <v>44984</v>
      </c>
      <c r="D1575" s="1" t="s">
        <v>17</v>
      </c>
      <c r="E1575" s="1" t="s">
        <v>40</v>
      </c>
      <c r="F1575">
        <v>5324.01</v>
      </c>
      <c r="G1575">
        <v>45</v>
      </c>
      <c r="H1575" s="1" t="s">
        <v>31</v>
      </c>
      <c r="I1575">
        <v>3325.96</v>
      </c>
      <c r="J1575">
        <v>3781.4</v>
      </c>
      <c r="K1575" s="1" t="s">
        <v>20</v>
      </c>
      <c r="L1575">
        <v>0.27</v>
      </c>
      <c r="M1575" s="1" t="s">
        <v>27</v>
      </c>
      <c r="N1575" s="1" t="s">
        <v>22</v>
      </c>
      <c r="O1575" s="1" t="s">
        <v>67</v>
      </c>
      <c r="P1575">
        <v>149668.20000000001</v>
      </c>
      <c r="Q1575">
        <v>2023</v>
      </c>
      <c r="R1575">
        <v>124218.98999999999</v>
      </c>
      <c r="S1575">
        <v>-25449.210000000021</v>
      </c>
      <c r="T1575" s="1" t="s">
        <v>163</v>
      </c>
      <c r="U1575">
        <v>-0.20487374756468399</v>
      </c>
    </row>
    <row r="1576" spans="1:21" x14ac:dyDescent="0.3">
      <c r="A1576" s="1" t="s">
        <v>15</v>
      </c>
      <c r="B1576" s="1" t="s">
        <v>118</v>
      </c>
      <c r="C1576" s="2">
        <v>44984</v>
      </c>
      <c r="D1576" s="1" t="s">
        <v>59</v>
      </c>
      <c r="E1576" s="1" t="s">
        <v>40</v>
      </c>
      <c r="F1576">
        <v>1780.31</v>
      </c>
      <c r="G1576">
        <v>20</v>
      </c>
      <c r="H1576" s="1" t="s">
        <v>19</v>
      </c>
      <c r="I1576">
        <v>3617.59</v>
      </c>
      <c r="J1576">
        <v>4003.5</v>
      </c>
      <c r="K1576" s="1" t="s">
        <v>26</v>
      </c>
      <c r="L1576">
        <v>0.01</v>
      </c>
      <c r="M1576" s="1" t="s">
        <v>27</v>
      </c>
      <c r="N1576" s="1" t="s">
        <v>33</v>
      </c>
      <c r="O1576" s="1" t="s">
        <v>90</v>
      </c>
      <c r="P1576">
        <v>72351.8</v>
      </c>
      <c r="Q1576">
        <v>2023</v>
      </c>
      <c r="R1576">
        <v>79269.3</v>
      </c>
      <c r="S1576">
        <v>6917.5</v>
      </c>
      <c r="T1576" s="1" t="s">
        <v>163</v>
      </c>
      <c r="U1576">
        <v>8.7265814129808106E-2</v>
      </c>
    </row>
    <row r="1577" spans="1:21" x14ac:dyDescent="0.3">
      <c r="A1577" s="1" t="s">
        <v>15</v>
      </c>
      <c r="B1577" s="1" t="s">
        <v>46</v>
      </c>
      <c r="C1577" s="2">
        <v>44985</v>
      </c>
      <c r="D1577" s="1" t="s">
        <v>59</v>
      </c>
      <c r="E1577" s="1" t="s">
        <v>40</v>
      </c>
      <c r="F1577">
        <v>7534.3</v>
      </c>
      <c r="G1577">
        <v>15</v>
      </c>
      <c r="H1577" s="1" t="s">
        <v>31</v>
      </c>
      <c r="I1577">
        <v>4074.66</v>
      </c>
      <c r="J1577">
        <v>4261.1099999999997</v>
      </c>
      <c r="K1577" s="1" t="s">
        <v>20</v>
      </c>
      <c r="L1577">
        <v>0.05</v>
      </c>
      <c r="M1577" s="1" t="s">
        <v>27</v>
      </c>
      <c r="N1577" s="1" t="s">
        <v>33</v>
      </c>
      <c r="O1577" s="1" t="s">
        <v>90</v>
      </c>
      <c r="P1577">
        <v>61119.899999999994</v>
      </c>
      <c r="Q1577">
        <v>2023</v>
      </c>
      <c r="R1577">
        <v>60720.81749999999</v>
      </c>
      <c r="S1577">
        <v>-399.08250000000407</v>
      </c>
      <c r="T1577" s="1" t="s">
        <v>163</v>
      </c>
      <c r="U1577">
        <v>-6.5724164533852696E-3</v>
      </c>
    </row>
    <row r="1578" spans="1:21" x14ac:dyDescent="0.3">
      <c r="A1578" s="1" t="s">
        <v>15</v>
      </c>
      <c r="B1578" s="1" t="s">
        <v>95</v>
      </c>
      <c r="C1578" s="2">
        <v>44985</v>
      </c>
      <c r="D1578" s="1" t="s">
        <v>36</v>
      </c>
      <c r="E1578" s="1" t="s">
        <v>40</v>
      </c>
      <c r="F1578">
        <v>4155.74</v>
      </c>
      <c r="G1578">
        <v>3</v>
      </c>
      <c r="H1578" s="1" t="s">
        <v>19</v>
      </c>
      <c r="I1578">
        <v>2958.75</v>
      </c>
      <c r="J1578">
        <v>3177.64</v>
      </c>
      <c r="K1578" s="1" t="s">
        <v>20</v>
      </c>
      <c r="L1578">
        <v>0.17</v>
      </c>
      <c r="M1578" s="1" t="s">
        <v>21</v>
      </c>
      <c r="N1578" s="1" t="s">
        <v>22</v>
      </c>
      <c r="O1578" s="1" t="s">
        <v>41</v>
      </c>
      <c r="P1578">
        <v>8876.25</v>
      </c>
      <c r="Q1578">
        <v>2023</v>
      </c>
      <c r="R1578">
        <v>7912.3235999999997</v>
      </c>
      <c r="S1578">
        <v>-963.92640000000029</v>
      </c>
      <c r="T1578" s="1" t="s">
        <v>163</v>
      </c>
      <c r="U1578">
        <v>-0.121825957674431</v>
      </c>
    </row>
    <row r="1579" spans="1:21" x14ac:dyDescent="0.3">
      <c r="A1579" s="1" t="s">
        <v>15</v>
      </c>
      <c r="B1579" s="1" t="s">
        <v>94</v>
      </c>
      <c r="C1579" s="2">
        <v>44985</v>
      </c>
      <c r="D1579" s="1" t="s">
        <v>36</v>
      </c>
      <c r="E1579" s="1" t="s">
        <v>44</v>
      </c>
      <c r="F1579">
        <v>5650.72</v>
      </c>
      <c r="G1579">
        <v>33</v>
      </c>
      <c r="H1579" s="1" t="s">
        <v>57</v>
      </c>
      <c r="I1579">
        <v>3831.09</v>
      </c>
      <c r="J1579">
        <v>3908.37</v>
      </c>
      <c r="K1579" s="1" t="s">
        <v>26</v>
      </c>
      <c r="L1579">
        <v>0.28999999999999998</v>
      </c>
      <c r="M1579" s="1" t="s">
        <v>21</v>
      </c>
      <c r="N1579" s="1" t="s">
        <v>33</v>
      </c>
      <c r="O1579" s="1" t="s">
        <v>71</v>
      </c>
      <c r="P1579">
        <v>126425.97</v>
      </c>
      <c r="Q1579">
        <v>2023</v>
      </c>
      <c r="R1579">
        <v>91573.109099999987</v>
      </c>
      <c r="S1579">
        <v>-34852.860900000014</v>
      </c>
      <c r="T1579" s="1" t="s">
        <v>163</v>
      </c>
      <c r="U1579">
        <v>-0.38060148052786802</v>
      </c>
    </row>
    <row r="1580" spans="1:21" x14ac:dyDescent="0.3">
      <c r="A1580" s="1" t="s">
        <v>15</v>
      </c>
      <c r="B1580" s="1" t="s">
        <v>132</v>
      </c>
      <c r="C1580" s="2">
        <v>44985</v>
      </c>
      <c r="D1580" s="1" t="s">
        <v>43</v>
      </c>
      <c r="E1580" s="1" t="s">
        <v>44</v>
      </c>
      <c r="F1580">
        <v>8236.1299999999992</v>
      </c>
      <c r="G1580">
        <v>14</v>
      </c>
      <c r="H1580" s="1" t="s">
        <v>37</v>
      </c>
      <c r="I1580">
        <v>859.59</v>
      </c>
      <c r="J1580">
        <v>884.51</v>
      </c>
      <c r="K1580" s="1" t="s">
        <v>26</v>
      </c>
      <c r="L1580">
        <v>0.12</v>
      </c>
      <c r="M1580" s="1" t="s">
        <v>32</v>
      </c>
      <c r="N1580" s="1" t="s">
        <v>22</v>
      </c>
      <c r="O1580" s="1" t="s">
        <v>45</v>
      </c>
      <c r="P1580">
        <v>12034.26</v>
      </c>
      <c r="Q1580">
        <v>2023</v>
      </c>
      <c r="R1580">
        <v>10897.163199999999</v>
      </c>
      <c r="S1580">
        <v>-1137.0968000000012</v>
      </c>
      <c r="T1580" s="1" t="s">
        <v>163</v>
      </c>
      <c r="U1580">
        <v>-0.10434796461523101</v>
      </c>
    </row>
    <row r="1581" spans="1:21" x14ac:dyDescent="0.3">
      <c r="A1581" s="1" t="s">
        <v>15</v>
      </c>
      <c r="B1581" s="1" t="s">
        <v>98</v>
      </c>
      <c r="C1581" s="2">
        <v>44985</v>
      </c>
      <c r="D1581" s="1" t="s">
        <v>17</v>
      </c>
      <c r="E1581" s="1" t="s">
        <v>18</v>
      </c>
      <c r="F1581">
        <v>6629.16</v>
      </c>
      <c r="G1581">
        <v>37</v>
      </c>
      <c r="H1581" s="1" t="s">
        <v>37</v>
      </c>
      <c r="I1581">
        <v>1555.41</v>
      </c>
      <c r="J1581">
        <v>1609.94</v>
      </c>
      <c r="K1581" s="1" t="s">
        <v>20</v>
      </c>
      <c r="L1581">
        <v>0.16</v>
      </c>
      <c r="M1581" s="1" t="s">
        <v>27</v>
      </c>
      <c r="N1581" s="1" t="s">
        <v>22</v>
      </c>
      <c r="O1581" s="1" t="s">
        <v>23</v>
      </c>
      <c r="P1581">
        <v>57550.170000000006</v>
      </c>
      <c r="Q1581">
        <v>2023</v>
      </c>
      <c r="R1581">
        <v>50036.9352</v>
      </c>
      <c r="S1581">
        <v>-7513.2348000000056</v>
      </c>
      <c r="T1581" s="1" t="s">
        <v>163</v>
      </c>
      <c r="U1581">
        <v>-0.15015377680445999</v>
      </c>
    </row>
    <row r="1582" spans="1:21" x14ac:dyDescent="0.3">
      <c r="A1582" s="1" t="s">
        <v>15</v>
      </c>
      <c r="B1582" s="1" t="s">
        <v>121</v>
      </c>
      <c r="C1582" s="2">
        <v>44985</v>
      </c>
      <c r="D1582" s="1" t="s">
        <v>25</v>
      </c>
      <c r="E1582" s="1" t="s">
        <v>44</v>
      </c>
      <c r="F1582">
        <v>1833.72</v>
      </c>
      <c r="G1582">
        <v>43</v>
      </c>
      <c r="H1582" s="1" t="s">
        <v>31</v>
      </c>
      <c r="I1582">
        <v>3967.25</v>
      </c>
      <c r="J1582">
        <v>4272.92</v>
      </c>
      <c r="K1582" s="1" t="s">
        <v>26</v>
      </c>
      <c r="L1582">
        <v>0.27</v>
      </c>
      <c r="M1582" s="1" t="s">
        <v>27</v>
      </c>
      <c r="N1582" s="1" t="s">
        <v>22</v>
      </c>
      <c r="O1582" s="1" t="s">
        <v>47</v>
      </c>
      <c r="P1582">
        <v>170591.75</v>
      </c>
      <c r="Q1582">
        <v>2023</v>
      </c>
      <c r="R1582">
        <v>134126.95879999999</v>
      </c>
      <c r="S1582">
        <v>-36464.791200000007</v>
      </c>
      <c r="T1582" s="1" t="s">
        <v>163</v>
      </c>
      <c r="U1582">
        <v>-0.271867725371851</v>
      </c>
    </row>
    <row r="1583" spans="1:21" x14ac:dyDescent="0.3">
      <c r="A1583" s="1" t="s">
        <v>15</v>
      </c>
      <c r="B1583" s="1" t="s">
        <v>107</v>
      </c>
      <c r="C1583" s="2">
        <v>44986</v>
      </c>
      <c r="D1583" s="1" t="s">
        <v>36</v>
      </c>
      <c r="E1583" s="1" t="s">
        <v>44</v>
      </c>
      <c r="F1583">
        <v>6773.89</v>
      </c>
      <c r="G1583">
        <v>28</v>
      </c>
      <c r="H1583" s="1" t="s">
        <v>19</v>
      </c>
      <c r="I1583">
        <v>2873.53</v>
      </c>
      <c r="J1583">
        <v>3108.3</v>
      </c>
      <c r="K1583" s="1" t="s">
        <v>26</v>
      </c>
      <c r="L1583">
        <v>0.15</v>
      </c>
      <c r="M1583" s="1" t="s">
        <v>27</v>
      </c>
      <c r="N1583" s="1" t="s">
        <v>33</v>
      </c>
      <c r="O1583" s="1" t="s">
        <v>71</v>
      </c>
      <c r="P1583">
        <v>80458.840000000011</v>
      </c>
      <c r="Q1583">
        <v>2023</v>
      </c>
      <c r="R1583">
        <v>73977.540000000008</v>
      </c>
      <c r="S1583">
        <v>-6481.3000000000029</v>
      </c>
      <c r="T1583" s="1" t="s">
        <v>163</v>
      </c>
      <c r="U1583">
        <v>-8.7611726478063506E-2</v>
      </c>
    </row>
    <row r="1584" spans="1:21" x14ac:dyDescent="0.3">
      <c r="A1584" s="1" t="s">
        <v>15</v>
      </c>
      <c r="B1584" s="1" t="s">
        <v>70</v>
      </c>
      <c r="C1584" s="2">
        <v>44986</v>
      </c>
      <c r="D1584" s="1" t="s">
        <v>25</v>
      </c>
      <c r="E1584" s="1" t="s">
        <v>44</v>
      </c>
      <c r="F1584">
        <v>4170.8</v>
      </c>
      <c r="G1584">
        <v>44</v>
      </c>
      <c r="H1584" s="1" t="s">
        <v>37</v>
      </c>
      <c r="I1584">
        <v>3288.39</v>
      </c>
      <c r="J1584">
        <v>3391.46</v>
      </c>
      <c r="K1584" s="1" t="s">
        <v>26</v>
      </c>
      <c r="L1584">
        <v>0.05</v>
      </c>
      <c r="M1584" s="1" t="s">
        <v>27</v>
      </c>
      <c r="N1584" s="1" t="s">
        <v>33</v>
      </c>
      <c r="O1584" s="1" t="s">
        <v>47</v>
      </c>
      <c r="P1584">
        <v>144689.16</v>
      </c>
      <c r="Q1584">
        <v>2023</v>
      </c>
      <c r="R1584">
        <v>141763.02799999999</v>
      </c>
      <c r="S1584">
        <v>-2926.1320000000123</v>
      </c>
      <c r="T1584" s="1" t="s">
        <v>163</v>
      </c>
      <c r="U1584">
        <v>-2.06410094457069E-2</v>
      </c>
    </row>
    <row r="1585" spans="1:21" x14ac:dyDescent="0.3">
      <c r="A1585" s="1" t="s">
        <v>15</v>
      </c>
      <c r="B1585" s="1" t="s">
        <v>69</v>
      </c>
      <c r="C1585" s="2">
        <v>44986</v>
      </c>
      <c r="D1585" s="1" t="s">
        <v>25</v>
      </c>
      <c r="E1585" s="1" t="s">
        <v>40</v>
      </c>
      <c r="F1585">
        <v>2842.42</v>
      </c>
      <c r="G1585">
        <v>45</v>
      </c>
      <c r="H1585" s="1" t="s">
        <v>57</v>
      </c>
      <c r="I1585">
        <v>2013.12</v>
      </c>
      <c r="J1585">
        <v>2321.87</v>
      </c>
      <c r="K1585" s="1" t="s">
        <v>26</v>
      </c>
      <c r="L1585">
        <v>0.18</v>
      </c>
      <c r="M1585" s="1" t="s">
        <v>32</v>
      </c>
      <c r="N1585" s="1" t="s">
        <v>33</v>
      </c>
      <c r="O1585" s="1" t="s">
        <v>83</v>
      </c>
      <c r="P1585">
        <v>90590.399999999994</v>
      </c>
      <c r="Q1585">
        <v>2023</v>
      </c>
      <c r="R1585">
        <v>85677.002999999997</v>
      </c>
      <c r="S1585">
        <v>-4913.3969999999972</v>
      </c>
      <c r="T1585" s="1" t="s">
        <v>163</v>
      </c>
      <c r="U1585">
        <v>-5.7347909333383199E-2</v>
      </c>
    </row>
    <row r="1586" spans="1:21" x14ac:dyDescent="0.3">
      <c r="A1586" s="1" t="s">
        <v>15</v>
      </c>
      <c r="B1586" s="1" t="s">
        <v>96</v>
      </c>
      <c r="C1586" s="2">
        <v>44987</v>
      </c>
      <c r="D1586" s="1" t="s">
        <v>17</v>
      </c>
      <c r="E1586" s="1" t="s">
        <v>40</v>
      </c>
      <c r="F1586">
        <v>9333.83</v>
      </c>
      <c r="G1586">
        <v>39</v>
      </c>
      <c r="H1586" s="1" t="s">
        <v>57</v>
      </c>
      <c r="I1586">
        <v>3542.8</v>
      </c>
      <c r="J1586">
        <v>3603.02</v>
      </c>
      <c r="K1586" s="1" t="s">
        <v>20</v>
      </c>
      <c r="L1586">
        <v>0.26</v>
      </c>
      <c r="M1586" s="1" t="s">
        <v>21</v>
      </c>
      <c r="N1586" s="1" t="s">
        <v>22</v>
      </c>
      <c r="O1586" s="1" t="s">
        <v>67</v>
      </c>
      <c r="P1586">
        <v>138169.20000000001</v>
      </c>
      <c r="Q1586">
        <v>2023</v>
      </c>
      <c r="R1586">
        <v>103983.1572</v>
      </c>
      <c r="S1586">
        <v>-34186.04280000001</v>
      </c>
      <c r="T1586" s="1" t="s">
        <v>163</v>
      </c>
      <c r="U1586">
        <v>-0.32876519352309103</v>
      </c>
    </row>
    <row r="1587" spans="1:21" x14ac:dyDescent="0.3">
      <c r="A1587" s="1" t="s">
        <v>15</v>
      </c>
      <c r="B1587" s="1" t="s">
        <v>58</v>
      </c>
      <c r="C1587" s="2">
        <v>44987</v>
      </c>
      <c r="D1587" s="1" t="s">
        <v>36</v>
      </c>
      <c r="E1587" s="1" t="s">
        <v>40</v>
      </c>
      <c r="F1587">
        <v>1260.32</v>
      </c>
      <c r="G1587">
        <v>39</v>
      </c>
      <c r="H1587" s="1" t="s">
        <v>57</v>
      </c>
      <c r="I1587">
        <v>4450.6099999999997</v>
      </c>
      <c r="J1587">
        <v>4663.34</v>
      </c>
      <c r="K1587" s="1" t="s">
        <v>26</v>
      </c>
      <c r="L1587">
        <v>0.24</v>
      </c>
      <c r="M1587" s="1" t="s">
        <v>21</v>
      </c>
      <c r="N1587" s="1" t="s">
        <v>33</v>
      </c>
      <c r="O1587" s="1" t="s">
        <v>41</v>
      </c>
      <c r="P1587">
        <v>173573.78999999998</v>
      </c>
      <c r="Q1587">
        <v>2023</v>
      </c>
      <c r="R1587">
        <v>138221.3976</v>
      </c>
      <c r="S1587">
        <v>-35352.392399999982</v>
      </c>
      <c r="T1587" s="1" t="s">
        <v>163</v>
      </c>
      <c r="U1587">
        <v>-0.25576642266566102</v>
      </c>
    </row>
    <row r="1588" spans="1:21" x14ac:dyDescent="0.3">
      <c r="A1588" s="1" t="s">
        <v>15</v>
      </c>
      <c r="B1588" s="1" t="s">
        <v>96</v>
      </c>
      <c r="C1588" s="2">
        <v>44987</v>
      </c>
      <c r="D1588" s="1" t="s">
        <v>17</v>
      </c>
      <c r="E1588" s="1" t="s">
        <v>44</v>
      </c>
      <c r="F1588">
        <v>5463.43</v>
      </c>
      <c r="G1588">
        <v>49</v>
      </c>
      <c r="H1588" s="1" t="s">
        <v>31</v>
      </c>
      <c r="I1588">
        <v>1307.22</v>
      </c>
      <c r="J1588">
        <v>1528.4</v>
      </c>
      <c r="K1588" s="1" t="s">
        <v>20</v>
      </c>
      <c r="L1588">
        <v>0.24</v>
      </c>
      <c r="M1588" s="1" t="s">
        <v>21</v>
      </c>
      <c r="N1588" s="1" t="s">
        <v>33</v>
      </c>
      <c r="O1588" s="1" t="s">
        <v>49</v>
      </c>
      <c r="P1588">
        <v>64053.78</v>
      </c>
      <c r="Q1588">
        <v>2023</v>
      </c>
      <c r="R1588">
        <v>56917.616000000002</v>
      </c>
      <c r="S1588">
        <v>-7136.163999999997</v>
      </c>
      <c r="T1588" s="1" t="s">
        <v>163</v>
      </c>
      <c r="U1588">
        <v>-0.125377071309522</v>
      </c>
    </row>
    <row r="1589" spans="1:21" x14ac:dyDescent="0.3">
      <c r="A1589" s="1" t="s">
        <v>15</v>
      </c>
      <c r="B1589" s="1" t="s">
        <v>121</v>
      </c>
      <c r="C1589" s="2">
        <v>44988</v>
      </c>
      <c r="D1589" s="1" t="s">
        <v>17</v>
      </c>
      <c r="E1589" s="1" t="s">
        <v>40</v>
      </c>
      <c r="F1589">
        <v>4694.54</v>
      </c>
      <c r="G1589">
        <v>1</v>
      </c>
      <c r="H1589" s="1" t="s">
        <v>57</v>
      </c>
      <c r="I1589">
        <v>2543.2600000000002</v>
      </c>
      <c r="J1589">
        <v>2637.91</v>
      </c>
      <c r="K1589" s="1" t="s">
        <v>20</v>
      </c>
      <c r="L1589">
        <v>0.2</v>
      </c>
      <c r="M1589" s="1" t="s">
        <v>27</v>
      </c>
      <c r="N1589" s="1" t="s">
        <v>22</v>
      </c>
      <c r="O1589" s="1" t="s">
        <v>67</v>
      </c>
      <c r="P1589">
        <v>2543.2600000000002</v>
      </c>
      <c r="Q1589">
        <v>2023</v>
      </c>
      <c r="R1589">
        <v>2110.328</v>
      </c>
      <c r="S1589">
        <v>-432.93200000000024</v>
      </c>
      <c r="T1589" s="1" t="s">
        <v>163</v>
      </c>
      <c r="U1589">
        <v>-0.20514915216971</v>
      </c>
    </row>
    <row r="1590" spans="1:21" x14ac:dyDescent="0.3">
      <c r="A1590" s="1" t="s">
        <v>15</v>
      </c>
      <c r="B1590" s="1" t="s">
        <v>112</v>
      </c>
      <c r="C1590" s="2">
        <v>44988</v>
      </c>
      <c r="D1590" s="1" t="s">
        <v>43</v>
      </c>
      <c r="E1590" s="1" t="s">
        <v>40</v>
      </c>
      <c r="F1590">
        <v>2494.7399999999998</v>
      </c>
      <c r="G1590">
        <v>47</v>
      </c>
      <c r="H1590" s="1" t="s">
        <v>37</v>
      </c>
      <c r="I1590">
        <v>2936.48</v>
      </c>
      <c r="J1590">
        <v>3096.64</v>
      </c>
      <c r="K1590" s="1" t="s">
        <v>26</v>
      </c>
      <c r="L1590">
        <v>0.06</v>
      </c>
      <c r="M1590" s="1" t="s">
        <v>32</v>
      </c>
      <c r="N1590" s="1" t="s">
        <v>22</v>
      </c>
      <c r="O1590" s="1" t="s">
        <v>99</v>
      </c>
      <c r="P1590">
        <v>138014.56</v>
      </c>
      <c r="Q1590">
        <v>2023</v>
      </c>
      <c r="R1590">
        <v>136809.55519999997</v>
      </c>
      <c r="S1590">
        <v>-1205.0048000000243</v>
      </c>
      <c r="T1590" s="1" t="s">
        <v>163</v>
      </c>
      <c r="U1590">
        <v>-8.8078994061375603E-3</v>
      </c>
    </row>
    <row r="1591" spans="1:21" x14ac:dyDescent="0.3">
      <c r="A1591" s="1" t="s">
        <v>15</v>
      </c>
      <c r="B1591" s="1" t="s">
        <v>24</v>
      </c>
      <c r="C1591" s="2">
        <v>44988</v>
      </c>
      <c r="D1591" s="1" t="s">
        <v>25</v>
      </c>
      <c r="E1591" s="1" t="s">
        <v>18</v>
      </c>
      <c r="F1591">
        <v>2122.73</v>
      </c>
      <c r="G1591">
        <v>4</v>
      </c>
      <c r="H1591" s="1" t="s">
        <v>31</v>
      </c>
      <c r="I1591">
        <v>4117.67</v>
      </c>
      <c r="J1591">
        <v>4280.0600000000004</v>
      </c>
      <c r="K1591" s="1" t="s">
        <v>20</v>
      </c>
      <c r="L1591">
        <v>0.18</v>
      </c>
      <c r="M1591" s="1" t="s">
        <v>32</v>
      </c>
      <c r="N1591" s="1" t="s">
        <v>22</v>
      </c>
      <c r="O1591" s="1" t="s">
        <v>28</v>
      </c>
      <c r="P1591">
        <v>16470.68</v>
      </c>
      <c r="Q1591">
        <v>2023</v>
      </c>
      <c r="R1591">
        <v>14038.596800000003</v>
      </c>
      <c r="S1591">
        <v>-2432.0831999999973</v>
      </c>
      <c r="T1591" s="1" t="s">
        <v>163</v>
      </c>
      <c r="U1591">
        <v>-0.17324261353527801</v>
      </c>
    </row>
    <row r="1592" spans="1:21" x14ac:dyDescent="0.3">
      <c r="A1592" s="1" t="s">
        <v>15</v>
      </c>
      <c r="B1592" s="1" t="s">
        <v>138</v>
      </c>
      <c r="C1592" s="2">
        <v>44988</v>
      </c>
      <c r="D1592" s="1" t="s">
        <v>17</v>
      </c>
      <c r="E1592" s="1" t="s">
        <v>44</v>
      </c>
      <c r="F1592">
        <v>6518.35</v>
      </c>
      <c r="G1592">
        <v>16</v>
      </c>
      <c r="H1592" s="1" t="s">
        <v>37</v>
      </c>
      <c r="I1592">
        <v>3591.05</v>
      </c>
      <c r="J1592">
        <v>3625.35</v>
      </c>
      <c r="K1592" s="1" t="s">
        <v>20</v>
      </c>
      <c r="L1592">
        <v>0.05</v>
      </c>
      <c r="M1592" s="1" t="s">
        <v>27</v>
      </c>
      <c r="N1592" s="1" t="s">
        <v>33</v>
      </c>
      <c r="O1592" s="1" t="s">
        <v>49</v>
      </c>
      <c r="P1592">
        <v>57456.800000000003</v>
      </c>
      <c r="Q1592">
        <v>2023</v>
      </c>
      <c r="R1592">
        <v>55105.319999999992</v>
      </c>
      <c r="S1592">
        <v>-2351.4800000000105</v>
      </c>
      <c r="T1592" s="1" t="s">
        <v>163</v>
      </c>
      <c r="U1592">
        <v>-4.2672467921427697E-2</v>
      </c>
    </row>
    <row r="1593" spans="1:21" x14ac:dyDescent="0.3">
      <c r="A1593" s="1" t="s">
        <v>15</v>
      </c>
      <c r="B1593" s="1" t="s">
        <v>42</v>
      </c>
      <c r="C1593" s="2">
        <v>44989</v>
      </c>
      <c r="D1593" s="1" t="s">
        <v>36</v>
      </c>
      <c r="E1593" s="1" t="s">
        <v>44</v>
      </c>
      <c r="F1593">
        <v>7952.11</v>
      </c>
      <c r="G1593">
        <v>10</v>
      </c>
      <c r="H1593" s="1" t="s">
        <v>31</v>
      </c>
      <c r="I1593">
        <v>1531.2</v>
      </c>
      <c r="J1593">
        <v>1955.56</v>
      </c>
      <c r="K1593" s="1" t="s">
        <v>26</v>
      </c>
      <c r="L1593">
        <v>0</v>
      </c>
      <c r="M1593" s="1" t="s">
        <v>27</v>
      </c>
      <c r="N1593" s="1" t="s">
        <v>22</v>
      </c>
      <c r="O1593" s="1" t="s">
        <v>71</v>
      </c>
      <c r="P1593">
        <v>15312</v>
      </c>
      <c r="Q1593">
        <v>2023</v>
      </c>
      <c r="R1593">
        <v>19555.599999999999</v>
      </c>
      <c r="S1593">
        <v>4243.5999999999985</v>
      </c>
      <c r="T1593" s="1" t="s">
        <v>163</v>
      </c>
      <c r="U1593">
        <v>0.21700177954141001</v>
      </c>
    </row>
    <row r="1594" spans="1:21" x14ac:dyDescent="0.3">
      <c r="A1594" s="1" t="s">
        <v>15</v>
      </c>
      <c r="B1594" s="1" t="s">
        <v>29</v>
      </c>
      <c r="C1594" s="2">
        <v>44989</v>
      </c>
      <c r="D1594" s="1" t="s">
        <v>43</v>
      </c>
      <c r="E1594" s="1" t="s">
        <v>30</v>
      </c>
      <c r="F1594">
        <v>8771.24</v>
      </c>
      <c r="G1594">
        <v>15</v>
      </c>
      <c r="H1594" s="1" t="s">
        <v>37</v>
      </c>
      <c r="I1594">
        <v>3653.66</v>
      </c>
      <c r="J1594">
        <v>3896.19</v>
      </c>
      <c r="K1594" s="1" t="s">
        <v>26</v>
      </c>
      <c r="L1594">
        <v>0.03</v>
      </c>
      <c r="M1594" s="1" t="s">
        <v>27</v>
      </c>
      <c r="N1594" s="1" t="s">
        <v>33</v>
      </c>
      <c r="O1594" s="1" t="s">
        <v>54</v>
      </c>
      <c r="P1594">
        <v>54804.899999999994</v>
      </c>
      <c r="Q1594">
        <v>2023</v>
      </c>
      <c r="R1594">
        <v>56689.5645</v>
      </c>
      <c r="S1594">
        <v>1884.6645000000062</v>
      </c>
      <c r="T1594" s="1" t="s">
        <v>163</v>
      </c>
      <c r="U1594">
        <v>3.3245351532026797E-2</v>
      </c>
    </row>
    <row r="1595" spans="1:21" x14ac:dyDescent="0.3">
      <c r="A1595" s="1" t="s">
        <v>15</v>
      </c>
      <c r="B1595" s="1" t="s">
        <v>95</v>
      </c>
      <c r="C1595" s="2">
        <v>44989</v>
      </c>
      <c r="D1595" s="1" t="s">
        <v>43</v>
      </c>
      <c r="E1595" s="1" t="s">
        <v>40</v>
      </c>
      <c r="F1595">
        <v>8499.41</v>
      </c>
      <c r="G1595">
        <v>14</v>
      </c>
      <c r="H1595" s="1" t="s">
        <v>19</v>
      </c>
      <c r="I1595">
        <v>362.38</v>
      </c>
      <c r="J1595">
        <v>753.81</v>
      </c>
      <c r="K1595" s="1" t="s">
        <v>20</v>
      </c>
      <c r="L1595">
        <v>0.19</v>
      </c>
      <c r="M1595" s="1" t="s">
        <v>21</v>
      </c>
      <c r="N1595" s="1" t="s">
        <v>33</v>
      </c>
      <c r="O1595" s="1" t="s">
        <v>99</v>
      </c>
      <c r="P1595">
        <v>5073.32</v>
      </c>
      <c r="Q1595">
        <v>2023</v>
      </c>
      <c r="R1595">
        <v>8548.2054000000007</v>
      </c>
      <c r="S1595">
        <v>3474.885400000001</v>
      </c>
      <c r="T1595" s="1" t="s">
        <v>163</v>
      </c>
      <c r="U1595">
        <v>0.40650466821960102</v>
      </c>
    </row>
    <row r="1596" spans="1:21" x14ac:dyDescent="0.3">
      <c r="A1596" s="1" t="s">
        <v>15</v>
      </c>
      <c r="B1596" s="1" t="s">
        <v>79</v>
      </c>
      <c r="C1596" s="2">
        <v>44989</v>
      </c>
      <c r="D1596" s="1" t="s">
        <v>43</v>
      </c>
      <c r="E1596" s="1" t="s">
        <v>18</v>
      </c>
      <c r="F1596">
        <v>3992.63</v>
      </c>
      <c r="G1596">
        <v>49</v>
      </c>
      <c r="H1596" s="1" t="s">
        <v>57</v>
      </c>
      <c r="I1596">
        <v>615.47</v>
      </c>
      <c r="J1596">
        <v>715.84</v>
      </c>
      <c r="K1596" s="1" t="s">
        <v>20</v>
      </c>
      <c r="L1596">
        <v>0.21</v>
      </c>
      <c r="M1596" s="1" t="s">
        <v>27</v>
      </c>
      <c r="N1596" s="1" t="s">
        <v>33</v>
      </c>
      <c r="O1596" s="1" t="s">
        <v>62</v>
      </c>
      <c r="P1596">
        <v>30158.030000000002</v>
      </c>
      <c r="Q1596">
        <v>2023</v>
      </c>
      <c r="R1596">
        <v>27710.166400000006</v>
      </c>
      <c r="S1596">
        <v>-2447.8635999999969</v>
      </c>
      <c r="T1596" s="1" t="s">
        <v>163</v>
      </c>
      <c r="U1596">
        <v>-8.8338105396581004E-2</v>
      </c>
    </row>
    <row r="1597" spans="1:21" x14ac:dyDescent="0.3">
      <c r="A1597" s="1" t="s">
        <v>15</v>
      </c>
      <c r="B1597" s="1" t="s">
        <v>104</v>
      </c>
      <c r="C1597" s="2">
        <v>44989</v>
      </c>
      <c r="D1597" s="1" t="s">
        <v>36</v>
      </c>
      <c r="E1597" s="1" t="s">
        <v>44</v>
      </c>
      <c r="F1597">
        <v>198.79</v>
      </c>
      <c r="G1597">
        <v>1</v>
      </c>
      <c r="H1597" s="1" t="s">
        <v>19</v>
      </c>
      <c r="I1597">
        <v>3223.07</v>
      </c>
      <c r="J1597">
        <v>3590.83</v>
      </c>
      <c r="K1597" s="1" t="s">
        <v>26</v>
      </c>
      <c r="L1597">
        <v>0.19</v>
      </c>
      <c r="M1597" s="1" t="s">
        <v>32</v>
      </c>
      <c r="N1597" s="1" t="s">
        <v>33</v>
      </c>
      <c r="O1597" s="1" t="s">
        <v>71</v>
      </c>
      <c r="P1597">
        <v>3223.07</v>
      </c>
      <c r="Q1597">
        <v>2023</v>
      </c>
      <c r="R1597">
        <v>2908.5723000000003</v>
      </c>
      <c r="S1597">
        <v>-314.4976999999999</v>
      </c>
      <c r="T1597" s="1" t="s">
        <v>163</v>
      </c>
      <c r="U1597">
        <v>-0.108127860531437</v>
      </c>
    </row>
    <row r="1598" spans="1:21" x14ac:dyDescent="0.3">
      <c r="A1598" s="1" t="s">
        <v>15</v>
      </c>
      <c r="B1598" s="1" t="s">
        <v>96</v>
      </c>
      <c r="C1598" s="2">
        <v>44990</v>
      </c>
      <c r="D1598" s="1" t="s">
        <v>17</v>
      </c>
      <c r="E1598" s="1" t="s">
        <v>18</v>
      </c>
      <c r="F1598">
        <v>252.41</v>
      </c>
      <c r="G1598">
        <v>48</v>
      </c>
      <c r="H1598" s="1" t="s">
        <v>31</v>
      </c>
      <c r="I1598">
        <v>2596.7199999999998</v>
      </c>
      <c r="J1598">
        <v>2715.05</v>
      </c>
      <c r="K1598" s="1" t="s">
        <v>20</v>
      </c>
      <c r="L1598">
        <v>0.04</v>
      </c>
      <c r="M1598" s="1" t="s">
        <v>21</v>
      </c>
      <c r="N1598" s="1" t="s">
        <v>22</v>
      </c>
      <c r="O1598" s="1" t="s">
        <v>23</v>
      </c>
      <c r="P1598">
        <v>124642.56</v>
      </c>
      <c r="Q1598">
        <v>2023</v>
      </c>
      <c r="R1598">
        <v>125109.504</v>
      </c>
      <c r="S1598">
        <v>466.94400000000314</v>
      </c>
      <c r="T1598" s="1" t="s">
        <v>163</v>
      </c>
      <c r="U1598">
        <v>3.7322824011835499E-3</v>
      </c>
    </row>
    <row r="1599" spans="1:21" x14ac:dyDescent="0.3">
      <c r="A1599" s="1" t="s">
        <v>15</v>
      </c>
      <c r="B1599" s="1" t="s">
        <v>131</v>
      </c>
      <c r="C1599" s="2">
        <v>44990</v>
      </c>
      <c r="D1599" s="1" t="s">
        <v>43</v>
      </c>
      <c r="E1599" s="1" t="s">
        <v>18</v>
      </c>
      <c r="F1599">
        <v>9755.9</v>
      </c>
      <c r="G1599">
        <v>20</v>
      </c>
      <c r="H1599" s="1" t="s">
        <v>37</v>
      </c>
      <c r="I1599">
        <v>3318.92</v>
      </c>
      <c r="J1599">
        <v>3785.91</v>
      </c>
      <c r="K1599" s="1" t="s">
        <v>26</v>
      </c>
      <c r="L1599">
        <v>0.24</v>
      </c>
      <c r="M1599" s="1" t="s">
        <v>32</v>
      </c>
      <c r="N1599" s="1" t="s">
        <v>22</v>
      </c>
      <c r="O1599" s="1" t="s">
        <v>62</v>
      </c>
      <c r="P1599">
        <v>66378.399999999994</v>
      </c>
      <c r="Q1599">
        <v>2023</v>
      </c>
      <c r="R1599">
        <v>57545.831999999995</v>
      </c>
      <c r="S1599">
        <v>-8832.5679999999993</v>
      </c>
      <c r="T1599" s="1" t="s">
        <v>163</v>
      </c>
      <c r="U1599">
        <v>-0.15348753668206599</v>
      </c>
    </row>
    <row r="1600" spans="1:21" x14ac:dyDescent="0.3">
      <c r="A1600" s="1" t="s">
        <v>15</v>
      </c>
      <c r="B1600" s="1" t="s">
        <v>97</v>
      </c>
      <c r="C1600" s="2">
        <v>44991</v>
      </c>
      <c r="D1600" s="1" t="s">
        <v>59</v>
      </c>
      <c r="E1600" s="1" t="s">
        <v>30</v>
      </c>
      <c r="F1600">
        <v>9602.64</v>
      </c>
      <c r="G1600">
        <v>35</v>
      </c>
      <c r="H1600" s="1" t="s">
        <v>37</v>
      </c>
      <c r="I1600">
        <v>1258.53</v>
      </c>
      <c r="J1600">
        <v>1624.89</v>
      </c>
      <c r="K1600" s="1" t="s">
        <v>26</v>
      </c>
      <c r="L1600">
        <v>0.08</v>
      </c>
      <c r="M1600" s="1" t="s">
        <v>27</v>
      </c>
      <c r="N1600" s="1" t="s">
        <v>22</v>
      </c>
      <c r="O1600" s="1" t="s">
        <v>86</v>
      </c>
      <c r="P1600">
        <v>44048.549999999996</v>
      </c>
      <c r="Q1600">
        <v>2023</v>
      </c>
      <c r="R1600">
        <v>52321.458000000006</v>
      </c>
      <c r="S1600">
        <v>8272.9080000000104</v>
      </c>
      <c r="T1600" s="1" t="s">
        <v>163</v>
      </c>
      <c r="U1600">
        <v>0.15811692403525901</v>
      </c>
    </row>
    <row r="1601" spans="1:21" x14ac:dyDescent="0.3">
      <c r="A1601" s="1" t="s">
        <v>15</v>
      </c>
      <c r="B1601" s="1" t="s">
        <v>139</v>
      </c>
      <c r="C1601" s="2">
        <v>44993</v>
      </c>
      <c r="D1601" s="1" t="s">
        <v>59</v>
      </c>
      <c r="E1601" s="1" t="s">
        <v>18</v>
      </c>
      <c r="F1601">
        <v>4426.26</v>
      </c>
      <c r="G1601">
        <v>12</v>
      </c>
      <c r="H1601" s="1" t="s">
        <v>19</v>
      </c>
      <c r="I1601">
        <v>253.29</v>
      </c>
      <c r="J1601">
        <v>683.78</v>
      </c>
      <c r="K1601" s="1" t="s">
        <v>26</v>
      </c>
      <c r="L1601">
        <v>0.25</v>
      </c>
      <c r="M1601" s="1" t="s">
        <v>27</v>
      </c>
      <c r="N1601" s="1" t="s">
        <v>22</v>
      </c>
      <c r="O1601" s="1" t="s">
        <v>77</v>
      </c>
      <c r="P1601">
        <v>3039.48</v>
      </c>
      <c r="Q1601">
        <v>2023</v>
      </c>
      <c r="R1601">
        <v>6154.02</v>
      </c>
      <c r="S1601">
        <v>3114.5400000000004</v>
      </c>
      <c r="T1601" s="1" t="s">
        <v>163</v>
      </c>
      <c r="U1601">
        <v>0.50609845271871101</v>
      </c>
    </row>
    <row r="1602" spans="1:21" x14ac:dyDescent="0.3">
      <c r="A1602" s="1" t="s">
        <v>15</v>
      </c>
      <c r="B1602" s="1" t="s">
        <v>73</v>
      </c>
      <c r="C1602" s="2">
        <v>44993</v>
      </c>
      <c r="D1602" s="1" t="s">
        <v>43</v>
      </c>
      <c r="E1602" s="1" t="s">
        <v>44</v>
      </c>
      <c r="F1602">
        <v>7078.22</v>
      </c>
      <c r="G1602">
        <v>28</v>
      </c>
      <c r="H1602" s="1" t="s">
        <v>37</v>
      </c>
      <c r="I1602">
        <v>3489.85</v>
      </c>
      <c r="J1602">
        <v>3842.55</v>
      </c>
      <c r="K1602" s="1" t="s">
        <v>26</v>
      </c>
      <c r="L1602">
        <v>0.03</v>
      </c>
      <c r="M1602" s="1" t="s">
        <v>32</v>
      </c>
      <c r="N1602" s="1" t="s">
        <v>22</v>
      </c>
      <c r="O1602" s="1" t="s">
        <v>45</v>
      </c>
      <c r="P1602">
        <v>97715.8</v>
      </c>
      <c r="Q1602">
        <v>2023</v>
      </c>
      <c r="R1602">
        <v>104363.65800000001</v>
      </c>
      <c r="S1602">
        <v>6647.8580000000075</v>
      </c>
      <c r="T1602" s="1" t="s">
        <v>163</v>
      </c>
      <c r="U1602">
        <v>6.3698974598993097E-2</v>
      </c>
    </row>
    <row r="1603" spans="1:21" x14ac:dyDescent="0.3">
      <c r="A1603" s="1" t="s">
        <v>15</v>
      </c>
      <c r="B1603" s="1" t="s">
        <v>96</v>
      </c>
      <c r="C1603" s="2">
        <v>44994</v>
      </c>
      <c r="D1603" s="1" t="s">
        <v>17</v>
      </c>
      <c r="E1603" s="1" t="s">
        <v>30</v>
      </c>
      <c r="F1603">
        <v>3788.08</v>
      </c>
      <c r="G1603">
        <v>40</v>
      </c>
      <c r="H1603" s="1" t="s">
        <v>31</v>
      </c>
      <c r="I1603">
        <v>2249.7600000000002</v>
      </c>
      <c r="J1603">
        <v>2598.4</v>
      </c>
      <c r="K1603" s="1" t="s">
        <v>20</v>
      </c>
      <c r="L1603">
        <v>0.18</v>
      </c>
      <c r="M1603" s="1" t="s">
        <v>27</v>
      </c>
      <c r="N1603" s="1" t="s">
        <v>33</v>
      </c>
      <c r="O1603" s="1" t="s">
        <v>34</v>
      </c>
      <c r="P1603">
        <v>89990.400000000009</v>
      </c>
      <c r="Q1603">
        <v>2023</v>
      </c>
      <c r="R1603">
        <v>85227.520000000004</v>
      </c>
      <c r="S1603">
        <v>-4762.8800000000047</v>
      </c>
      <c r="T1603" s="1" t="s">
        <v>163</v>
      </c>
      <c r="U1603">
        <v>-5.5884296527694402E-2</v>
      </c>
    </row>
    <row r="1604" spans="1:21" x14ac:dyDescent="0.3">
      <c r="A1604" s="1" t="s">
        <v>15</v>
      </c>
      <c r="B1604" s="1" t="s">
        <v>101</v>
      </c>
      <c r="C1604" s="2">
        <v>44995</v>
      </c>
      <c r="D1604" s="1" t="s">
        <v>25</v>
      </c>
      <c r="E1604" s="1" t="s">
        <v>44</v>
      </c>
      <c r="F1604">
        <v>2331.27</v>
      </c>
      <c r="G1604">
        <v>13</v>
      </c>
      <c r="H1604" s="1" t="s">
        <v>19</v>
      </c>
      <c r="I1604">
        <v>2750.18</v>
      </c>
      <c r="J1604">
        <v>2882.85</v>
      </c>
      <c r="K1604" s="1" t="s">
        <v>20</v>
      </c>
      <c r="L1604">
        <v>0.24</v>
      </c>
      <c r="M1604" s="1" t="s">
        <v>27</v>
      </c>
      <c r="N1604" s="1" t="s">
        <v>22</v>
      </c>
      <c r="O1604" s="1" t="s">
        <v>47</v>
      </c>
      <c r="P1604">
        <v>35752.339999999997</v>
      </c>
      <c r="Q1604">
        <v>2023</v>
      </c>
      <c r="R1604">
        <v>28482.557999999997</v>
      </c>
      <c r="S1604">
        <v>-7269.7819999999992</v>
      </c>
      <c r="T1604" s="1" t="s">
        <v>163</v>
      </c>
      <c r="U1604">
        <v>-0.25523627477560101</v>
      </c>
    </row>
    <row r="1605" spans="1:21" x14ac:dyDescent="0.3">
      <c r="A1605" s="1" t="s">
        <v>15</v>
      </c>
      <c r="B1605" s="1" t="s">
        <v>48</v>
      </c>
      <c r="C1605" s="2">
        <v>44995</v>
      </c>
      <c r="D1605" s="1" t="s">
        <v>17</v>
      </c>
      <c r="E1605" s="1" t="s">
        <v>30</v>
      </c>
      <c r="F1605">
        <v>3985.34</v>
      </c>
      <c r="G1605">
        <v>21</v>
      </c>
      <c r="H1605" s="1" t="s">
        <v>57</v>
      </c>
      <c r="I1605">
        <v>2511.41</v>
      </c>
      <c r="J1605">
        <v>2848.4</v>
      </c>
      <c r="K1605" s="1" t="s">
        <v>20</v>
      </c>
      <c r="L1605">
        <v>0.06</v>
      </c>
      <c r="M1605" s="1" t="s">
        <v>32</v>
      </c>
      <c r="N1605" s="1" t="s">
        <v>22</v>
      </c>
      <c r="O1605" s="1" t="s">
        <v>34</v>
      </c>
      <c r="P1605">
        <v>52739.61</v>
      </c>
      <c r="Q1605">
        <v>2023</v>
      </c>
      <c r="R1605">
        <v>56227.415999999997</v>
      </c>
      <c r="S1605">
        <v>3487.8059999999969</v>
      </c>
      <c r="T1605" s="1" t="s">
        <v>163</v>
      </c>
      <c r="U1605">
        <v>6.2030344769889403E-2</v>
      </c>
    </row>
    <row r="1606" spans="1:21" x14ac:dyDescent="0.3">
      <c r="A1606" s="1" t="s">
        <v>15</v>
      </c>
      <c r="B1606" s="1" t="s">
        <v>101</v>
      </c>
      <c r="C1606" s="2">
        <v>44995</v>
      </c>
      <c r="D1606" s="1" t="s">
        <v>59</v>
      </c>
      <c r="E1606" s="1" t="s">
        <v>44</v>
      </c>
      <c r="F1606">
        <v>1004.78</v>
      </c>
      <c r="G1606">
        <v>42</v>
      </c>
      <c r="H1606" s="1" t="s">
        <v>37</v>
      </c>
      <c r="I1606">
        <v>4205.29</v>
      </c>
      <c r="J1606">
        <v>4382.3500000000004</v>
      </c>
      <c r="K1606" s="1" t="s">
        <v>26</v>
      </c>
      <c r="L1606">
        <v>0.25</v>
      </c>
      <c r="M1606" s="1" t="s">
        <v>21</v>
      </c>
      <c r="N1606" s="1" t="s">
        <v>33</v>
      </c>
      <c r="O1606" s="1" t="s">
        <v>60</v>
      </c>
      <c r="P1606">
        <v>176622.18</v>
      </c>
      <c r="Q1606">
        <v>2023</v>
      </c>
      <c r="R1606">
        <v>138044.02500000002</v>
      </c>
      <c r="S1606">
        <v>-38578.15499999997</v>
      </c>
      <c r="T1606" s="1" t="s">
        <v>163</v>
      </c>
      <c r="U1606">
        <v>-0.27946269315169497</v>
      </c>
    </row>
    <row r="1607" spans="1:21" x14ac:dyDescent="0.3">
      <c r="A1607" s="1" t="s">
        <v>15</v>
      </c>
      <c r="B1607" s="1" t="s">
        <v>123</v>
      </c>
      <c r="C1607" s="2">
        <v>44996</v>
      </c>
      <c r="D1607" s="1" t="s">
        <v>43</v>
      </c>
      <c r="E1607" s="1" t="s">
        <v>30</v>
      </c>
      <c r="F1607">
        <v>1452.35</v>
      </c>
      <c r="G1607">
        <v>15</v>
      </c>
      <c r="H1607" s="1" t="s">
        <v>19</v>
      </c>
      <c r="I1607">
        <v>2543.36</v>
      </c>
      <c r="J1607">
        <v>2790.1</v>
      </c>
      <c r="K1607" s="1" t="s">
        <v>20</v>
      </c>
      <c r="L1607">
        <v>7.0000000000000007E-2</v>
      </c>
      <c r="M1607" s="1" t="s">
        <v>21</v>
      </c>
      <c r="N1607" s="1" t="s">
        <v>22</v>
      </c>
      <c r="O1607" s="1" t="s">
        <v>54</v>
      </c>
      <c r="P1607">
        <v>38150.400000000001</v>
      </c>
      <c r="Q1607">
        <v>2023</v>
      </c>
      <c r="R1607">
        <v>38921.894999999997</v>
      </c>
      <c r="S1607">
        <v>771.49499999999534</v>
      </c>
      <c r="T1607" s="1" t="s">
        <v>163</v>
      </c>
      <c r="U1607">
        <v>1.98216196821865E-2</v>
      </c>
    </row>
    <row r="1608" spans="1:21" x14ac:dyDescent="0.3">
      <c r="A1608" s="1" t="s">
        <v>15</v>
      </c>
      <c r="B1608" s="1" t="s">
        <v>119</v>
      </c>
      <c r="C1608" s="2">
        <v>44998</v>
      </c>
      <c r="D1608" s="1" t="s">
        <v>43</v>
      </c>
      <c r="E1608" s="1" t="s">
        <v>30</v>
      </c>
      <c r="F1608">
        <v>6321.42</v>
      </c>
      <c r="G1608">
        <v>11</v>
      </c>
      <c r="H1608" s="1" t="s">
        <v>19</v>
      </c>
      <c r="I1608">
        <v>2594.71</v>
      </c>
      <c r="J1608">
        <v>2769.52</v>
      </c>
      <c r="K1608" s="1" t="s">
        <v>20</v>
      </c>
      <c r="L1608">
        <v>0.01</v>
      </c>
      <c r="M1608" s="1" t="s">
        <v>32</v>
      </c>
      <c r="N1608" s="1" t="s">
        <v>33</v>
      </c>
      <c r="O1608" s="1" t="s">
        <v>54</v>
      </c>
      <c r="P1608">
        <v>28541.81</v>
      </c>
      <c r="Q1608">
        <v>2023</v>
      </c>
      <c r="R1608">
        <v>30160.072800000002</v>
      </c>
      <c r="S1608">
        <v>1618.2628000000004</v>
      </c>
      <c r="T1608" s="1" t="s">
        <v>163</v>
      </c>
      <c r="U1608">
        <v>5.36557988679656E-2</v>
      </c>
    </row>
    <row r="1609" spans="1:21" x14ac:dyDescent="0.3">
      <c r="A1609" s="1" t="s">
        <v>15</v>
      </c>
      <c r="B1609" s="1" t="s">
        <v>140</v>
      </c>
      <c r="C1609" s="2">
        <v>44998</v>
      </c>
      <c r="D1609" s="1" t="s">
        <v>59</v>
      </c>
      <c r="E1609" s="1" t="s">
        <v>18</v>
      </c>
      <c r="F1609">
        <v>5768.81</v>
      </c>
      <c r="G1609">
        <v>20</v>
      </c>
      <c r="H1609" s="1" t="s">
        <v>37</v>
      </c>
      <c r="I1609">
        <v>4741.59</v>
      </c>
      <c r="J1609">
        <v>4975.2299999999996</v>
      </c>
      <c r="K1609" s="1" t="s">
        <v>26</v>
      </c>
      <c r="L1609">
        <v>0.09</v>
      </c>
      <c r="M1609" s="1" t="s">
        <v>27</v>
      </c>
      <c r="N1609" s="1" t="s">
        <v>22</v>
      </c>
      <c r="O1609" s="1" t="s">
        <v>77</v>
      </c>
      <c r="P1609">
        <v>94831.8</v>
      </c>
      <c r="Q1609">
        <v>2023</v>
      </c>
      <c r="R1609">
        <v>90549.186000000002</v>
      </c>
      <c r="S1609">
        <v>-4282.6140000000014</v>
      </c>
      <c r="T1609" s="1" t="s">
        <v>163</v>
      </c>
      <c r="U1609">
        <v>-4.7295996675221399E-2</v>
      </c>
    </row>
    <row r="1610" spans="1:21" x14ac:dyDescent="0.3">
      <c r="A1610" s="1" t="s">
        <v>15</v>
      </c>
      <c r="B1610" s="1" t="s">
        <v>123</v>
      </c>
      <c r="C1610" s="2">
        <v>44998</v>
      </c>
      <c r="D1610" s="1" t="s">
        <v>36</v>
      </c>
      <c r="E1610" s="1" t="s">
        <v>18</v>
      </c>
      <c r="F1610">
        <v>763.46</v>
      </c>
      <c r="G1610">
        <v>9</v>
      </c>
      <c r="H1610" s="1" t="s">
        <v>19</v>
      </c>
      <c r="I1610">
        <v>400.42</v>
      </c>
      <c r="J1610">
        <v>446.11</v>
      </c>
      <c r="K1610" s="1" t="s">
        <v>26</v>
      </c>
      <c r="L1610">
        <v>0.01</v>
      </c>
      <c r="M1610" s="1" t="s">
        <v>32</v>
      </c>
      <c r="N1610" s="1" t="s">
        <v>33</v>
      </c>
      <c r="O1610" s="1" t="s">
        <v>115</v>
      </c>
      <c r="P1610">
        <v>3603.78</v>
      </c>
      <c r="Q1610">
        <v>2023</v>
      </c>
      <c r="R1610">
        <v>3974.8401000000003</v>
      </c>
      <c r="S1610">
        <v>371.06010000000015</v>
      </c>
      <c r="T1610" s="1" t="s">
        <v>163</v>
      </c>
      <c r="U1610">
        <v>9.33522080548599E-2</v>
      </c>
    </row>
    <row r="1611" spans="1:21" x14ac:dyDescent="0.3">
      <c r="A1611" s="1" t="s">
        <v>15</v>
      </c>
      <c r="B1611" s="1" t="s">
        <v>124</v>
      </c>
      <c r="C1611" s="2">
        <v>44998</v>
      </c>
      <c r="D1611" s="1" t="s">
        <v>59</v>
      </c>
      <c r="E1611" s="1" t="s">
        <v>18</v>
      </c>
      <c r="F1611">
        <v>9385.86</v>
      </c>
      <c r="G1611">
        <v>39</v>
      </c>
      <c r="H1611" s="1" t="s">
        <v>57</v>
      </c>
      <c r="I1611">
        <v>2511.2800000000002</v>
      </c>
      <c r="J1611">
        <v>2658.06</v>
      </c>
      <c r="K1611" s="1" t="s">
        <v>26</v>
      </c>
      <c r="L1611">
        <v>0.19</v>
      </c>
      <c r="M1611" s="1" t="s">
        <v>27</v>
      </c>
      <c r="N1611" s="1" t="s">
        <v>33</v>
      </c>
      <c r="O1611" s="1" t="s">
        <v>77</v>
      </c>
      <c r="P1611">
        <v>97939.920000000013</v>
      </c>
      <c r="Q1611">
        <v>2023</v>
      </c>
      <c r="R1611">
        <v>83968.11540000001</v>
      </c>
      <c r="S1611">
        <v>-13971.804600000003</v>
      </c>
      <c r="T1611" s="1" t="s">
        <v>163</v>
      </c>
      <c r="U1611">
        <v>-0.16639416680298599</v>
      </c>
    </row>
    <row r="1612" spans="1:21" x14ac:dyDescent="0.3">
      <c r="A1612" s="1" t="s">
        <v>15</v>
      </c>
      <c r="B1612" s="1" t="s">
        <v>55</v>
      </c>
      <c r="C1612" s="2">
        <v>44999</v>
      </c>
      <c r="D1612" s="1" t="s">
        <v>36</v>
      </c>
      <c r="E1612" s="1" t="s">
        <v>44</v>
      </c>
      <c r="F1612">
        <v>6761.43</v>
      </c>
      <c r="G1612">
        <v>47</v>
      </c>
      <c r="H1612" s="1" t="s">
        <v>31</v>
      </c>
      <c r="I1612">
        <v>2310.8200000000002</v>
      </c>
      <c r="J1612">
        <v>2714.71</v>
      </c>
      <c r="K1612" s="1" t="s">
        <v>26</v>
      </c>
      <c r="L1612">
        <v>0.19</v>
      </c>
      <c r="M1612" s="1" t="s">
        <v>21</v>
      </c>
      <c r="N1612" s="1" t="s">
        <v>33</v>
      </c>
      <c r="O1612" s="1" t="s">
        <v>71</v>
      </c>
      <c r="P1612">
        <v>108608.54000000001</v>
      </c>
      <c r="Q1612">
        <v>2023</v>
      </c>
      <c r="R1612">
        <v>103349.00970000001</v>
      </c>
      <c r="S1612">
        <v>-5259.5302999999985</v>
      </c>
      <c r="T1612" s="1" t="s">
        <v>163</v>
      </c>
      <c r="U1612">
        <v>-5.0890959819230801E-2</v>
      </c>
    </row>
    <row r="1613" spans="1:21" x14ac:dyDescent="0.3">
      <c r="A1613" s="1" t="s">
        <v>15</v>
      </c>
      <c r="B1613" s="1" t="s">
        <v>63</v>
      </c>
      <c r="C1613" s="2">
        <v>44999</v>
      </c>
      <c r="D1613" s="1" t="s">
        <v>59</v>
      </c>
      <c r="E1613" s="1" t="s">
        <v>44</v>
      </c>
      <c r="F1613">
        <v>4178.3900000000003</v>
      </c>
      <c r="G1613">
        <v>24</v>
      </c>
      <c r="H1613" s="1" t="s">
        <v>57</v>
      </c>
      <c r="I1613">
        <v>3018.01</v>
      </c>
      <c r="J1613">
        <v>3418.19</v>
      </c>
      <c r="K1613" s="1" t="s">
        <v>20</v>
      </c>
      <c r="L1613">
        <v>0.23</v>
      </c>
      <c r="M1613" s="1" t="s">
        <v>32</v>
      </c>
      <c r="N1613" s="1" t="s">
        <v>33</v>
      </c>
      <c r="O1613" s="1" t="s">
        <v>60</v>
      </c>
      <c r="P1613">
        <v>72432.240000000005</v>
      </c>
      <c r="Q1613">
        <v>2023</v>
      </c>
      <c r="R1613">
        <v>63168.1512</v>
      </c>
      <c r="S1613">
        <v>-9264.088800000005</v>
      </c>
      <c r="T1613" s="1" t="s">
        <v>163</v>
      </c>
      <c r="U1613">
        <v>-0.14665758968737999</v>
      </c>
    </row>
    <row r="1614" spans="1:21" x14ac:dyDescent="0.3">
      <c r="A1614" s="1" t="s">
        <v>15</v>
      </c>
      <c r="B1614" s="1" t="s">
        <v>64</v>
      </c>
      <c r="C1614" s="2">
        <v>44999</v>
      </c>
      <c r="D1614" s="1" t="s">
        <v>36</v>
      </c>
      <c r="E1614" s="1" t="s">
        <v>30</v>
      </c>
      <c r="F1614">
        <v>7792.79</v>
      </c>
      <c r="G1614">
        <v>23</v>
      </c>
      <c r="H1614" s="1" t="s">
        <v>57</v>
      </c>
      <c r="I1614">
        <v>580.75</v>
      </c>
      <c r="J1614">
        <v>956.16</v>
      </c>
      <c r="K1614" s="1" t="s">
        <v>20</v>
      </c>
      <c r="L1614">
        <v>7.0000000000000007E-2</v>
      </c>
      <c r="M1614" s="1" t="s">
        <v>21</v>
      </c>
      <c r="N1614" s="1" t="s">
        <v>33</v>
      </c>
      <c r="O1614" s="1" t="s">
        <v>38</v>
      </c>
      <c r="P1614">
        <v>13357.25</v>
      </c>
      <c r="Q1614">
        <v>2023</v>
      </c>
      <c r="R1614">
        <v>20452.2624</v>
      </c>
      <c r="S1614">
        <v>7095.0123999999996</v>
      </c>
      <c r="T1614" s="1" t="s">
        <v>163</v>
      </c>
      <c r="U1614">
        <v>0.34690599314822002</v>
      </c>
    </row>
    <row r="1615" spans="1:21" x14ac:dyDescent="0.3">
      <c r="A1615" s="1" t="s">
        <v>15</v>
      </c>
      <c r="B1615" s="1" t="s">
        <v>82</v>
      </c>
      <c r="C1615" s="2">
        <v>45000</v>
      </c>
      <c r="D1615" s="1" t="s">
        <v>36</v>
      </c>
      <c r="E1615" s="1" t="s">
        <v>30</v>
      </c>
      <c r="F1615">
        <v>8594.43</v>
      </c>
      <c r="G1615">
        <v>44</v>
      </c>
      <c r="H1615" s="1" t="s">
        <v>19</v>
      </c>
      <c r="I1615">
        <v>2211.9499999999998</v>
      </c>
      <c r="J1615">
        <v>2512.84</v>
      </c>
      <c r="K1615" s="1" t="s">
        <v>20</v>
      </c>
      <c r="L1615">
        <v>0.04</v>
      </c>
      <c r="M1615" s="1" t="s">
        <v>21</v>
      </c>
      <c r="N1615" s="1" t="s">
        <v>22</v>
      </c>
      <c r="O1615" s="1" t="s">
        <v>38</v>
      </c>
      <c r="P1615">
        <v>97325.799999999988</v>
      </c>
      <c r="Q1615">
        <v>2023</v>
      </c>
      <c r="R1615">
        <v>106142.3616</v>
      </c>
      <c r="S1615">
        <v>8816.5616000000155</v>
      </c>
      <c r="T1615" s="1" t="s">
        <v>163</v>
      </c>
      <c r="U1615">
        <v>8.3063552262247903E-2</v>
      </c>
    </row>
    <row r="1616" spans="1:21" x14ac:dyDescent="0.3">
      <c r="A1616" s="1" t="s">
        <v>15</v>
      </c>
      <c r="B1616" s="1" t="s">
        <v>63</v>
      </c>
      <c r="C1616" s="2">
        <v>45001</v>
      </c>
      <c r="D1616" s="1" t="s">
        <v>36</v>
      </c>
      <c r="E1616" s="1" t="s">
        <v>40</v>
      </c>
      <c r="F1616">
        <v>4195.0600000000004</v>
      </c>
      <c r="G1616">
        <v>45</v>
      </c>
      <c r="H1616" s="1" t="s">
        <v>31</v>
      </c>
      <c r="I1616">
        <v>4849.6000000000004</v>
      </c>
      <c r="J1616">
        <v>5166.72</v>
      </c>
      <c r="K1616" s="1" t="s">
        <v>20</v>
      </c>
      <c r="L1616">
        <v>0.25</v>
      </c>
      <c r="M1616" s="1" t="s">
        <v>27</v>
      </c>
      <c r="N1616" s="1" t="s">
        <v>22</v>
      </c>
      <c r="O1616" s="1" t="s">
        <v>41</v>
      </c>
      <c r="P1616">
        <v>218232.00000000003</v>
      </c>
      <c r="Q1616">
        <v>2023</v>
      </c>
      <c r="R1616">
        <v>174376.80000000002</v>
      </c>
      <c r="S1616">
        <v>-43855.200000000012</v>
      </c>
      <c r="T1616" s="1" t="s">
        <v>163</v>
      </c>
      <c r="U1616">
        <v>-0.25149675874313598</v>
      </c>
    </row>
    <row r="1617" spans="1:21" x14ac:dyDescent="0.3">
      <c r="A1617" s="1" t="s">
        <v>15</v>
      </c>
      <c r="B1617" s="1" t="s">
        <v>122</v>
      </c>
      <c r="C1617" s="2">
        <v>45001</v>
      </c>
      <c r="D1617" s="1" t="s">
        <v>36</v>
      </c>
      <c r="E1617" s="1" t="s">
        <v>30</v>
      </c>
      <c r="F1617">
        <v>471.95</v>
      </c>
      <c r="G1617">
        <v>35</v>
      </c>
      <c r="H1617" s="1" t="s">
        <v>57</v>
      </c>
      <c r="I1617">
        <v>1958.49</v>
      </c>
      <c r="J1617">
        <v>2254.84</v>
      </c>
      <c r="K1617" s="1" t="s">
        <v>26</v>
      </c>
      <c r="L1617">
        <v>0.16</v>
      </c>
      <c r="M1617" s="1" t="s">
        <v>27</v>
      </c>
      <c r="N1617" s="1" t="s">
        <v>22</v>
      </c>
      <c r="O1617" s="1" t="s">
        <v>38</v>
      </c>
      <c r="P1617">
        <v>68547.149999999994</v>
      </c>
      <c r="Q1617">
        <v>2023</v>
      </c>
      <c r="R1617">
        <v>66292.296000000002</v>
      </c>
      <c r="S1617">
        <v>-2254.8539999999921</v>
      </c>
      <c r="T1617" s="1" t="s">
        <v>163</v>
      </c>
      <c r="U1617">
        <v>-3.4013816628104002E-2</v>
      </c>
    </row>
    <row r="1618" spans="1:21" x14ac:dyDescent="0.3">
      <c r="A1618" s="1" t="s">
        <v>15</v>
      </c>
      <c r="B1618" s="1" t="s">
        <v>72</v>
      </c>
      <c r="C1618" s="2">
        <v>45001</v>
      </c>
      <c r="D1618" s="1" t="s">
        <v>17</v>
      </c>
      <c r="E1618" s="1" t="s">
        <v>18</v>
      </c>
      <c r="F1618">
        <v>6076.01</v>
      </c>
      <c r="G1618">
        <v>35</v>
      </c>
      <c r="H1618" s="1" t="s">
        <v>31</v>
      </c>
      <c r="I1618">
        <v>2735.74</v>
      </c>
      <c r="J1618">
        <v>3181.23</v>
      </c>
      <c r="K1618" s="1" t="s">
        <v>26</v>
      </c>
      <c r="L1618">
        <v>0.1</v>
      </c>
      <c r="M1618" s="1" t="s">
        <v>27</v>
      </c>
      <c r="N1618" s="1" t="s">
        <v>33</v>
      </c>
      <c r="O1618" s="1" t="s">
        <v>23</v>
      </c>
      <c r="P1618">
        <v>95750.9</v>
      </c>
      <c r="Q1618">
        <v>2023</v>
      </c>
      <c r="R1618">
        <v>100208.74500000001</v>
      </c>
      <c r="S1618">
        <v>4457.8450000000157</v>
      </c>
      <c r="T1618" s="1" t="s">
        <v>163</v>
      </c>
      <c r="U1618">
        <v>4.4485588558164403E-2</v>
      </c>
    </row>
    <row r="1619" spans="1:21" x14ac:dyDescent="0.3">
      <c r="A1619" s="1" t="s">
        <v>15</v>
      </c>
      <c r="B1619" s="1" t="s">
        <v>141</v>
      </c>
      <c r="C1619" s="2">
        <v>45001</v>
      </c>
      <c r="D1619" s="1" t="s">
        <v>36</v>
      </c>
      <c r="E1619" s="1" t="s">
        <v>30</v>
      </c>
      <c r="F1619">
        <v>6780.38</v>
      </c>
      <c r="G1619">
        <v>11</v>
      </c>
      <c r="H1619" s="1" t="s">
        <v>31</v>
      </c>
      <c r="I1619">
        <v>741.48</v>
      </c>
      <c r="J1619">
        <v>878.09</v>
      </c>
      <c r="K1619" s="1" t="s">
        <v>26</v>
      </c>
      <c r="L1619">
        <v>0.28999999999999998</v>
      </c>
      <c r="M1619" s="1" t="s">
        <v>21</v>
      </c>
      <c r="N1619" s="1" t="s">
        <v>33</v>
      </c>
      <c r="O1619" s="1" t="s">
        <v>38</v>
      </c>
      <c r="P1619">
        <v>8156.2800000000007</v>
      </c>
      <c r="Q1619">
        <v>2023</v>
      </c>
      <c r="R1619">
        <v>6857.8828999999996</v>
      </c>
      <c r="S1619">
        <v>-1298.397100000001</v>
      </c>
      <c r="T1619" s="1" t="s">
        <v>163</v>
      </c>
      <c r="U1619">
        <v>-0.18932914412988899</v>
      </c>
    </row>
    <row r="1620" spans="1:21" x14ac:dyDescent="0.3">
      <c r="A1620" s="1" t="s">
        <v>15</v>
      </c>
      <c r="B1620" s="1" t="s">
        <v>97</v>
      </c>
      <c r="C1620" s="2">
        <v>45002</v>
      </c>
      <c r="D1620" s="1" t="s">
        <v>17</v>
      </c>
      <c r="E1620" s="1" t="s">
        <v>30</v>
      </c>
      <c r="F1620">
        <v>5825.15</v>
      </c>
      <c r="G1620">
        <v>46</v>
      </c>
      <c r="H1620" s="1" t="s">
        <v>37</v>
      </c>
      <c r="I1620">
        <v>2016.49</v>
      </c>
      <c r="J1620">
        <v>2338.66</v>
      </c>
      <c r="K1620" s="1" t="s">
        <v>20</v>
      </c>
      <c r="L1620">
        <v>0.19</v>
      </c>
      <c r="M1620" s="1" t="s">
        <v>32</v>
      </c>
      <c r="N1620" s="1" t="s">
        <v>33</v>
      </c>
      <c r="O1620" s="1" t="s">
        <v>34</v>
      </c>
      <c r="P1620">
        <v>92758.54</v>
      </c>
      <c r="Q1620">
        <v>2023</v>
      </c>
      <c r="R1620">
        <v>87138.47159999999</v>
      </c>
      <c r="S1620">
        <v>-5620.0684000000037</v>
      </c>
      <c r="T1620" s="1" t="s">
        <v>163</v>
      </c>
      <c r="U1620">
        <v>-6.4495834007719799E-2</v>
      </c>
    </row>
    <row r="1621" spans="1:21" x14ac:dyDescent="0.3">
      <c r="A1621" s="1" t="s">
        <v>15</v>
      </c>
      <c r="B1621" s="1" t="s">
        <v>125</v>
      </c>
      <c r="C1621" s="2">
        <v>45002</v>
      </c>
      <c r="D1621" s="1" t="s">
        <v>59</v>
      </c>
      <c r="E1621" s="1" t="s">
        <v>44</v>
      </c>
      <c r="F1621">
        <v>2583.84</v>
      </c>
      <c r="G1621">
        <v>23</v>
      </c>
      <c r="H1621" s="1" t="s">
        <v>57</v>
      </c>
      <c r="I1621">
        <v>3335.53</v>
      </c>
      <c r="J1621">
        <v>3742.12</v>
      </c>
      <c r="K1621" s="1" t="s">
        <v>26</v>
      </c>
      <c r="L1621">
        <v>0.03</v>
      </c>
      <c r="M1621" s="1" t="s">
        <v>32</v>
      </c>
      <c r="N1621" s="1" t="s">
        <v>33</v>
      </c>
      <c r="O1621" s="1" t="s">
        <v>60</v>
      </c>
      <c r="P1621">
        <v>76717.19</v>
      </c>
      <c r="Q1621">
        <v>2023</v>
      </c>
      <c r="R1621">
        <v>83486.697199999995</v>
      </c>
      <c r="S1621">
        <v>6769.5071999999927</v>
      </c>
      <c r="T1621" s="1" t="s">
        <v>163</v>
      </c>
      <c r="U1621">
        <v>8.1084860547100401E-2</v>
      </c>
    </row>
    <row r="1622" spans="1:21" x14ac:dyDescent="0.3">
      <c r="A1622" s="1" t="s">
        <v>15</v>
      </c>
      <c r="B1622" s="1" t="s">
        <v>102</v>
      </c>
      <c r="C1622" s="2">
        <v>45002</v>
      </c>
      <c r="D1622" s="1" t="s">
        <v>43</v>
      </c>
      <c r="E1622" s="1" t="s">
        <v>18</v>
      </c>
      <c r="F1622">
        <v>2401.81</v>
      </c>
      <c r="G1622">
        <v>28</v>
      </c>
      <c r="H1622" s="1" t="s">
        <v>19</v>
      </c>
      <c r="I1622">
        <v>3780.91</v>
      </c>
      <c r="J1622">
        <v>3892.73</v>
      </c>
      <c r="K1622" s="1" t="s">
        <v>20</v>
      </c>
      <c r="L1622">
        <v>0.1</v>
      </c>
      <c r="M1622" s="1" t="s">
        <v>21</v>
      </c>
      <c r="N1622" s="1" t="s">
        <v>33</v>
      </c>
      <c r="O1622" s="1" t="s">
        <v>62</v>
      </c>
      <c r="P1622">
        <v>105865.48</v>
      </c>
      <c r="Q1622">
        <v>2023</v>
      </c>
      <c r="R1622">
        <v>98096.796000000002</v>
      </c>
      <c r="S1622">
        <v>-7768.6839999999938</v>
      </c>
      <c r="T1622" s="1" t="s">
        <v>163</v>
      </c>
      <c r="U1622">
        <v>-7.9194064605331196E-2</v>
      </c>
    </row>
    <row r="1623" spans="1:21" x14ac:dyDescent="0.3">
      <c r="A1623" s="1" t="s">
        <v>15</v>
      </c>
      <c r="B1623" s="1" t="s">
        <v>105</v>
      </c>
      <c r="C1623" s="2">
        <v>45003</v>
      </c>
      <c r="D1623" s="1" t="s">
        <v>36</v>
      </c>
      <c r="E1623" s="1" t="s">
        <v>30</v>
      </c>
      <c r="F1623">
        <v>485.9</v>
      </c>
      <c r="G1623">
        <v>4</v>
      </c>
      <c r="H1623" s="1" t="s">
        <v>57</v>
      </c>
      <c r="I1623">
        <v>688.98</v>
      </c>
      <c r="J1623">
        <v>863.81</v>
      </c>
      <c r="K1623" s="1" t="s">
        <v>26</v>
      </c>
      <c r="L1623">
        <v>0.27</v>
      </c>
      <c r="M1623" s="1" t="s">
        <v>27</v>
      </c>
      <c r="N1623" s="1" t="s">
        <v>33</v>
      </c>
      <c r="O1623" s="1" t="s">
        <v>38</v>
      </c>
      <c r="P1623">
        <v>2755.92</v>
      </c>
      <c r="Q1623">
        <v>2023</v>
      </c>
      <c r="R1623">
        <v>2522.3251999999998</v>
      </c>
      <c r="S1623">
        <v>-233.5948000000003</v>
      </c>
      <c r="T1623" s="1" t="s">
        <v>163</v>
      </c>
      <c r="U1623">
        <v>-9.2610897278431997E-2</v>
      </c>
    </row>
    <row r="1624" spans="1:21" x14ac:dyDescent="0.3">
      <c r="A1624" s="1" t="s">
        <v>15</v>
      </c>
      <c r="B1624" s="1" t="s">
        <v>138</v>
      </c>
      <c r="C1624" s="2">
        <v>45003</v>
      </c>
      <c r="D1624" s="1" t="s">
        <v>17</v>
      </c>
      <c r="E1624" s="1" t="s">
        <v>30</v>
      </c>
      <c r="F1624">
        <v>8057.67</v>
      </c>
      <c r="G1624">
        <v>43</v>
      </c>
      <c r="H1624" s="1" t="s">
        <v>31</v>
      </c>
      <c r="I1624">
        <v>1331.86</v>
      </c>
      <c r="J1624">
        <v>1758.98</v>
      </c>
      <c r="K1624" s="1" t="s">
        <v>20</v>
      </c>
      <c r="L1624">
        <v>0.23</v>
      </c>
      <c r="M1624" s="1" t="s">
        <v>32</v>
      </c>
      <c r="N1624" s="1" t="s">
        <v>33</v>
      </c>
      <c r="O1624" s="1" t="s">
        <v>34</v>
      </c>
      <c r="P1624">
        <v>57269.979999999996</v>
      </c>
      <c r="Q1624">
        <v>2023</v>
      </c>
      <c r="R1624">
        <v>58239.827799999999</v>
      </c>
      <c r="S1624">
        <v>969.84780000000319</v>
      </c>
      <c r="T1624" s="1" t="s">
        <v>163</v>
      </c>
      <c r="U1624">
        <v>1.6652655693463501E-2</v>
      </c>
    </row>
    <row r="1625" spans="1:21" x14ac:dyDescent="0.3">
      <c r="A1625" s="1" t="s">
        <v>15</v>
      </c>
      <c r="B1625" s="1" t="s">
        <v>112</v>
      </c>
      <c r="C1625" s="2">
        <v>45004</v>
      </c>
      <c r="D1625" s="1" t="s">
        <v>43</v>
      </c>
      <c r="E1625" s="1" t="s">
        <v>30</v>
      </c>
      <c r="F1625">
        <v>5343.63</v>
      </c>
      <c r="G1625">
        <v>9</v>
      </c>
      <c r="H1625" s="1" t="s">
        <v>19</v>
      </c>
      <c r="I1625">
        <v>2534.94</v>
      </c>
      <c r="J1625">
        <v>2755.56</v>
      </c>
      <c r="K1625" s="1" t="s">
        <v>20</v>
      </c>
      <c r="L1625">
        <v>0.13</v>
      </c>
      <c r="M1625" s="1" t="s">
        <v>27</v>
      </c>
      <c r="N1625" s="1" t="s">
        <v>33</v>
      </c>
      <c r="O1625" s="1" t="s">
        <v>54</v>
      </c>
      <c r="P1625">
        <v>22814.46</v>
      </c>
      <c r="Q1625">
        <v>2023</v>
      </c>
      <c r="R1625">
        <v>21576.034800000001</v>
      </c>
      <c r="S1625">
        <v>-1238.4251999999979</v>
      </c>
      <c r="T1625" s="1" t="s">
        <v>163</v>
      </c>
      <c r="U1625">
        <v>-5.73981832843539E-2</v>
      </c>
    </row>
    <row r="1626" spans="1:21" x14ac:dyDescent="0.3">
      <c r="A1626" s="1" t="s">
        <v>15</v>
      </c>
      <c r="B1626" s="1" t="s">
        <v>128</v>
      </c>
      <c r="C1626" s="2">
        <v>45004</v>
      </c>
      <c r="D1626" s="1" t="s">
        <v>17</v>
      </c>
      <c r="E1626" s="1" t="s">
        <v>40</v>
      </c>
      <c r="F1626">
        <v>9335.9599999999991</v>
      </c>
      <c r="G1626">
        <v>19</v>
      </c>
      <c r="H1626" s="1" t="s">
        <v>57</v>
      </c>
      <c r="I1626">
        <v>1783.48</v>
      </c>
      <c r="J1626">
        <v>1931.56</v>
      </c>
      <c r="K1626" s="1" t="s">
        <v>20</v>
      </c>
      <c r="L1626">
        <v>0.27</v>
      </c>
      <c r="M1626" s="1" t="s">
        <v>32</v>
      </c>
      <c r="N1626" s="1" t="s">
        <v>33</v>
      </c>
      <c r="O1626" s="1" t="s">
        <v>67</v>
      </c>
      <c r="P1626">
        <v>33886.120000000003</v>
      </c>
      <c r="Q1626">
        <v>2023</v>
      </c>
      <c r="R1626">
        <v>26790.7372</v>
      </c>
      <c r="S1626">
        <v>-7095.382800000003</v>
      </c>
      <c r="T1626" s="1" t="s">
        <v>163</v>
      </c>
      <c r="U1626">
        <v>-0.264844626970549</v>
      </c>
    </row>
    <row r="1627" spans="1:21" x14ac:dyDescent="0.3">
      <c r="A1627" s="1" t="s">
        <v>15</v>
      </c>
      <c r="B1627" s="1" t="s">
        <v>124</v>
      </c>
      <c r="C1627" s="2">
        <v>45004</v>
      </c>
      <c r="D1627" s="1" t="s">
        <v>36</v>
      </c>
      <c r="E1627" s="1" t="s">
        <v>44</v>
      </c>
      <c r="F1627">
        <v>1874.63</v>
      </c>
      <c r="G1627">
        <v>2</v>
      </c>
      <c r="H1627" s="1" t="s">
        <v>19</v>
      </c>
      <c r="I1627">
        <v>844.94</v>
      </c>
      <c r="J1627">
        <v>1225.6400000000001</v>
      </c>
      <c r="K1627" s="1" t="s">
        <v>20</v>
      </c>
      <c r="L1627">
        <v>0.23</v>
      </c>
      <c r="M1627" s="1" t="s">
        <v>27</v>
      </c>
      <c r="N1627" s="1" t="s">
        <v>22</v>
      </c>
      <c r="O1627" s="1" t="s">
        <v>71</v>
      </c>
      <c r="P1627">
        <v>1689.88</v>
      </c>
      <c r="Q1627">
        <v>2023</v>
      </c>
      <c r="R1627">
        <v>1887.4856000000002</v>
      </c>
      <c r="S1627">
        <v>197.60560000000009</v>
      </c>
      <c r="T1627" s="1" t="s">
        <v>163</v>
      </c>
      <c r="U1627">
        <v>0.10469250732297</v>
      </c>
    </row>
    <row r="1628" spans="1:21" x14ac:dyDescent="0.3">
      <c r="A1628" s="1" t="s">
        <v>15</v>
      </c>
      <c r="B1628" s="1" t="s">
        <v>116</v>
      </c>
      <c r="C1628" s="2">
        <v>45005</v>
      </c>
      <c r="D1628" s="1" t="s">
        <v>43</v>
      </c>
      <c r="E1628" s="1" t="s">
        <v>44</v>
      </c>
      <c r="F1628">
        <v>3484.86</v>
      </c>
      <c r="G1628">
        <v>2</v>
      </c>
      <c r="H1628" s="1" t="s">
        <v>31</v>
      </c>
      <c r="I1628">
        <v>4906.17</v>
      </c>
      <c r="J1628">
        <v>5107.43</v>
      </c>
      <c r="K1628" s="1" t="s">
        <v>20</v>
      </c>
      <c r="L1628">
        <v>0.1</v>
      </c>
      <c r="M1628" s="1" t="s">
        <v>21</v>
      </c>
      <c r="N1628" s="1" t="s">
        <v>22</v>
      </c>
      <c r="O1628" s="1" t="s">
        <v>45</v>
      </c>
      <c r="P1628">
        <v>9812.34</v>
      </c>
      <c r="Q1628">
        <v>2023</v>
      </c>
      <c r="R1628">
        <v>9193.3740000000016</v>
      </c>
      <c r="S1628">
        <v>-618.96599999999853</v>
      </c>
      <c r="T1628" s="1" t="s">
        <v>163</v>
      </c>
      <c r="U1628">
        <v>-6.7327403410325601E-2</v>
      </c>
    </row>
    <row r="1629" spans="1:21" x14ac:dyDescent="0.3">
      <c r="A1629" s="1" t="s">
        <v>15</v>
      </c>
      <c r="B1629" s="1" t="s">
        <v>120</v>
      </c>
      <c r="C1629" s="2">
        <v>45005</v>
      </c>
      <c r="D1629" s="1" t="s">
        <v>43</v>
      </c>
      <c r="E1629" s="1" t="s">
        <v>44</v>
      </c>
      <c r="F1629">
        <v>614.69000000000005</v>
      </c>
      <c r="G1629">
        <v>19</v>
      </c>
      <c r="H1629" s="1" t="s">
        <v>37</v>
      </c>
      <c r="I1629">
        <v>4991.68</v>
      </c>
      <c r="J1629">
        <v>5296.65</v>
      </c>
      <c r="K1629" s="1" t="s">
        <v>26</v>
      </c>
      <c r="L1629">
        <v>0.12</v>
      </c>
      <c r="M1629" s="1" t="s">
        <v>32</v>
      </c>
      <c r="N1629" s="1" t="s">
        <v>22</v>
      </c>
      <c r="O1629" s="1" t="s">
        <v>45</v>
      </c>
      <c r="P1629">
        <v>94841.920000000013</v>
      </c>
      <c r="Q1629">
        <v>2023</v>
      </c>
      <c r="R1629">
        <v>88559.987999999998</v>
      </c>
      <c r="S1629">
        <v>-6281.9320000000153</v>
      </c>
      <c r="T1629" s="1" t="s">
        <v>163</v>
      </c>
      <c r="U1629">
        <v>-7.0934201120262302E-2</v>
      </c>
    </row>
    <row r="1630" spans="1:21" x14ac:dyDescent="0.3">
      <c r="A1630" s="1" t="s">
        <v>15</v>
      </c>
      <c r="B1630" s="1" t="s">
        <v>65</v>
      </c>
      <c r="C1630" s="2">
        <v>45006</v>
      </c>
      <c r="D1630" s="1" t="s">
        <v>43</v>
      </c>
      <c r="E1630" s="1" t="s">
        <v>44</v>
      </c>
      <c r="F1630">
        <v>9369.18</v>
      </c>
      <c r="G1630">
        <v>29</v>
      </c>
      <c r="H1630" s="1" t="s">
        <v>31</v>
      </c>
      <c r="I1630">
        <v>2462.66</v>
      </c>
      <c r="J1630">
        <v>2908.09</v>
      </c>
      <c r="K1630" s="1" t="s">
        <v>26</v>
      </c>
      <c r="L1630">
        <v>0.12</v>
      </c>
      <c r="M1630" s="1" t="s">
        <v>27</v>
      </c>
      <c r="N1630" s="1" t="s">
        <v>22</v>
      </c>
      <c r="O1630" s="1" t="s">
        <v>45</v>
      </c>
      <c r="P1630">
        <v>71417.14</v>
      </c>
      <c r="Q1630">
        <v>2023</v>
      </c>
      <c r="R1630">
        <v>74214.4568</v>
      </c>
      <c r="S1630">
        <v>2797.3168000000005</v>
      </c>
      <c r="T1630" s="1" t="s">
        <v>163</v>
      </c>
      <c r="U1630">
        <v>3.7692343521942999E-2</v>
      </c>
    </row>
    <row r="1631" spans="1:21" x14ac:dyDescent="0.3">
      <c r="A1631" s="1" t="s">
        <v>15</v>
      </c>
      <c r="B1631" s="1" t="s">
        <v>84</v>
      </c>
      <c r="C1631" s="2">
        <v>45006</v>
      </c>
      <c r="D1631" s="1" t="s">
        <v>17</v>
      </c>
      <c r="E1631" s="1" t="s">
        <v>30</v>
      </c>
      <c r="F1631">
        <v>3617.67</v>
      </c>
      <c r="G1631">
        <v>40</v>
      </c>
      <c r="H1631" s="1" t="s">
        <v>57</v>
      </c>
      <c r="I1631">
        <v>2890.95</v>
      </c>
      <c r="J1631">
        <v>3104.43</v>
      </c>
      <c r="K1631" s="1" t="s">
        <v>26</v>
      </c>
      <c r="L1631">
        <v>0.21</v>
      </c>
      <c r="M1631" s="1" t="s">
        <v>32</v>
      </c>
      <c r="N1631" s="1" t="s">
        <v>22</v>
      </c>
      <c r="O1631" s="1" t="s">
        <v>34</v>
      </c>
      <c r="P1631">
        <v>115638</v>
      </c>
      <c r="Q1631">
        <v>2023</v>
      </c>
      <c r="R1631">
        <v>98099.987999999998</v>
      </c>
      <c r="S1631">
        <v>-17538.012000000002</v>
      </c>
      <c r="T1631" s="1" t="s">
        <v>163</v>
      </c>
      <c r="U1631">
        <v>-0.17877690260267901</v>
      </c>
    </row>
    <row r="1632" spans="1:21" x14ac:dyDescent="0.3">
      <c r="A1632" s="1" t="s">
        <v>15</v>
      </c>
      <c r="B1632" s="1" t="s">
        <v>122</v>
      </c>
      <c r="C1632" s="2">
        <v>45007</v>
      </c>
      <c r="D1632" s="1" t="s">
        <v>17</v>
      </c>
      <c r="E1632" s="1" t="s">
        <v>18</v>
      </c>
      <c r="F1632">
        <v>6747.64</v>
      </c>
      <c r="G1632">
        <v>6</v>
      </c>
      <c r="H1632" s="1" t="s">
        <v>37</v>
      </c>
      <c r="I1632">
        <v>4885.9799999999996</v>
      </c>
      <c r="J1632">
        <v>4949.95</v>
      </c>
      <c r="K1632" s="1" t="s">
        <v>20</v>
      </c>
      <c r="L1632">
        <v>0.17</v>
      </c>
      <c r="M1632" s="1" t="s">
        <v>32</v>
      </c>
      <c r="N1632" s="1" t="s">
        <v>22</v>
      </c>
      <c r="O1632" s="1" t="s">
        <v>23</v>
      </c>
      <c r="P1632">
        <v>29315.879999999997</v>
      </c>
      <c r="Q1632">
        <v>2023</v>
      </c>
      <c r="R1632">
        <v>24650.750999999997</v>
      </c>
      <c r="S1632">
        <v>-4665.1290000000008</v>
      </c>
      <c r="T1632" s="1" t="s">
        <v>163</v>
      </c>
      <c r="U1632">
        <v>-0.18924896040692599</v>
      </c>
    </row>
    <row r="1633" spans="1:21" x14ac:dyDescent="0.3">
      <c r="A1633" s="1" t="s">
        <v>15</v>
      </c>
      <c r="B1633" s="1" t="s">
        <v>106</v>
      </c>
      <c r="C1633" s="2">
        <v>45007</v>
      </c>
      <c r="D1633" s="1" t="s">
        <v>25</v>
      </c>
      <c r="E1633" s="1" t="s">
        <v>30</v>
      </c>
      <c r="F1633">
        <v>316.94</v>
      </c>
      <c r="G1633">
        <v>23</v>
      </c>
      <c r="H1633" s="1" t="s">
        <v>57</v>
      </c>
      <c r="I1633">
        <v>2759.16</v>
      </c>
      <c r="J1633">
        <v>2864.45</v>
      </c>
      <c r="K1633" s="1" t="s">
        <v>20</v>
      </c>
      <c r="L1633">
        <v>0.18</v>
      </c>
      <c r="M1633" s="1" t="s">
        <v>27</v>
      </c>
      <c r="N1633" s="1" t="s">
        <v>33</v>
      </c>
      <c r="O1633" s="1" t="s">
        <v>92</v>
      </c>
      <c r="P1633">
        <v>63460.679999999993</v>
      </c>
      <c r="Q1633">
        <v>2023</v>
      </c>
      <c r="R1633">
        <v>54023.526999999995</v>
      </c>
      <c r="S1633">
        <v>-9437.1529999999984</v>
      </c>
      <c r="T1633" s="1" t="s">
        <v>163</v>
      </c>
      <c r="U1633">
        <v>-0.174685984497088</v>
      </c>
    </row>
    <row r="1634" spans="1:21" x14ac:dyDescent="0.3">
      <c r="A1634" s="1" t="s">
        <v>15</v>
      </c>
      <c r="B1634" s="1" t="s">
        <v>119</v>
      </c>
      <c r="C1634" s="2">
        <v>45007</v>
      </c>
      <c r="D1634" s="1" t="s">
        <v>59</v>
      </c>
      <c r="E1634" s="1" t="s">
        <v>44</v>
      </c>
      <c r="F1634">
        <v>8915.0499999999993</v>
      </c>
      <c r="G1634">
        <v>34</v>
      </c>
      <c r="H1634" s="1" t="s">
        <v>19</v>
      </c>
      <c r="I1634">
        <v>2680.82</v>
      </c>
      <c r="J1634">
        <v>2771.02</v>
      </c>
      <c r="K1634" s="1" t="s">
        <v>26</v>
      </c>
      <c r="L1634">
        <v>0.2</v>
      </c>
      <c r="M1634" s="1" t="s">
        <v>32</v>
      </c>
      <c r="N1634" s="1" t="s">
        <v>22</v>
      </c>
      <c r="O1634" s="1" t="s">
        <v>60</v>
      </c>
      <c r="P1634">
        <v>91147.88</v>
      </c>
      <c r="Q1634">
        <v>2023</v>
      </c>
      <c r="R1634">
        <v>75371.743999999992</v>
      </c>
      <c r="S1634">
        <v>-15776.136000000013</v>
      </c>
      <c r="T1634" s="1" t="s">
        <v>163</v>
      </c>
      <c r="U1634">
        <v>-0.20931101182957901</v>
      </c>
    </row>
    <row r="1635" spans="1:21" x14ac:dyDescent="0.3">
      <c r="A1635" s="1" t="s">
        <v>15</v>
      </c>
      <c r="B1635" s="1" t="s">
        <v>112</v>
      </c>
      <c r="C1635" s="2">
        <v>45008</v>
      </c>
      <c r="D1635" s="1" t="s">
        <v>36</v>
      </c>
      <c r="E1635" s="1" t="s">
        <v>44</v>
      </c>
      <c r="F1635">
        <v>613.16999999999996</v>
      </c>
      <c r="G1635">
        <v>30</v>
      </c>
      <c r="H1635" s="1" t="s">
        <v>19</v>
      </c>
      <c r="I1635">
        <v>1300.03</v>
      </c>
      <c r="J1635">
        <v>1745.52</v>
      </c>
      <c r="K1635" s="1" t="s">
        <v>26</v>
      </c>
      <c r="L1635">
        <v>0.09</v>
      </c>
      <c r="M1635" s="1" t="s">
        <v>21</v>
      </c>
      <c r="N1635" s="1" t="s">
        <v>33</v>
      </c>
      <c r="O1635" s="1" t="s">
        <v>71</v>
      </c>
      <c r="P1635">
        <v>39000.9</v>
      </c>
      <c r="Q1635">
        <v>2023</v>
      </c>
      <c r="R1635">
        <v>47652.696000000004</v>
      </c>
      <c r="S1635">
        <v>8651.7960000000021</v>
      </c>
      <c r="T1635" s="1" t="s">
        <v>163</v>
      </c>
      <c r="U1635">
        <v>0.181559423206611</v>
      </c>
    </row>
    <row r="1636" spans="1:21" x14ac:dyDescent="0.3">
      <c r="A1636" s="1" t="s">
        <v>15</v>
      </c>
      <c r="B1636" s="1" t="s">
        <v>108</v>
      </c>
      <c r="C1636" s="2">
        <v>45008</v>
      </c>
      <c r="D1636" s="1" t="s">
        <v>43</v>
      </c>
      <c r="E1636" s="1" t="s">
        <v>30</v>
      </c>
      <c r="F1636">
        <v>7914</v>
      </c>
      <c r="G1636">
        <v>18</v>
      </c>
      <c r="H1636" s="1" t="s">
        <v>57</v>
      </c>
      <c r="I1636">
        <v>3070.47</v>
      </c>
      <c r="J1636">
        <v>3475.29</v>
      </c>
      <c r="K1636" s="1" t="s">
        <v>20</v>
      </c>
      <c r="L1636">
        <v>0.2</v>
      </c>
      <c r="M1636" s="1" t="s">
        <v>32</v>
      </c>
      <c r="N1636" s="1" t="s">
        <v>22</v>
      </c>
      <c r="O1636" s="1" t="s">
        <v>54</v>
      </c>
      <c r="P1636">
        <v>55268.46</v>
      </c>
      <c r="Q1636">
        <v>2023</v>
      </c>
      <c r="R1636">
        <v>50044.176000000007</v>
      </c>
      <c r="S1636">
        <v>-5224.2839999999924</v>
      </c>
      <c r="T1636" s="1" t="s">
        <v>163</v>
      </c>
      <c r="U1636">
        <v>-0.104393446302323</v>
      </c>
    </row>
    <row r="1637" spans="1:21" x14ac:dyDescent="0.3">
      <c r="A1637" s="1" t="s">
        <v>15</v>
      </c>
      <c r="B1637" s="1" t="s">
        <v>142</v>
      </c>
      <c r="C1637" s="2">
        <v>45008</v>
      </c>
      <c r="D1637" s="1" t="s">
        <v>17</v>
      </c>
      <c r="E1637" s="1" t="s">
        <v>44</v>
      </c>
      <c r="F1637">
        <v>433.4</v>
      </c>
      <c r="G1637">
        <v>32</v>
      </c>
      <c r="H1637" s="1" t="s">
        <v>19</v>
      </c>
      <c r="I1637">
        <v>3351.33</v>
      </c>
      <c r="J1637">
        <v>3711.47</v>
      </c>
      <c r="K1637" s="1" t="s">
        <v>26</v>
      </c>
      <c r="L1637">
        <v>0.16</v>
      </c>
      <c r="M1637" s="1" t="s">
        <v>21</v>
      </c>
      <c r="N1637" s="1" t="s">
        <v>33</v>
      </c>
      <c r="O1637" s="1" t="s">
        <v>49</v>
      </c>
      <c r="P1637">
        <v>107242.56</v>
      </c>
      <c r="Q1637">
        <v>2023</v>
      </c>
      <c r="R1637">
        <v>99764.313599999994</v>
      </c>
      <c r="S1637">
        <v>-7478.2464000000036</v>
      </c>
      <c r="T1637" s="1" t="s">
        <v>163</v>
      </c>
      <c r="U1637">
        <v>-7.4959132480815302E-2</v>
      </c>
    </row>
    <row r="1638" spans="1:21" x14ac:dyDescent="0.3">
      <c r="A1638" s="1" t="s">
        <v>15</v>
      </c>
      <c r="B1638" s="1" t="s">
        <v>88</v>
      </c>
      <c r="C1638" s="2">
        <v>45008</v>
      </c>
      <c r="D1638" s="1" t="s">
        <v>17</v>
      </c>
      <c r="E1638" s="1" t="s">
        <v>40</v>
      </c>
      <c r="F1638">
        <v>3808.03</v>
      </c>
      <c r="G1638">
        <v>33</v>
      </c>
      <c r="H1638" s="1" t="s">
        <v>19</v>
      </c>
      <c r="I1638">
        <v>2396.6799999999998</v>
      </c>
      <c r="J1638">
        <v>2661.54</v>
      </c>
      <c r="K1638" s="1" t="s">
        <v>26</v>
      </c>
      <c r="L1638">
        <v>0.18</v>
      </c>
      <c r="M1638" s="1" t="s">
        <v>32</v>
      </c>
      <c r="N1638" s="1" t="s">
        <v>22</v>
      </c>
      <c r="O1638" s="1" t="s">
        <v>67</v>
      </c>
      <c r="P1638">
        <v>79090.439999999988</v>
      </c>
      <c r="Q1638">
        <v>2023</v>
      </c>
      <c r="R1638">
        <v>72021.272400000002</v>
      </c>
      <c r="S1638">
        <v>-7069.1675999999861</v>
      </c>
      <c r="T1638" s="1" t="s">
        <v>163</v>
      </c>
      <c r="U1638">
        <v>-9.8153883768373806E-2</v>
      </c>
    </row>
    <row r="1639" spans="1:21" x14ac:dyDescent="0.3">
      <c r="A1639" s="1" t="s">
        <v>15</v>
      </c>
      <c r="B1639" s="1" t="s">
        <v>119</v>
      </c>
      <c r="C1639" s="2">
        <v>45009</v>
      </c>
      <c r="D1639" s="1" t="s">
        <v>25</v>
      </c>
      <c r="E1639" s="1" t="s">
        <v>44</v>
      </c>
      <c r="F1639">
        <v>3750.2</v>
      </c>
      <c r="G1639">
        <v>13</v>
      </c>
      <c r="H1639" s="1" t="s">
        <v>37</v>
      </c>
      <c r="I1639">
        <v>637.37</v>
      </c>
      <c r="J1639">
        <v>692.71</v>
      </c>
      <c r="K1639" s="1" t="s">
        <v>26</v>
      </c>
      <c r="L1639">
        <v>0.08</v>
      </c>
      <c r="M1639" s="1" t="s">
        <v>27</v>
      </c>
      <c r="N1639" s="1" t="s">
        <v>22</v>
      </c>
      <c r="O1639" s="1" t="s">
        <v>47</v>
      </c>
      <c r="P1639">
        <v>8285.81</v>
      </c>
      <c r="Q1639">
        <v>2023</v>
      </c>
      <c r="R1639">
        <v>8284.8115999999991</v>
      </c>
      <c r="S1639">
        <v>-0.99840000000040163</v>
      </c>
      <c r="T1639" s="1" t="s">
        <v>163</v>
      </c>
      <c r="U1639">
        <v>-1.2050968063056501E-4</v>
      </c>
    </row>
    <row r="1640" spans="1:21" x14ac:dyDescent="0.3">
      <c r="A1640" s="1" t="s">
        <v>15</v>
      </c>
      <c r="B1640" s="1" t="s">
        <v>52</v>
      </c>
      <c r="C1640" s="2">
        <v>45010</v>
      </c>
      <c r="D1640" s="1" t="s">
        <v>17</v>
      </c>
      <c r="E1640" s="1" t="s">
        <v>40</v>
      </c>
      <c r="F1640">
        <v>7499.7</v>
      </c>
      <c r="G1640">
        <v>38</v>
      </c>
      <c r="H1640" s="1" t="s">
        <v>57</v>
      </c>
      <c r="I1640">
        <v>2610.6</v>
      </c>
      <c r="J1640">
        <v>2836.94</v>
      </c>
      <c r="K1640" s="1" t="s">
        <v>20</v>
      </c>
      <c r="L1640">
        <v>0.19</v>
      </c>
      <c r="M1640" s="1" t="s">
        <v>27</v>
      </c>
      <c r="N1640" s="1" t="s">
        <v>22</v>
      </c>
      <c r="O1640" s="1" t="s">
        <v>67</v>
      </c>
      <c r="P1640">
        <v>99202.8</v>
      </c>
      <c r="Q1640">
        <v>2023</v>
      </c>
      <c r="R1640">
        <v>87321.013200000001</v>
      </c>
      <c r="S1640">
        <v>-11881.786800000002</v>
      </c>
      <c r="T1640" s="1" t="s">
        <v>163</v>
      </c>
      <c r="U1640">
        <v>-0.13607018934590201</v>
      </c>
    </row>
    <row r="1641" spans="1:21" x14ac:dyDescent="0.3">
      <c r="A1641" s="1" t="s">
        <v>15</v>
      </c>
      <c r="B1641" s="1" t="s">
        <v>108</v>
      </c>
      <c r="C1641" s="2">
        <v>45010</v>
      </c>
      <c r="D1641" s="1" t="s">
        <v>59</v>
      </c>
      <c r="E1641" s="1" t="s">
        <v>40</v>
      </c>
      <c r="F1641">
        <v>1897.98</v>
      </c>
      <c r="G1641">
        <v>49</v>
      </c>
      <c r="H1641" s="1" t="s">
        <v>31</v>
      </c>
      <c r="I1641">
        <v>2315</v>
      </c>
      <c r="J1641">
        <v>2467.2800000000002</v>
      </c>
      <c r="K1641" s="1" t="s">
        <v>26</v>
      </c>
      <c r="L1641">
        <v>0.15</v>
      </c>
      <c r="M1641" s="1" t="s">
        <v>32</v>
      </c>
      <c r="N1641" s="1" t="s">
        <v>33</v>
      </c>
      <c r="O1641" s="1" t="s">
        <v>90</v>
      </c>
      <c r="P1641">
        <v>113435</v>
      </c>
      <c r="Q1641">
        <v>2023</v>
      </c>
      <c r="R1641">
        <v>102762.21200000001</v>
      </c>
      <c r="S1641">
        <v>-10672.787999999986</v>
      </c>
      <c r="T1641" s="1" t="s">
        <v>163</v>
      </c>
      <c r="U1641">
        <v>-0.103859072243404</v>
      </c>
    </row>
    <row r="1642" spans="1:21" x14ac:dyDescent="0.3">
      <c r="A1642" s="1" t="s">
        <v>15</v>
      </c>
      <c r="B1642" s="1" t="s">
        <v>143</v>
      </c>
      <c r="C1642" s="2">
        <v>45010</v>
      </c>
      <c r="D1642" s="1" t="s">
        <v>36</v>
      </c>
      <c r="E1642" s="1" t="s">
        <v>44</v>
      </c>
      <c r="F1642">
        <v>1756.83</v>
      </c>
      <c r="G1642">
        <v>11</v>
      </c>
      <c r="H1642" s="1" t="s">
        <v>37</v>
      </c>
      <c r="I1642">
        <v>2495.1999999999998</v>
      </c>
      <c r="J1642">
        <v>2600.9299999999998</v>
      </c>
      <c r="K1642" s="1" t="s">
        <v>26</v>
      </c>
      <c r="L1642">
        <v>0.21</v>
      </c>
      <c r="M1642" s="1" t="s">
        <v>32</v>
      </c>
      <c r="N1642" s="1" t="s">
        <v>33</v>
      </c>
      <c r="O1642" s="1" t="s">
        <v>71</v>
      </c>
      <c r="P1642">
        <v>27447.199999999997</v>
      </c>
      <c r="Q1642">
        <v>2023</v>
      </c>
      <c r="R1642">
        <v>22602.081700000002</v>
      </c>
      <c r="S1642">
        <v>-4845.1182999999946</v>
      </c>
      <c r="T1642" s="1" t="s">
        <v>163</v>
      </c>
      <c r="U1642">
        <v>-0.214366020099821</v>
      </c>
    </row>
    <row r="1643" spans="1:21" x14ac:dyDescent="0.3">
      <c r="A1643" s="1" t="s">
        <v>15</v>
      </c>
      <c r="B1643" s="1" t="s">
        <v>110</v>
      </c>
      <c r="C1643" s="2">
        <v>45010</v>
      </c>
      <c r="D1643" s="1" t="s">
        <v>43</v>
      </c>
      <c r="E1643" s="1" t="s">
        <v>44</v>
      </c>
      <c r="F1643">
        <v>7080.88</v>
      </c>
      <c r="G1643">
        <v>1</v>
      </c>
      <c r="H1643" s="1" t="s">
        <v>19</v>
      </c>
      <c r="I1643">
        <v>1702.82</v>
      </c>
      <c r="J1643">
        <v>1862.61</v>
      </c>
      <c r="K1643" s="1" t="s">
        <v>20</v>
      </c>
      <c r="L1643">
        <v>0.24</v>
      </c>
      <c r="M1643" s="1" t="s">
        <v>21</v>
      </c>
      <c r="N1643" s="1" t="s">
        <v>33</v>
      </c>
      <c r="O1643" s="1" t="s">
        <v>45</v>
      </c>
      <c r="P1643">
        <v>1702.82</v>
      </c>
      <c r="Q1643">
        <v>2023</v>
      </c>
      <c r="R1643">
        <v>1415.5835999999999</v>
      </c>
      <c r="S1643">
        <v>-287.2364</v>
      </c>
      <c r="T1643" s="1" t="s">
        <v>163</v>
      </c>
      <c r="U1643">
        <v>-0.20291023433727301</v>
      </c>
    </row>
    <row r="1644" spans="1:21" x14ac:dyDescent="0.3">
      <c r="A1644" s="1" t="s">
        <v>15</v>
      </c>
      <c r="B1644" s="1" t="s">
        <v>139</v>
      </c>
      <c r="C1644" s="2">
        <v>45010</v>
      </c>
      <c r="D1644" s="1" t="s">
        <v>43</v>
      </c>
      <c r="E1644" s="1" t="s">
        <v>40</v>
      </c>
      <c r="F1644">
        <v>7442.25</v>
      </c>
      <c r="G1644">
        <v>14</v>
      </c>
      <c r="H1644" s="1" t="s">
        <v>19</v>
      </c>
      <c r="I1644">
        <v>1861.2</v>
      </c>
      <c r="J1644">
        <v>2075.35</v>
      </c>
      <c r="K1644" s="1" t="s">
        <v>20</v>
      </c>
      <c r="L1644">
        <v>0.1</v>
      </c>
      <c r="M1644" s="1" t="s">
        <v>27</v>
      </c>
      <c r="N1644" s="1" t="s">
        <v>33</v>
      </c>
      <c r="O1644" s="1" t="s">
        <v>99</v>
      </c>
      <c r="P1644">
        <v>26056.799999999999</v>
      </c>
      <c r="Q1644">
        <v>2023</v>
      </c>
      <c r="R1644">
        <v>26149.41</v>
      </c>
      <c r="S1644">
        <v>92.610000000000582</v>
      </c>
      <c r="T1644" s="1" t="s">
        <v>163</v>
      </c>
      <c r="U1644">
        <v>3.5415713012263198E-3</v>
      </c>
    </row>
    <row r="1645" spans="1:21" x14ac:dyDescent="0.3">
      <c r="A1645" s="1" t="s">
        <v>15</v>
      </c>
      <c r="B1645" s="1" t="s">
        <v>135</v>
      </c>
      <c r="C1645" s="2">
        <v>45010</v>
      </c>
      <c r="D1645" s="1" t="s">
        <v>17</v>
      </c>
      <c r="E1645" s="1" t="s">
        <v>44</v>
      </c>
      <c r="F1645">
        <v>8611.9699999999993</v>
      </c>
      <c r="G1645">
        <v>17</v>
      </c>
      <c r="H1645" s="1" t="s">
        <v>37</v>
      </c>
      <c r="I1645">
        <v>558.70000000000005</v>
      </c>
      <c r="J1645">
        <v>1004.08</v>
      </c>
      <c r="K1645" s="1" t="s">
        <v>20</v>
      </c>
      <c r="L1645">
        <v>0.03</v>
      </c>
      <c r="M1645" s="1" t="s">
        <v>27</v>
      </c>
      <c r="N1645" s="1" t="s">
        <v>22</v>
      </c>
      <c r="O1645" s="1" t="s">
        <v>49</v>
      </c>
      <c r="P1645">
        <v>9497.9000000000015</v>
      </c>
      <c r="Q1645">
        <v>2023</v>
      </c>
      <c r="R1645">
        <v>16557.279200000001</v>
      </c>
      <c r="S1645">
        <v>7059.3791999999994</v>
      </c>
      <c r="T1645" s="1" t="s">
        <v>163</v>
      </c>
      <c r="U1645">
        <v>0.42636106540982899</v>
      </c>
    </row>
    <row r="1646" spans="1:21" x14ac:dyDescent="0.3">
      <c r="A1646" s="1" t="s">
        <v>15</v>
      </c>
      <c r="B1646" s="1" t="s">
        <v>122</v>
      </c>
      <c r="C1646" s="2">
        <v>45011</v>
      </c>
      <c r="D1646" s="1" t="s">
        <v>36</v>
      </c>
      <c r="E1646" s="1" t="s">
        <v>44</v>
      </c>
      <c r="F1646">
        <v>6286.25</v>
      </c>
      <c r="G1646">
        <v>7</v>
      </c>
      <c r="H1646" s="1" t="s">
        <v>19</v>
      </c>
      <c r="I1646">
        <v>1896.35</v>
      </c>
      <c r="J1646">
        <v>2394.1999999999998</v>
      </c>
      <c r="K1646" s="1" t="s">
        <v>26</v>
      </c>
      <c r="L1646">
        <v>0.22</v>
      </c>
      <c r="M1646" s="1" t="s">
        <v>32</v>
      </c>
      <c r="N1646" s="1" t="s">
        <v>22</v>
      </c>
      <c r="O1646" s="1" t="s">
        <v>71</v>
      </c>
      <c r="P1646">
        <v>13274.449999999999</v>
      </c>
      <c r="Q1646">
        <v>2023</v>
      </c>
      <c r="R1646">
        <v>13072.331999999999</v>
      </c>
      <c r="S1646">
        <v>-202.11800000000039</v>
      </c>
      <c r="T1646" s="1" t="s">
        <v>163</v>
      </c>
      <c r="U1646">
        <v>-1.5461510616468501E-2</v>
      </c>
    </row>
    <row r="1647" spans="1:21" x14ac:dyDescent="0.3">
      <c r="A1647" s="1" t="s">
        <v>15</v>
      </c>
      <c r="B1647" s="1" t="s">
        <v>117</v>
      </c>
      <c r="C1647" s="2">
        <v>45012</v>
      </c>
      <c r="D1647" s="1" t="s">
        <v>59</v>
      </c>
      <c r="E1647" s="1" t="s">
        <v>18</v>
      </c>
      <c r="F1647">
        <v>4821.3100000000004</v>
      </c>
      <c r="G1647">
        <v>48</v>
      </c>
      <c r="H1647" s="1" t="s">
        <v>19</v>
      </c>
      <c r="I1647">
        <v>2449.21</v>
      </c>
      <c r="J1647">
        <v>2714.12</v>
      </c>
      <c r="K1647" s="1" t="s">
        <v>26</v>
      </c>
      <c r="L1647">
        <v>0.01</v>
      </c>
      <c r="M1647" s="1" t="s">
        <v>27</v>
      </c>
      <c r="N1647" s="1" t="s">
        <v>22</v>
      </c>
      <c r="O1647" s="1" t="s">
        <v>77</v>
      </c>
      <c r="P1647">
        <v>117562.08</v>
      </c>
      <c r="Q1647">
        <v>2023</v>
      </c>
      <c r="R1647">
        <v>128974.98239999999</v>
      </c>
      <c r="S1647">
        <v>11412.902399999992</v>
      </c>
      <c r="T1647" s="1" t="s">
        <v>163</v>
      </c>
      <c r="U1647">
        <v>8.8489272784735007E-2</v>
      </c>
    </row>
    <row r="1648" spans="1:21" x14ac:dyDescent="0.3">
      <c r="A1648" s="1" t="s">
        <v>15</v>
      </c>
      <c r="B1648" s="1" t="s">
        <v>133</v>
      </c>
      <c r="C1648" s="2">
        <v>45012</v>
      </c>
      <c r="D1648" s="1" t="s">
        <v>17</v>
      </c>
      <c r="E1648" s="1" t="s">
        <v>30</v>
      </c>
      <c r="F1648">
        <v>8159.84</v>
      </c>
      <c r="G1648">
        <v>37</v>
      </c>
      <c r="H1648" s="1" t="s">
        <v>19</v>
      </c>
      <c r="I1648">
        <v>4354.92</v>
      </c>
      <c r="J1648">
        <v>4495.88</v>
      </c>
      <c r="K1648" s="1" t="s">
        <v>20</v>
      </c>
      <c r="L1648">
        <v>0.01</v>
      </c>
      <c r="M1648" s="1" t="s">
        <v>32</v>
      </c>
      <c r="N1648" s="1" t="s">
        <v>22</v>
      </c>
      <c r="O1648" s="1" t="s">
        <v>34</v>
      </c>
      <c r="P1648">
        <v>161132.04</v>
      </c>
      <c r="Q1648">
        <v>2023</v>
      </c>
      <c r="R1648">
        <v>164684.08439999999</v>
      </c>
      <c r="S1648">
        <v>3552.0443999999843</v>
      </c>
      <c r="T1648" s="1" t="s">
        <v>163</v>
      </c>
      <c r="U1648">
        <v>2.1568838378895502E-2</v>
      </c>
    </row>
    <row r="1649" spans="1:21" x14ac:dyDescent="0.3">
      <c r="A1649" s="1" t="s">
        <v>15</v>
      </c>
      <c r="B1649" s="1" t="s">
        <v>65</v>
      </c>
      <c r="C1649" s="2">
        <v>45012</v>
      </c>
      <c r="D1649" s="1" t="s">
        <v>36</v>
      </c>
      <c r="E1649" s="1" t="s">
        <v>44</v>
      </c>
      <c r="F1649">
        <v>719.39</v>
      </c>
      <c r="G1649">
        <v>47</v>
      </c>
      <c r="H1649" s="1" t="s">
        <v>37</v>
      </c>
      <c r="I1649">
        <v>4171.83</v>
      </c>
      <c r="J1649">
        <v>4320.93</v>
      </c>
      <c r="K1649" s="1" t="s">
        <v>26</v>
      </c>
      <c r="L1649">
        <v>7.0000000000000007E-2</v>
      </c>
      <c r="M1649" s="1" t="s">
        <v>21</v>
      </c>
      <c r="N1649" s="1" t="s">
        <v>22</v>
      </c>
      <c r="O1649" s="1" t="s">
        <v>71</v>
      </c>
      <c r="P1649">
        <v>196076.01</v>
      </c>
      <c r="Q1649">
        <v>2023</v>
      </c>
      <c r="R1649">
        <v>188867.85030000002</v>
      </c>
      <c r="S1649">
        <v>-7208.1596999999892</v>
      </c>
      <c r="T1649" s="1" t="s">
        <v>163</v>
      </c>
      <c r="U1649">
        <v>-3.8165096328202301E-2</v>
      </c>
    </row>
    <row r="1650" spans="1:21" x14ac:dyDescent="0.3">
      <c r="A1650" s="1" t="s">
        <v>15</v>
      </c>
      <c r="B1650" s="1" t="s">
        <v>76</v>
      </c>
      <c r="C1650" s="2">
        <v>45013</v>
      </c>
      <c r="D1650" s="1" t="s">
        <v>25</v>
      </c>
      <c r="E1650" s="1" t="s">
        <v>18</v>
      </c>
      <c r="F1650">
        <v>7297.86</v>
      </c>
      <c r="G1650">
        <v>7</v>
      </c>
      <c r="H1650" s="1" t="s">
        <v>19</v>
      </c>
      <c r="I1650">
        <v>523.41999999999996</v>
      </c>
      <c r="J1650">
        <v>632.44000000000005</v>
      </c>
      <c r="K1650" s="1" t="s">
        <v>26</v>
      </c>
      <c r="L1650">
        <v>0.2</v>
      </c>
      <c r="M1650" s="1" t="s">
        <v>32</v>
      </c>
      <c r="N1650" s="1" t="s">
        <v>22</v>
      </c>
      <c r="O1650" s="1" t="s">
        <v>28</v>
      </c>
      <c r="P1650">
        <v>3663.9399999999996</v>
      </c>
      <c r="Q1650">
        <v>2023</v>
      </c>
      <c r="R1650">
        <v>3541.6640000000002</v>
      </c>
      <c r="S1650">
        <v>-122.27599999999939</v>
      </c>
      <c r="T1650" s="1" t="s">
        <v>163</v>
      </c>
      <c r="U1650">
        <v>-3.4525014230598797E-2</v>
      </c>
    </row>
    <row r="1651" spans="1:21" x14ac:dyDescent="0.3">
      <c r="A1651" s="1" t="s">
        <v>15</v>
      </c>
      <c r="B1651" s="1" t="s">
        <v>91</v>
      </c>
      <c r="C1651" s="2">
        <v>45013</v>
      </c>
      <c r="D1651" s="1" t="s">
        <v>17</v>
      </c>
      <c r="E1651" s="1" t="s">
        <v>40</v>
      </c>
      <c r="F1651">
        <v>6792.66</v>
      </c>
      <c r="G1651">
        <v>14</v>
      </c>
      <c r="H1651" s="1" t="s">
        <v>19</v>
      </c>
      <c r="I1651">
        <v>635.28</v>
      </c>
      <c r="J1651">
        <v>831.13</v>
      </c>
      <c r="K1651" s="1" t="s">
        <v>20</v>
      </c>
      <c r="L1651">
        <v>0.17</v>
      </c>
      <c r="M1651" s="1" t="s">
        <v>32</v>
      </c>
      <c r="N1651" s="1" t="s">
        <v>33</v>
      </c>
      <c r="O1651" s="1" t="s">
        <v>67</v>
      </c>
      <c r="P1651">
        <v>8893.92</v>
      </c>
      <c r="Q1651">
        <v>2023</v>
      </c>
      <c r="R1651">
        <v>9657.730599999999</v>
      </c>
      <c r="S1651">
        <v>763.81059999999889</v>
      </c>
      <c r="T1651" s="1" t="s">
        <v>163</v>
      </c>
      <c r="U1651">
        <v>7.9088000238896602E-2</v>
      </c>
    </row>
    <row r="1652" spans="1:21" x14ac:dyDescent="0.3">
      <c r="A1652" s="1" t="s">
        <v>15</v>
      </c>
      <c r="B1652" s="1" t="s">
        <v>144</v>
      </c>
      <c r="C1652" s="2">
        <v>45013</v>
      </c>
      <c r="D1652" s="1" t="s">
        <v>25</v>
      </c>
      <c r="E1652" s="1" t="s">
        <v>30</v>
      </c>
      <c r="F1652">
        <v>4947.28</v>
      </c>
      <c r="G1652">
        <v>42</v>
      </c>
      <c r="H1652" s="1" t="s">
        <v>57</v>
      </c>
      <c r="I1652">
        <v>1170.07</v>
      </c>
      <c r="J1652">
        <v>1669.95</v>
      </c>
      <c r="K1652" s="1" t="s">
        <v>20</v>
      </c>
      <c r="L1652">
        <v>0.12</v>
      </c>
      <c r="M1652" s="1" t="s">
        <v>32</v>
      </c>
      <c r="N1652" s="1" t="s">
        <v>33</v>
      </c>
      <c r="O1652" s="1" t="s">
        <v>92</v>
      </c>
      <c r="P1652">
        <v>49142.939999999995</v>
      </c>
      <c r="Q1652">
        <v>2023</v>
      </c>
      <c r="R1652">
        <v>61721.352000000006</v>
      </c>
      <c r="S1652">
        <v>12578.412000000011</v>
      </c>
      <c r="T1652" s="1" t="s">
        <v>163</v>
      </c>
      <c r="U1652">
        <v>0.203793526752298</v>
      </c>
    </row>
    <row r="1653" spans="1:21" x14ac:dyDescent="0.3">
      <c r="A1653" s="1" t="s">
        <v>15</v>
      </c>
      <c r="B1653" s="1" t="s">
        <v>87</v>
      </c>
      <c r="C1653" s="2">
        <v>45014</v>
      </c>
      <c r="D1653" s="1" t="s">
        <v>43</v>
      </c>
      <c r="E1653" s="1" t="s">
        <v>40</v>
      </c>
      <c r="F1653">
        <v>8640.14</v>
      </c>
      <c r="G1653">
        <v>45</v>
      </c>
      <c r="H1653" s="1" t="s">
        <v>31</v>
      </c>
      <c r="I1653">
        <v>4020.09</v>
      </c>
      <c r="J1653">
        <v>4087.91</v>
      </c>
      <c r="K1653" s="1" t="s">
        <v>20</v>
      </c>
      <c r="L1653">
        <v>0.06</v>
      </c>
      <c r="M1653" s="1" t="s">
        <v>32</v>
      </c>
      <c r="N1653" s="1" t="s">
        <v>22</v>
      </c>
      <c r="O1653" s="1" t="s">
        <v>99</v>
      </c>
      <c r="P1653">
        <v>180904.05000000002</v>
      </c>
      <c r="Q1653">
        <v>2023</v>
      </c>
      <c r="R1653">
        <v>172918.59299999996</v>
      </c>
      <c r="S1653">
        <v>-7985.4570000000531</v>
      </c>
      <c r="T1653" s="1" t="s">
        <v>163</v>
      </c>
      <c r="U1653">
        <v>-4.6180441683330499E-2</v>
      </c>
    </row>
    <row r="1654" spans="1:21" x14ac:dyDescent="0.3">
      <c r="A1654" s="1" t="s">
        <v>15</v>
      </c>
      <c r="B1654" s="1" t="s">
        <v>133</v>
      </c>
      <c r="C1654" s="2">
        <v>45014</v>
      </c>
      <c r="D1654" s="1" t="s">
        <v>59</v>
      </c>
      <c r="E1654" s="1" t="s">
        <v>30</v>
      </c>
      <c r="F1654">
        <v>3329.91</v>
      </c>
      <c r="G1654">
        <v>49</v>
      </c>
      <c r="H1654" s="1" t="s">
        <v>57</v>
      </c>
      <c r="I1654">
        <v>1150.3</v>
      </c>
      <c r="J1654">
        <v>1306.02</v>
      </c>
      <c r="K1654" s="1" t="s">
        <v>26</v>
      </c>
      <c r="L1654">
        <v>0.06</v>
      </c>
      <c r="M1654" s="1" t="s">
        <v>27</v>
      </c>
      <c r="N1654" s="1" t="s">
        <v>33</v>
      </c>
      <c r="O1654" s="1" t="s">
        <v>86</v>
      </c>
      <c r="P1654">
        <v>56364.7</v>
      </c>
      <c r="Q1654">
        <v>2023</v>
      </c>
      <c r="R1654">
        <v>60155.28119999999</v>
      </c>
      <c r="S1654">
        <v>3790.5811999999933</v>
      </c>
      <c r="T1654" s="1" t="s">
        <v>163</v>
      </c>
      <c r="U1654">
        <v>6.3013273720678595E-2</v>
      </c>
    </row>
    <row r="1655" spans="1:21" x14ac:dyDescent="0.3">
      <c r="A1655" s="1" t="s">
        <v>15</v>
      </c>
      <c r="B1655" s="1" t="s">
        <v>139</v>
      </c>
      <c r="C1655" s="2">
        <v>45015</v>
      </c>
      <c r="D1655" s="1" t="s">
        <v>59</v>
      </c>
      <c r="E1655" s="1" t="s">
        <v>44</v>
      </c>
      <c r="F1655">
        <v>6828.24</v>
      </c>
      <c r="G1655">
        <v>12</v>
      </c>
      <c r="H1655" s="1" t="s">
        <v>37</v>
      </c>
      <c r="I1655">
        <v>319.83</v>
      </c>
      <c r="J1655">
        <v>802.43</v>
      </c>
      <c r="K1655" s="1" t="s">
        <v>26</v>
      </c>
      <c r="L1655">
        <v>0.04</v>
      </c>
      <c r="M1655" s="1" t="s">
        <v>27</v>
      </c>
      <c r="N1655" s="1" t="s">
        <v>33</v>
      </c>
      <c r="O1655" s="1" t="s">
        <v>60</v>
      </c>
      <c r="P1655">
        <v>3837.96</v>
      </c>
      <c r="Q1655">
        <v>2023</v>
      </c>
      <c r="R1655">
        <v>9243.9935999999998</v>
      </c>
      <c r="S1655">
        <v>5406.0335999999998</v>
      </c>
      <c r="T1655" s="1" t="s">
        <v>163</v>
      </c>
      <c r="U1655">
        <v>0.58481580947870804</v>
      </c>
    </row>
    <row r="1656" spans="1:21" x14ac:dyDescent="0.3">
      <c r="A1656" s="1" t="s">
        <v>15</v>
      </c>
      <c r="B1656" s="1" t="s">
        <v>121</v>
      </c>
      <c r="C1656" s="2">
        <v>45015</v>
      </c>
      <c r="D1656" s="1" t="s">
        <v>36</v>
      </c>
      <c r="E1656" s="1" t="s">
        <v>44</v>
      </c>
      <c r="F1656">
        <v>8088.96</v>
      </c>
      <c r="G1656">
        <v>14</v>
      </c>
      <c r="H1656" s="1" t="s">
        <v>31</v>
      </c>
      <c r="I1656">
        <v>1122.07</v>
      </c>
      <c r="J1656">
        <v>1608.76</v>
      </c>
      <c r="K1656" s="1" t="s">
        <v>26</v>
      </c>
      <c r="L1656">
        <v>0.22</v>
      </c>
      <c r="M1656" s="1" t="s">
        <v>21</v>
      </c>
      <c r="N1656" s="1" t="s">
        <v>33</v>
      </c>
      <c r="O1656" s="1" t="s">
        <v>71</v>
      </c>
      <c r="P1656">
        <v>15708.98</v>
      </c>
      <c r="Q1656">
        <v>2023</v>
      </c>
      <c r="R1656">
        <v>17567.659200000002</v>
      </c>
      <c r="S1656">
        <v>1858.6792000000023</v>
      </c>
      <c r="T1656" s="1" t="s">
        <v>163</v>
      </c>
      <c r="U1656">
        <v>0.105801187217931</v>
      </c>
    </row>
    <row r="1657" spans="1:21" x14ac:dyDescent="0.3">
      <c r="A1657" s="1" t="s">
        <v>15</v>
      </c>
      <c r="B1657" s="1" t="s">
        <v>66</v>
      </c>
      <c r="C1657" s="2">
        <v>45015</v>
      </c>
      <c r="D1657" s="1" t="s">
        <v>36</v>
      </c>
      <c r="E1657" s="1" t="s">
        <v>40</v>
      </c>
      <c r="F1657">
        <v>9278.4</v>
      </c>
      <c r="G1657">
        <v>45</v>
      </c>
      <c r="H1657" s="1" t="s">
        <v>19</v>
      </c>
      <c r="I1657">
        <v>4763.1099999999997</v>
      </c>
      <c r="J1657">
        <v>5119.91</v>
      </c>
      <c r="K1657" s="1" t="s">
        <v>20</v>
      </c>
      <c r="L1657">
        <v>0.28999999999999998</v>
      </c>
      <c r="M1657" s="1" t="s">
        <v>21</v>
      </c>
      <c r="N1657" s="1" t="s">
        <v>33</v>
      </c>
      <c r="O1657" s="1" t="s">
        <v>41</v>
      </c>
      <c r="P1657">
        <v>214339.94999999998</v>
      </c>
      <c r="Q1657">
        <v>2023</v>
      </c>
      <c r="R1657">
        <v>163581.12449999998</v>
      </c>
      <c r="S1657">
        <v>-50758.825500000006</v>
      </c>
      <c r="T1657" s="1" t="s">
        <v>163</v>
      </c>
      <c r="U1657">
        <v>-0.31029757042659301</v>
      </c>
    </row>
    <row r="1658" spans="1:21" x14ac:dyDescent="0.3">
      <c r="A1658" s="1" t="s">
        <v>15</v>
      </c>
      <c r="B1658" s="1" t="s">
        <v>104</v>
      </c>
      <c r="C1658" s="2">
        <v>45015</v>
      </c>
      <c r="D1658" s="1" t="s">
        <v>25</v>
      </c>
      <c r="E1658" s="1" t="s">
        <v>30</v>
      </c>
      <c r="F1658">
        <v>2279.1</v>
      </c>
      <c r="G1658">
        <v>10</v>
      </c>
      <c r="H1658" s="1" t="s">
        <v>19</v>
      </c>
      <c r="I1658">
        <v>4364.3500000000004</v>
      </c>
      <c r="J1658">
        <v>4710.1000000000004</v>
      </c>
      <c r="K1658" s="1" t="s">
        <v>26</v>
      </c>
      <c r="L1658">
        <v>7.0000000000000007E-2</v>
      </c>
      <c r="M1658" s="1" t="s">
        <v>27</v>
      </c>
      <c r="N1658" s="1" t="s">
        <v>22</v>
      </c>
      <c r="O1658" s="1" t="s">
        <v>92</v>
      </c>
      <c r="P1658">
        <v>43643.5</v>
      </c>
      <c r="Q1658">
        <v>2023</v>
      </c>
      <c r="R1658">
        <v>43803.93</v>
      </c>
      <c r="S1658">
        <v>160.43000000000029</v>
      </c>
      <c r="T1658" s="1" t="s">
        <v>163</v>
      </c>
      <c r="U1658">
        <v>3.66245677043134E-3</v>
      </c>
    </row>
    <row r="1659" spans="1:21" x14ac:dyDescent="0.3">
      <c r="A1659" s="1" t="s">
        <v>15</v>
      </c>
      <c r="B1659" s="1" t="s">
        <v>145</v>
      </c>
      <c r="C1659" s="2">
        <v>45016</v>
      </c>
      <c r="D1659" s="1" t="s">
        <v>59</v>
      </c>
      <c r="E1659" s="1" t="s">
        <v>44</v>
      </c>
      <c r="F1659">
        <v>3546.15</v>
      </c>
      <c r="G1659">
        <v>37</v>
      </c>
      <c r="H1659" s="1" t="s">
        <v>37</v>
      </c>
      <c r="I1659">
        <v>3114.88</v>
      </c>
      <c r="J1659">
        <v>3256.78</v>
      </c>
      <c r="K1659" s="1" t="s">
        <v>20</v>
      </c>
      <c r="L1659">
        <v>0.26</v>
      </c>
      <c r="M1659" s="1" t="s">
        <v>27</v>
      </c>
      <c r="N1659" s="1" t="s">
        <v>22</v>
      </c>
      <c r="O1659" s="1" t="s">
        <v>60</v>
      </c>
      <c r="P1659">
        <v>115250.56</v>
      </c>
      <c r="Q1659">
        <v>2023</v>
      </c>
      <c r="R1659">
        <v>89170.636400000003</v>
      </c>
      <c r="S1659">
        <v>-26079.923599999995</v>
      </c>
      <c r="T1659" s="1" t="s">
        <v>163</v>
      </c>
      <c r="U1659">
        <v>-0.29247210351859698</v>
      </c>
    </row>
    <row r="1660" spans="1:21" x14ac:dyDescent="0.3">
      <c r="A1660" s="1" t="s">
        <v>15</v>
      </c>
      <c r="B1660" s="1" t="s">
        <v>105</v>
      </c>
      <c r="C1660" s="2">
        <v>45016</v>
      </c>
      <c r="D1660" s="1" t="s">
        <v>17</v>
      </c>
      <c r="E1660" s="1" t="s">
        <v>44</v>
      </c>
      <c r="F1660">
        <v>4309.76</v>
      </c>
      <c r="G1660">
        <v>38</v>
      </c>
      <c r="H1660" s="1" t="s">
        <v>37</v>
      </c>
      <c r="I1660">
        <v>3883.38</v>
      </c>
      <c r="J1660">
        <v>4152.72</v>
      </c>
      <c r="K1660" s="1" t="s">
        <v>20</v>
      </c>
      <c r="L1660">
        <v>0.26</v>
      </c>
      <c r="M1660" s="1" t="s">
        <v>21</v>
      </c>
      <c r="N1660" s="1" t="s">
        <v>22</v>
      </c>
      <c r="O1660" s="1" t="s">
        <v>49</v>
      </c>
      <c r="P1660">
        <v>147568.44</v>
      </c>
      <c r="Q1660">
        <v>2023</v>
      </c>
      <c r="R1660">
        <v>116774.48640000001</v>
      </c>
      <c r="S1660">
        <v>-30793.953599999993</v>
      </c>
      <c r="T1660" s="1" t="s">
        <v>163</v>
      </c>
      <c r="U1660">
        <v>-0.263704466183805</v>
      </c>
    </row>
    <row r="1661" spans="1:21" x14ac:dyDescent="0.3">
      <c r="A1661" s="1" t="s">
        <v>15</v>
      </c>
      <c r="B1661" s="1" t="s">
        <v>146</v>
      </c>
      <c r="C1661" s="2">
        <v>45016</v>
      </c>
      <c r="D1661" s="1" t="s">
        <v>25</v>
      </c>
      <c r="E1661" s="1" t="s">
        <v>44</v>
      </c>
      <c r="F1661">
        <v>6744.46</v>
      </c>
      <c r="G1661">
        <v>12</v>
      </c>
      <c r="H1661" s="1" t="s">
        <v>19</v>
      </c>
      <c r="I1661">
        <v>4553.2299999999996</v>
      </c>
      <c r="J1661">
        <v>5038.74</v>
      </c>
      <c r="K1661" s="1" t="s">
        <v>26</v>
      </c>
      <c r="L1661">
        <v>0.09</v>
      </c>
      <c r="M1661" s="1" t="s">
        <v>27</v>
      </c>
      <c r="N1661" s="1" t="s">
        <v>33</v>
      </c>
      <c r="O1661" s="1" t="s">
        <v>47</v>
      </c>
      <c r="P1661">
        <v>54638.759999999995</v>
      </c>
      <c r="Q1661">
        <v>2023</v>
      </c>
      <c r="R1661">
        <v>55023.040800000002</v>
      </c>
      <c r="S1661">
        <v>384.28080000000773</v>
      </c>
      <c r="T1661" s="1" t="s">
        <v>163</v>
      </c>
      <c r="U1661">
        <v>6.9839978745778004E-3</v>
      </c>
    </row>
    <row r="1662" spans="1:21" x14ac:dyDescent="0.3">
      <c r="A1662" s="1" t="s">
        <v>15</v>
      </c>
      <c r="B1662" s="1" t="s">
        <v>132</v>
      </c>
      <c r="C1662" s="2">
        <v>45016</v>
      </c>
      <c r="D1662" s="1" t="s">
        <v>36</v>
      </c>
      <c r="E1662" s="1" t="s">
        <v>40</v>
      </c>
      <c r="F1662">
        <v>4929.5600000000004</v>
      </c>
      <c r="G1662">
        <v>4</v>
      </c>
      <c r="H1662" s="1" t="s">
        <v>31</v>
      </c>
      <c r="I1662">
        <v>2751.06</v>
      </c>
      <c r="J1662">
        <v>2976.01</v>
      </c>
      <c r="K1662" s="1" t="s">
        <v>20</v>
      </c>
      <c r="L1662">
        <v>0.28000000000000003</v>
      </c>
      <c r="M1662" s="1" t="s">
        <v>27</v>
      </c>
      <c r="N1662" s="1" t="s">
        <v>22</v>
      </c>
      <c r="O1662" s="1" t="s">
        <v>41</v>
      </c>
      <c r="P1662">
        <v>11004.24</v>
      </c>
      <c r="Q1662">
        <v>2023</v>
      </c>
      <c r="R1662">
        <v>8570.9088000000011</v>
      </c>
      <c r="S1662">
        <v>-2433.3311999999987</v>
      </c>
      <c r="T1662" s="1" t="s">
        <v>163</v>
      </c>
      <c r="U1662">
        <v>-0.28390585605111102</v>
      </c>
    </row>
    <row r="1663" spans="1:21" x14ac:dyDescent="0.3">
      <c r="A1663" s="1" t="s">
        <v>15</v>
      </c>
      <c r="B1663" s="1" t="s">
        <v>147</v>
      </c>
      <c r="C1663" s="2">
        <v>45018</v>
      </c>
      <c r="D1663" s="1" t="s">
        <v>17</v>
      </c>
      <c r="E1663" s="1" t="s">
        <v>40</v>
      </c>
      <c r="F1663">
        <v>3595.2</v>
      </c>
      <c r="G1663">
        <v>12</v>
      </c>
      <c r="H1663" s="1" t="s">
        <v>57</v>
      </c>
      <c r="I1663">
        <v>3496.15</v>
      </c>
      <c r="J1663">
        <v>3955.75</v>
      </c>
      <c r="K1663" s="1" t="s">
        <v>20</v>
      </c>
      <c r="L1663">
        <v>0.28000000000000003</v>
      </c>
      <c r="M1663" s="1" t="s">
        <v>21</v>
      </c>
      <c r="N1663" s="1" t="s">
        <v>33</v>
      </c>
      <c r="O1663" s="1" t="s">
        <v>67</v>
      </c>
      <c r="P1663">
        <v>41953.8</v>
      </c>
      <c r="Q1663">
        <v>2023</v>
      </c>
      <c r="R1663">
        <v>34177.68</v>
      </c>
      <c r="S1663">
        <v>-7776.1200000000026</v>
      </c>
      <c r="T1663" s="1" t="s">
        <v>164</v>
      </c>
      <c r="U1663">
        <v>-0.22752041683344201</v>
      </c>
    </row>
    <row r="1664" spans="1:21" x14ac:dyDescent="0.3">
      <c r="A1664" s="1" t="s">
        <v>15</v>
      </c>
      <c r="B1664" s="1" t="s">
        <v>93</v>
      </c>
      <c r="C1664" s="2">
        <v>45018</v>
      </c>
      <c r="D1664" s="1" t="s">
        <v>36</v>
      </c>
      <c r="E1664" s="1" t="s">
        <v>30</v>
      </c>
      <c r="F1664">
        <v>9673.65</v>
      </c>
      <c r="G1664">
        <v>45</v>
      </c>
      <c r="H1664" s="1" t="s">
        <v>37</v>
      </c>
      <c r="I1664">
        <v>4262.21</v>
      </c>
      <c r="J1664">
        <v>4533.3100000000004</v>
      </c>
      <c r="K1664" s="1" t="s">
        <v>20</v>
      </c>
      <c r="L1664">
        <v>0.27</v>
      </c>
      <c r="M1664" s="1" t="s">
        <v>27</v>
      </c>
      <c r="N1664" s="1" t="s">
        <v>22</v>
      </c>
      <c r="O1664" s="1" t="s">
        <v>38</v>
      </c>
      <c r="P1664">
        <v>191799.45</v>
      </c>
      <c r="Q1664">
        <v>2023</v>
      </c>
      <c r="R1664">
        <v>148919.2335</v>
      </c>
      <c r="S1664">
        <v>-42880.21650000001</v>
      </c>
      <c r="T1664" s="1" t="s">
        <v>164</v>
      </c>
      <c r="U1664">
        <v>-0.28794276932670398</v>
      </c>
    </row>
    <row r="1665" spans="1:21" x14ac:dyDescent="0.3">
      <c r="A1665" s="1" t="s">
        <v>15</v>
      </c>
      <c r="B1665" s="1" t="s">
        <v>63</v>
      </c>
      <c r="C1665" s="2">
        <v>45018</v>
      </c>
      <c r="D1665" s="1" t="s">
        <v>43</v>
      </c>
      <c r="E1665" s="1" t="s">
        <v>44</v>
      </c>
      <c r="F1665">
        <v>6991.95</v>
      </c>
      <c r="G1665">
        <v>10</v>
      </c>
      <c r="H1665" s="1" t="s">
        <v>19</v>
      </c>
      <c r="I1665">
        <v>1524.88</v>
      </c>
      <c r="J1665">
        <v>1636.14</v>
      </c>
      <c r="K1665" s="1" t="s">
        <v>26</v>
      </c>
      <c r="L1665">
        <v>0.2</v>
      </c>
      <c r="M1665" s="1" t="s">
        <v>32</v>
      </c>
      <c r="N1665" s="1" t="s">
        <v>22</v>
      </c>
      <c r="O1665" s="1" t="s">
        <v>45</v>
      </c>
      <c r="P1665">
        <v>15248.800000000001</v>
      </c>
      <c r="Q1665">
        <v>2023</v>
      </c>
      <c r="R1665">
        <v>13089.120000000003</v>
      </c>
      <c r="S1665">
        <v>-2159.6799999999985</v>
      </c>
      <c r="T1665" s="1" t="s">
        <v>164</v>
      </c>
      <c r="U1665">
        <v>-0.16499810529661299</v>
      </c>
    </row>
    <row r="1666" spans="1:21" x14ac:dyDescent="0.3">
      <c r="A1666" s="1" t="s">
        <v>15</v>
      </c>
      <c r="B1666" s="1" t="s">
        <v>139</v>
      </c>
      <c r="C1666" s="2">
        <v>45018</v>
      </c>
      <c r="D1666" s="1" t="s">
        <v>36</v>
      </c>
      <c r="E1666" s="1" t="s">
        <v>30</v>
      </c>
      <c r="F1666">
        <v>1646.45</v>
      </c>
      <c r="G1666">
        <v>46</v>
      </c>
      <c r="H1666" s="1" t="s">
        <v>31</v>
      </c>
      <c r="I1666">
        <v>4691.42</v>
      </c>
      <c r="J1666">
        <v>5026.1899999999996</v>
      </c>
      <c r="K1666" s="1" t="s">
        <v>20</v>
      </c>
      <c r="L1666">
        <v>0.22</v>
      </c>
      <c r="M1666" s="1" t="s">
        <v>32</v>
      </c>
      <c r="N1666" s="1" t="s">
        <v>33</v>
      </c>
      <c r="O1666" s="1" t="s">
        <v>38</v>
      </c>
      <c r="P1666">
        <v>215805.32</v>
      </c>
      <c r="Q1666">
        <v>2023</v>
      </c>
      <c r="R1666">
        <v>180339.6972</v>
      </c>
      <c r="S1666">
        <v>-35465.622800000012</v>
      </c>
      <c r="T1666" s="1" t="s">
        <v>164</v>
      </c>
      <c r="U1666">
        <v>-0.19666009952688299</v>
      </c>
    </row>
    <row r="1667" spans="1:21" x14ac:dyDescent="0.3">
      <c r="A1667" s="1" t="s">
        <v>15</v>
      </c>
      <c r="B1667" s="1" t="s">
        <v>69</v>
      </c>
      <c r="C1667" s="2">
        <v>45018</v>
      </c>
      <c r="D1667" s="1" t="s">
        <v>25</v>
      </c>
      <c r="E1667" s="1" t="s">
        <v>40</v>
      </c>
      <c r="F1667">
        <v>2184.02</v>
      </c>
      <c r="G1667">
        <v>7</v>
      </c>
      <c r="H1667" s="1" t="s">
        <v>37</v>
      </c>
      <c r="I1667">
        <v>2492.36</v>
      </c>
      <c r="J1667">
        <v>2738.68</v>
      </c>
      <c r="K1667" s="1" t="s">
        <v>20</v>
      </c>
      <c r="L1667">
        <v>0.11</v>
      </c>
      <c r="M1667" s="1" t="s">
        <v>21</v>
      </c>
      <c r="N1667" s="1" t="s">
        <v>22</v>
      </c>
      <c r="O1667" s="1" t="s">
        <v>83</v>
      </c>
      <c r="P1667">
        <v>17446.52</v>
      </c>
      <c r="Q1667">
        <v>2023</v>
      </c>
      <c r="R1667">
        <v>17061.9764</v>
      </c>
      <c r="S1667">
        <v>-384.54360000000088</v>
      </c>
      <c r="T1667" s="1" t="s">
        <v>164</v>
      </c>
      <c r="U1667">
        <v>-2.2538045475200701E-2</v>
      </c>
    </row>
    <row r="1668" spans="1:21" x14ac:dyDescent="0.3">
      <c r="A1668" s="1" t="s">
        <v>15</v>
      </c>
      <c r="B1668" s="1" t="s">
        <v>138</v>
      </c>
      <c r="C1668" s="2">
        <v>45019</v>
      </c>
      <c r="D1668" s="1" t="s">
        <v>25</v>
      </c>
      <c r="E1668" s="1" t="s">
        <v>44</v>
      </c>
      <c r="F1668">
        <v>5873.59</v>
      </c>
      <c r="G1668">
        <v>9</v>
      </c>
      <c r="H1668" s="1" t="s">
        <v>57</v>
      </c>
      <c r="I1668">
        <v>2650.95</v>
      </c>
      <c r="J1668">
        <v>2860.42</v>
      </c>
      <c r="K1668" s="1" t="s">
        <v>26</v>
      </c>
      <c r="L1668">
        <v>0.12</v>
      </c>
      <c r="M1668" s="1" t="s">
        <v>21</v>
      </c>
      <c r="N1668" s="1" t="s">
        <v>33</v>
      </c>
      <c r="O1668" s="1" t="s">
        <v>47</v>
      </c>
      <c r="P1668">
        <v>23858.55</v>
      </c>
      <c r="Q1668">
        <v>2023</v>
      </c>
      <c r="R1668">
        <v>22654.526399999999</v>
      </c>
      <c r="S1668">
        <v>-1204.0236000000004</v>
      </c>
      <c r="T1668" s="1" t="s">
        <v>164</v>
      </c>
      <c r="U1668">
        <v>-5.3147153850896703E-2</v>
      </c>
    </row>
    <row r="1669" spans="1:21" x14ac:dyDescent="0.3">
      <c r="A1669" s="1" t="s">
        <v>15</v>
      </c>
      <c r="B1669" s="1" t="s">
        <v>42</v>
      </c>
      <c r="C1669" s="2">
        <v>45019</v>
      </c>
      <c r="D1669" s="1" t="s">
        <v>59</v>
      </c>
      <c r="E1669" s="1" t="s">
        <v>18</v>
      </c>
      <c r="F1669">
        <v>2571.7199999999998</v>
      </c>
      <c r="G1669">
        <v>30</v>
      </c>
      <c r="H1669" s="1" t="s">
        <v>31</v>
      </c>
      <c r="I1669">
        <v>4495.82</v>
      </c>
      <c r="J1669">
        <v>4794.01</v>
      </c>
      <c r="K1669" s="1" t="s">
        <v>26</v>
      </c>
      <c r="L1669">
        <v>0.18</v>
      </c>
      <c r="M1669" s="1" t="s">
        <v>32</v>
      </c>
      <c r="N1669" s="1" t="s">
        <v>33</v>
      </c>
      <c r="O1669" s="1" t="s">
        <v>77</v>
      </c>
      <c r="P1669">
        <v>134874.59999999998</v>
      </c>
      <c r="Q1669">
        <v>2023</v>
      </c>
      <c r="R1669">
        <v>117932.64600000002</v>
      </c>
      <c r="S1669">
        <v>-16941.953999999954</v>
      </c>
      <c r="T1669" s="1" t="s">
        <v>164</v>
      </c>
      <c r="U1669">
        <v>-0.14365788078730901</v>
      </c>
    </row>
    <row r="1670" spans="1:21" x14ac:dyDescent="0.3">
      <c r="A1670" s="1" t="s">
        <v>15</v>
      </c>
      <c r="B1670" s="1" t="s">
        <v>50</v>
      </c>
      <c r="C1670" s="2">
        <v>45020</v>
      </c>
      <c r="D1670" s="1" t="s">
        <v>43</v>
      </c>
      <c r="E1670" s="1" t="s">
        <v>44</v>
      </c>
      <c r="F1670">
        <v>198.25</v>
      </c>
      <c r="G1670">
        <v>12</v>
      </c>
      <c r="H1670" s="1" t="s">
        <v>37</v>
      </c>
      <c r="I1670">
        <v>3544.48</v>
      </c>
      <c r="J1670">
        <v>3723.66</v>
      </c>
      <c r="K1670" s="1" t="s">
        <v>20</v>
      </c>
      <c r="L1670">
        <v>0.19</v>
      </c>
      <c r="M1670" s="1" t="s">
        <v>21</v>
      </c>
      <c r="N1670" s="1" t="s">
        <v>22</v>
      </c>
      <c r="O1670" s="1" t="s">
        <v>45</v>
      </c>
      <c r="P1670">
        <v>42533.760000000002</v>
      </c>
      <c r="Q1670">
        <v>2023</v>
      </c>
      <c r="R1670">
        <v>36193.975200000001</v>
      </c>
      <c r="S1670">
        <v>-6339.7848000000013</v>
      </c>
      <c r="T1670" s="1" t="s">
        <v>164</v>
      </c>
      <c r="U1670">
        <v>-0.17516132906009199</v>
      </c>
    </row>
    <row r="1671" spans="1:21" x14ac:dyDescent="0.3">
      <c r="A1671" s="1" t="s">
        <v>15</v>
      </c>
      <c r="B1671" s="1" t="s">
        <v>88</v>
      </c>
      <c r="C1671" s="2">
        <v>45020</v>
      </c>
      <c r="D1671" s="1" t="s">
        <v>36</v>
      </c>
      <c r="E1671" s="1" t="s">
        <v>44</v>
      </c>
      <c r="F1671">
        <v>9631.41</v>
      </c>
      <c r="G1671">
        <v>49</v>
      </c>
      <c r="H1671" s="1" t="s">
        <v>31</v>
      </c>
      <c r="I1671">
        <v>1833.95</v>
      </c>
      <c r="J1671">
        <v>2147.14</v>
      </c>
      <c r="K1671" s="1" t="s">
        <v>20</v>
      </c>
      <c r="L1671">
        <v>0.18</v>
      </c>
      <c r="M1671" s="1" t="s">
        <v>27</v>
      </c>
      <c r="N1671" s="1" t="s">
        <v>33</v>
      </c>
      <c r="O1671" s="1" t="s">
        <v>71</v>
      </c>
      <c r="P1671">
        <v>89863.55</v>
      </c>
      <c r="Q1671">
        <v>2023</v>
      </c>
      <c r="R1671">
        <v>86272.085200000001</v>
      </c>
      <c r="S1671">
        <v>-3591.4648000000016</v>
      </c>
      <c r="T1671" s="1" t="s">
        <v>164</v>
      </c>
      <c r="U1671">
        <v>-4.1629511929311802E-2</v>
      </c>
    </row>
    <row r="1672" spans="1:21" x14ac:dyDescent="0.3">
      <c r="A1672" s="1" t="s">
        <v>15</v>
      </c>
      <c r="B1672" s="1" t="s">
        <v>96</v>
      </c>
      <c r="C1672" s="2">
        <v>45021</v>
      </c>
      <c r="D1672" s="1" t="s">
        <v>59</v>
      </c>
      <c r="E1672" s="1" t="s">
        <v>18</v>
      </c>
      <c r="F1672">
        <v>2072.23</v>
      </c>
      <c r="G1672">
        <v>33</v>
      </c>
      <c r="H1672" s="1" t="s">
        <v>31</v>
      </c>
      <c r="I1672">
        <v>1011.65</v>
      </c>
      <c r="J1672">
        <v>1084.28</v>
      </c>
      <c r="K1672" s="1" t="s">
        <v>20</v>
      </c>
      <c r="L1672">
        <v>7.0000000000000007E-2</v>
      </c>
      <c r="M1672" s="1" t="s">
        <v>32</v>
      </c>
      <c r="N1672" s="1" t="s">
        <v>33</v>
      </c>
      <c r="O1672" s="1" t="s">
        <v>77</v>
      </c>
      <c r="P1672">
        <v>33384.449999999997</v>
      </c>
      <c r="Q1672">
        <v>2023</v>
      </c>
      <c r="R1672">
        <v>33276.553199999995</v>
      </c>
      <c r="S1672">
        <v>-107.89680000000226</v>
      </c>
      <c r="T1672" s="1" t="s">
        <v>164</v>
      </c>
      <c r="U1672">
        <v>-3.2424271633999099E-3</v>
      </c>
    </row>
    <row r="1673" spans="1:21" x14ac:dyDescent="0.3">
      <c r="A1673" s="1" t="s">
        <v>15</v>
      </c>
      <c r="B1673" s="1" t="s">
        <v>46</v>
      </c>
      <c r="C1673" s="2">
        <v>45021</v>
      </c>
      <c r="D1673" s="1" t="s">
        <v>17</v>
      </c>
      <c r="E1673" s="1" t="s">
        <v>44</v>
      </c>
      <c r="F1673">
        <v>848.49</v>
      </c>
      <c r="G1673">
        <v>43</v>
      </c>
      <c r="H1673" s="1" t="s">
        <v>31</v>
      </c>
      <c r="I1673">
        <v>481</v>
      </c>
      <c r="J1673">
        <v>531.02</v>
      </c>
      <c r="K1673" s="1" t="s">
        <v>26</v>
      </c>
      <c r="L1673">
        <v>0.17</v>
      </c>
      <c r="M1673" s="1" t="s">
        <v>21</v>
      </c>
      <c r="N1673" s="1" t="s">
        <v>22</v>
      </c>
      <c r="O1673" s="1" t="s">
        <v>49</v>
      </c>
      <c r="P1673">
        <v>20683</v>
      </c>
      <c r="Q1673">
        <v>2023</v>
      </c>
      <c r="R1673">
        <v>18952.103800000001</v>
      </c>
      <c r="S1673">
        <v>-1730.8961999999992</v>
      </c>
      <c r="T1673" s="1" t="s">
        <v>164</v>
      </c>
      <c r="U1673">
        <v>-9.1330029545321503E-2</v>
      </c>
    </row>
    <row r="1674" spans="1:21" x14ac:dyDescent="0.3">
      <c r="A1674" s="1" t="s">
        <v>15</v>
      </c>
      <c r="B1674" s="1" t="s">
        <v>63</v>
      </c>
      <c r="C1674" s="2">
        <v>45021</v>
      </c>
      <c r="D1674" s="1" t="s">
        <v>43</v>
      </c>
      <c r="E1674" s="1" t="s">
        <v>18</v>
      </c>
      <c r="F1674">
        <v>2959.96</v>
      </c>
      <c r="G1674">
        <v>48</v>
      </c>
      <c r="H1674" s="1" t="s">
        <v>57</v>
      </c>
      <c r="I1674">
        <v>2487.19</v>
      </c>
      <c r="J1674">
        <v>2521.4499999999998</v>
      </c>
      <c r="K1674" s="1" t="s">
        <v>26</v>
      </c>
      <c r="L1674">
        <v>0.28999999999999998</v>
      </c>
      <c r="M1674" s="1" t="s">
        <v>21</v>
      </c>
      <c r="N1674" s="1" t="s">
        <v>22</v>
      </c>
      <c r="O1674" s="1" t="s">
        <v>62</v>
      </c>
      <c r="P1674">
        <v>119385.12</v>
      </c>
      <c r="Q1674">
        <v>2023</v>
      </c>
      <c r="R1674">
        <v>85931.015999999989</v>
      </c>
      <c r="S1674">
        <v>-33454.104000000007</v>
      </c>
      <c r="T1674" s="1" t="s">
        <v>164</v>
      </c>
      <c r="U1674">
        <v>-0.38931349304656199</v>
      </c>
    </row>
    <row r="1675" spans="1:21" x14ac:dyDescent="0.3">
      <c r="A1675" s="1" t="s">
        <v>15</v>
      </c>
      <c r="B1675" s="1" t="s">
        <v>61</v>
      </c>
      <c r="C1675" s="2">
        <v>45021</v>
      </c>
      <c r="D1675" s="1" t="s">
        <v>25</v>
      </c>
      <c r="E1675" s="1" t="s">
        <v>30</v>
      </c>
      <c r="F1675">
        <v>4744.16</v>
      </c>
      <c r="G1675">
        <v>26</v>
      </c>
      <c r="H1675" s="1" t="s">
        <v>19</v>
      </c>
      <c r="I1675">
        <v>4771.99</v>
      </c>
      <c r="J1675">
        <v>5079.6499999999996</v>
      </c>
      <c r="K1675" s="1" t="s">
        <v>26</v>
      </c>
      <c r="L1675">
        <v>0.28999999999999998</v>
      </c>
      <c r="M1675" s="1" t="s">
        <v>27</v>
      </c>
      <c r="N1675" s="1" t="s">
        <v>22</v>
      </c>
      <c r="O1675" s="1" t="s">
        <v>92</v>
      </c>
      <c r="P1675">
        <v>124071.73999999999</v>
      </c>
      <c r="Q1675">
        <v>2023</v>
      </c>
      <c r="R1675">
        <v>93770.338999999993</v>
      </c>
      <c r="S1675">
        <v>-30301.400999999998</v>
      </c>
      <c r="T1675" s="1" t="s">
        <v>164</v>
      </c>
      <c r="U1675">
        <v>-0.32314483794283799</v>
      </c>
    </row>
    <row r="1676" spans="1:21" x14ac:dyDescent="0.3">
      <c r="A1676" s="1" t="s">
        <v>15</v>
      </c>
      <c r="B1676" s="1" t="s">
        <v>53</v>
      </c>
      <c r="C1676" s="2">
        <v>45022</v>
      </c>
      <c r="D1676" s="1" t="s">
        <v>25</v>
      </c>
      <c r="E1676" s="1" t="s">
        <v>40</v>
      </c>
      <c r="F1676">
        <v>7212.69</v>
      </c>
      <c r="G1676">
        <v>32</v>
      </c>
      <c r="H1676" s="1" t="s">
        <v>37</v>
      </c>
      <c r="I1676">
        <v>3743.59</v>
      </c>
      <c r="J1676">
        <v>4116.38</v>
      </c>
      <c r="K1676" s="1" t="s">
        <v>20</v>
      </c>
      <c r="L1676">
        <v>0.11</v>
      </c>
      <c r="M1676" s="1" t="s">
        <v>21</v>
      </c>
      <c r="N1676" s="1" t="s">
        <v>22</v>
      </c>
      <c r="O1676" s="1" t="s">
        <v>83</v>
      </c>
      <c r="P1676">
        <v>119794.88</v>
      </c>
      <c r="Q1676">
        <v>2023</v>
      </c>
      <c r="R1676">
        <v>117234.50240000001</v>
      </c>
      <c r="S1676">
        <v>-2560.3775999999925</v>
      </c>
      <c r="T1676" s="1" t="s">
        <v>164</v>
      </c>
      <c r="U1676">
        <v>-2.1839795858595201E-2</v>
      </c>
    </row>
    <row r="1677" spans="1:21" x14ac:dyDescent="0.3">
      <c r="A1677" s="1" t="s">
        <v>15</v>
      </c>
      <c r="B1677" s="1" t="s">
        <v>120</v>
      </c>
      <c r="C1677" s="2">
        <v>45022</v>
      </c>
      <c r="D1677" s="1" t="s">
        <v>43</v>
      </c>
      <c r="E1677" s="1" t="s">
        <v>30</v>
      </c>
      <c r="F1677">
        <v>927.19</v>
      </c>
      <c r="G1677">
        <v>4</v>
      </c>
      <c r="H1677" s="1" t="s">
        <v>37</v>
      </c>
      <c r="I1677">
        <v>3993.39</v>
      </c>
      <c r="J1677">
        <v>4288.3</v>
      </c>
      <c r="K1677" s="1" t="s">
        <v>26</v>
      </c>
      <c r="L1677">
        <v>0.13</v>
      </c>
      <c r="M1677" s="1" t="s">
        <v>27</v>
      </c>
      <c r="N1677" s="1" t="s">
        <v>22</v>
      </c>
      <c r="O1677" s="1" t="s">
        <v>54</v>
      </c>
      <c r="P1677">
        <v>15973.56</v>
      </c>
      <c r="Q1677">
        <v>2023</v>
      </c>
      <c r="R1677">
        <v>14923.284</v>
      </c>
      <c r="S1677">
        <v>-1050.2759999999998</v>
      </c>
      <c r="T1677" s="1" t="s">
        <v>164</v>
      </c>
      <c r="U1677">
        <v>-7.0378342997425999E-2</v>
      </c>
    </row>
    <row r="1678" spans="1:21" x14ac:dyDescent="0.3">
      <c r="A1678" s="1" t="s">
        <v>15</v>
      </c>
      <c r="B1678" s="1" t="s">
        <v>137</v>
      </c>
      <c r="C1678" s="2">
        <v>45022</v>
      </c>
      <c r="D1678" s="1" t="s">
        <v>59</v>
      </c>
      <c r="E1678" s="1" t="s">
        <v>30</v>
      </c>
      <c r="F1678">
        <v>9093.5</v>
      </c>
      <c r="G1678">
        <v>31</v>
      </c>
      <c r="H1678" s="1" t="s">
        <v>19</v>
      </c>
      <c r="I1678">
        <v>3169.37</v>
      </c>
      <c r="J1678">
        <v>3304.15</v>
      </c>
      <c r="K1678" s="1" t="s">
        <v>20</v>
      </c>
      <c r="L1678">
        <v>0.25</v>
      </c>
      <c r="M1678" s="1" t="s">
        <v>27</v>
      </c>
      <c r="N1678" s="1" t="s">
        <v>33</v>
      </c>
      <c r="O1678" s="1" t="s">
        <v>86</v>
      </c>
      <c r="P1678">
        <v>98250.47</v>
      </c>
      <c r="Q1678">
        <v>2023</v>
      </c>
      <c r="R1678">
        <v>76821.487500000003</v>
      </c>
      <c r="S1678">
        <v>-21428.982499999998</v>
      </c>
      <c r="T1678" s="1" t="s">
        <v>164</v>
      </c>
      <c r="U1678">
        <v>-0.27894516491886501</v>
      </c>
    </row>
    <row r="1679" spans="1:21" x14ac:dyDescent="0.3">
      <c r="A1679" s="1" t="s">
        <v>15</v>
      </c>
      <c r="B1679" s="1" t="s">
        <v>50</v>
      </c>
      <c r="C1679" s="2">
        <v>45023</v>
      </c>
      <c r="D1679" s="1" t="s">
        <v>59</v>
      </c>
      <c r="E1679" s="1" t="s">
        <v>40</v>
      </c>
      <c r="F1679">
        <v>5262.45</v>
      </c>
      <c r="G1679">
        <v>23</v>
      </c>
      <c r="H1679" s="1" t="s">
        <v>37</v>
      </c>
      <c r="I1679">
        <v>3325.43</v>
      </c>
      <c r="J1679">
        <v>3401.1</v>
      </c>
      <c r="K1679" s="1" t="s">
        <v>26</v>
      </c>
      <c r="L1679">
        <v>0.1</v>
      </c>
      <c r="M1679" s="1" t="s">
        <v>21</v>
      </c>
      <c r="N1679" s="1" t="s">
        <v>22</v>
      </c>
      <c r="O1679" s="1" t="s">
        <v>90</v>
      </c>
      <c r="P1679">
        <v>76484.89</v>
      </c>
      <c r="Q1679">
        <v>2023</v>
      </c>
      <c r="R1679">
        <v>70402.77</v>
      </c>
      <c r="S1679">
        <v>-6082.1199999999953</v>
      </c>
      <c r="T1679" s="1" t="s">
        <v>164</v>
      </c>
      <c r="U1679">
        <v>-8.6390350834207194E-2</v>
      </c>
    </row>
    <row r="1680" spans="1:21" x14ac:dyDescent="0.3">
      <c r="A1680" s="1" t="s">
        <v>15</v>
      </c>
      <c r="B1680" s="1" t="s">
        <v>95</v>
      </c>
      <c r="C1680" s="2">
        <v>45023</v>
      </c>
      <c r="D1680" s="1" t="s">
        <v>43</v>
      </c>
      <c r="E1680" s="1" t="s">
        <v>44</v>
      </c>
      <c r="F1680">
        <v>5509.66</v>
      </c>
      <c r="G1680">
        <v>4</v>
      </c>
      <c r="H1680" s="1" t="s">
        <v>57</v>
      </c>
      <c r="I1680">
        <v>2000.75</v>
      </c>
      <c r="J1680">
        <v>2426.9899999999998</v>
      </c>
      <c r="K1680" s="1" t="s">
        <v>20</v>
      </c>
      <c r="L1680">
        <v>0.17</v>
      </c>
      <c r="M1680" s="1" t="s">
        <v>32</v>
      </c>
      <c r="N1680" s="1" t="s">
        <v>22</v>
      </c>
      <c r="O1680" s="1" t="s">
        <v>45</v>
      </c>
      <c r="P1680">
        <v>8003</v>
      </c>
      <c r="Q1680">
        <v>2023</v>
      </c>
      <c r="R1680">
        <v>8057.6067999999987</v>
      </c>
      <c r="S1680">
        <v>54.606799999998657</v>
      </c>
      <c r="T1680" s="1" t="s">
        <v>164</v>
      </c>
      <c r="U1680">
        <v>6.7770494832285304E-3</v>
      </c>
    </row>
    <row r="1681" spans="1:21" x14ac:dyDescent="0.3">
      <c r="A1681" s="1" t="s">
        <v>15</v>
      </c>
      <c r="B1681" s="1" t="s">
        <v>104</v>
      </c>
      <c r="C1681" s="2">
        <v>45024</v>
      </c>
      <c r="D1681" s="1" t="s">
        <v>25</v>
      </c>
      <c r="E1681" s="1" t="s">
        <v>30</v>
      </c>
      <c r="F1681">
        <v>2945.87</v>
      </c>
      <c r="G1681">
        <v>32</v>
      </c>
      <c r="H1681" s="1" t="s">
        <v>19</v>
      </c>
      <c r="I1681">
        <v>3219.88</v>
      </c>
      <c r="J1681">
        <v>3384.5</v>
      </c>
      <c r="K1681" s="1" t="s">
        <v>20</v>
      </c>
      <c r="L1681">
        <v>0.14000000000000001</v>
      </c>
      <c r="M1681" s="1" t="s">
        <v>21</v>
      </c>
      <c r="N1681" s="1" t="s">
        <v>33</v>
      </c>
      <c r="O1681" s="1" t="s">
        <v>92</v>
      </c>
      <c r="P1681">
        <v>103036.16</v>
      </c>
      <c r="Q1681">
        <v>2023</v>
      </c>
      <c r="R1681">
        <v>93141.440000000002</v>
      </c>
      <c r="S1681">
        <v>-9894.7200000000012</v>
      </c>
      <c r="T1681" s="1" t="s">
        <v>164</v>
      </c>
      <c r="U1681">
        <v>-0.10623327275163499</v>
      </c>
    </row>
    <row r="1682" spans="1:21" x14ac:dyDescent="0.3">
      <c r="A1682" s="1" t="s">
        <v>15</v>
      </c>
      <c r="B1682" s="1" t="s">
        <v>141</v>
      </c>
      <c r="C1682" s="2">
        <v>45024</v>
      </c>
      <c r="D1682" s="1" t="s">
        <v>17</v>
      </c>
      <c r="E1682" s="1" t="s">
        <v>18</v>
      </c>
      <c r="F1682">
        <v>9452.89</v>
      </c>
      <c r="G1682">
        <v>5</v>
      </c>
      <c r="H1682" s="1" t="s">
        <v>37</v>
      </c>
      <c r="I1682">
        <v>2947.22</v>
      </c>
      <c r="J1682">
        <v>3145.27</v>
      </c>
      <c r="K1682" s="1" t="s">
        <v>26</v>
      </c>
      <c r="L1682">
        <v>0.1</v>
      </c>
      <c r="M1682" s="1" t="s">
        <v>27</v>
      </c>
      <c r="N1682" s="1" t="s">
        <v>33</v>
      </c>
      <c r="O1682" s="1" t="s">
        <v>23</v>
      </c>
      <c r="P1682">
        <v>14736.099999999999</v>
      </c>
      <c r="Q1682">
        <v>2023</v>
      </c>
      <c r="R1682">
        <v>14153.715</v>
      </c>
      <c r="S1682">
        <v>-582.3849999999984</v>
      </c>
      <c r="T1682" s="1" t="s">
        <v>164</v>
      </c>
      <c r="U1682">
        <v>-4.1147147586340298E-2</v>
      </c>
    </row>
    <row r="1683" spans="1:21" x14ac:dyDescent="0.3">
      <c r="A1683" s="1" t="s">
        <v>15</v>
      </c>
      <c r="B1683" s="1" t="s">
        <v>117</v>
      </c>
      <c r="C1683" s="2">
        <v>45024</v>
      </c>
      <c r="D1683" s="1" t="s">
        <v>25</v>
      </c>
      <c r="E1683" s="1" t="s">
        <v>30</v>
      </c>
      <c r="F1683">
        <v>5935.59</v>
      </c>
      <c r="G1683">
        <v>45</v>
      </c>
      <c r="H1683" s="1" t="s">
        <v>19</v>
      </c>
      <c r="I1683">
        <v>357.92</v>
      </c>
      <c r="J1683">
        <v>461.3</v>
      </c>
      <c r="K1683" s="1" t="s">
        <v>20</v>
      </c>
      <c r="L1683">
        <v>0.28000000000000003</v>
      </c>
      <c r="M1683" s="1" t="s">
        <v>21</v>
      </c>
      <c r="N1683" s="1" t="s">
        <v>22</v>
      </c>
      <c r="O1683" s="1" t="s">
        <v>92</v>
      </c>
      <c r="P1683">
        <v>16106.400000000001</v>
      </c>
      <c r="Q1683">
        <v>2023</v>
      </c>
      <c r="R1683">
        <v>14946.119999999999</v>
      </c>
      <c r="S1683">
        <v>-1160.2800000000025</v>
      </c>
      <c r="T1683" s="1" t="s">
        <v>164</v>
      </c>
      <c r="U1683">
        <v>-7.7630850013247807E-2</v>
      </c>
    </row>
    <row r="1684" spans="1:21" x14ac:dyDescent="0.3">
      <c r="A1684" s="1" t="s">
        <v>15</v>
      </c>
      <c r="B1684" s="1" t="s">
        <v>119</v>
      </c>
      <c r="C1684" s="2">
        <v>45024</v>
      </c>
      <c r="D1684" s="1" t="s">
        <v>25</v>
      </c>
      <c r="E1684" s="1" t="s">
        <v>44</v>
      </c>
      <c r="F1684">
        <v>3988.03</v>
      </c>
      <c r="G1684">
        <v>29</v>
      </c>
      <c r="H1684" s="1" t="s">
        <v>19</v>
      </c>
      <c r="I1684">
        <v>1221.74</v>
      </c>
      <c r="J1684">
        <v>1611.92</v>
      </c>
      <c r="K1684" s="1" t="s">
        <v>26</v>
      </c>
      <c r="L1684">
        <v>0.15</v>
      </c>
      <c r="M1684" s="1" t="s">
        <v>21</v>
      </c>
      <c r="N1684" s="1" t="s">
        <v>33</v>
      </c>
      <c r="O1684" s="1" t="s">
        <v>47</v>
      </c>
      <c r="P1684">
        <v>35430.46</v>
      </c>
      <c r="Q1684">
        <v>2023</v>
      </c>
      <c r="R1684">
        <v>39733.828000000001</v>
      </c>
      <c r="S1684">
        <v>4303.3680000000022</v>
      </c>
      <c r="T1684" s="1" t="s">
        <v>164</v>
      </c>
      <c r="U1684">
        <v>0.10830489325116099</v>
      </c>
    </row>
    <row r="1685" spans="1:21" x14ac:dyDescent="0.3">
      <c r="A1685" s="1" t="s">
        <v>15</v>
      </c>
      <c r="B1685" s="1" t="s">
        <v>121</v>
      </c>
      <c r="C1685" s="2">
        <v>45024</v>
      </c>
      <c r="D1685" s="1" t="s">
        <v>25</v>
      </c>
      <c r="E1685" s="1" t="s">
        <v>44</v>
      </c>
      <c r="F1685">
        <v>3758.78</v>
      </c>
      <c r="G1685">
        <v>13</v>
      </c>
      <c r="H1685" s="1" t="s">
        <v>19</v>
      </c>
      <c r="I1685">
        <v>3597.2</v>
      </c>
      <c r="J1685">
        <v>4071.82</v>
      </c>
      <c r="K1685" s="1" t="s">
        <v>20</v>
      </c>
      <c r="L1685">
        <v>0.28999999999999998</v>
      </c>
      <c r="M1685" s="1" t="s">
        <v>32</v>
      </c>
      <c r="N1685" s="1" t="s">
        <v>22</v>
      </c>
      <c r="O1685" s="1" t="s">
        <v>47</v>
      </c>
      <c r="P1685">
        <v>46763.6</v>
      </c>
      <c r="Q1685">
        <v>2023</v>
      </c>
      <c r="R1685">
        <v>37582.8986</v>
      </c>
      <c r="S1685">
        <v>-9180.7013999999981</v>
      </c>
      <c r="T1685" s="1" t="s">
        <v>164</v>
      </c>
      <c r="U1685">
        <v>-0.24427869435275501</v>
      </c>
    </row>
    <row r="1686" spans="1:21" x14ac:dyDescent="0.3">
      <c r="A1686" s="1" t="s">
        <v>15</v>
      </c>
      <c r="B1686" s="1" t="s">
        <v>72</v>
      </c>
      <c r="C1686" s="2">
        <v>45025</v>
      </c>
      <c r="D1686" s="1" t="s">
        <v>59</v>
      </c>
      <c r="E1686" s="1" t="s">
        <v>18</v>
      </c>
      <c r="F1686">
        <v>763.04</v>
      </c>
      <c r="G1686">
        <v>3</v>
      </c>
      <c r="H1686" s="1" t="s">
        <v>57</v>
      </c>
      <c r="I1686">
        <v>391.19</v>
      </c>
      <c r="J1686">
        <v>471.75</v>
      </c>
      <c r="K1686" s="1" t="s">
        <v>20</v>
      </c>
      <c r="L1686">
        <v>0.27</v>
      </c>
      <c r="M1686" s="1" t="s">
        <v>21</v>
      </c>
      <c r="N1686" s="1" t="s">
        <v>22</v>
      </c>
      <c r="O1686" s="1" t="s">
        <v>77</v>
      </c>
      <c r="P1686">
        <v>1173.57</v>
      </c>
      <c r="Q1686">
        <v>2023</v>
      </c>
      <c r="R1686">
        <v>1033.1324999999999</v>
      </c>
      <c r="S1686">
        <v>-140.4375</v>
      </c>
      <c r="T1686" s="1" t="s">
        <v>164</v>
      </c>
      <c r="U1686">
        <v>-0.13593367743246901</v>
      </c>
    </row>
    <row r="1687" spans="1:21" x14ac:dyDescent="0.3">
      <c r="A1687" s="1" t="s">
        <v>15</v>
      </c>
      <c r="B1687" s="1" t="s">
        <v>147</v>
      </c>
      <c r="C1687" s="2">
        <v>45025</v>
      </c>
      <c r="D1687" s="1" t="s">
        <v>25</v>
      </c>
      <c r="E1687" s="1" t="s">
        <v>30</v>
      </c>
      <c r="F1687">
        <v>8063.7</v>
      </c>
      <c r="G1687">
        <v>1</v>
      </c>
      <c r="H1687" s="1" t="s">
        <v>37</v>
      </c>
      <c r="I1687">
        <v>332.62</v>
      </c>
      <c r="J1687">
        <v>612.46</v>
      </c>
      <c r="K1687" s="1" t="s">
        <v>20</v>
      </c>
      <c r="L1687">
        <v>0.24</v>
      </c>
      <c r="M1687" s="1" t="s">
        <v>21</v>
      </c>
      <c r="N1687" s="1" t="s">
        <v>33</v>
      </c>
      <c r="O1687" s="1" t="s">
        <v>92</v>
      </c>
      <c r="P1687">
        <v>332.62</v>
      </c>
      <c r="Q1687">
        <v>2023</v>
      </c>
      <c r="R1687">
        <v>465.46960000000001</v>
      </c>
      <c r="S1687">
        <v>132.84960000000001</v>
      </c>
      <c r="T1687" s="1" t="s">
        <v>164</v>
      </c>
      <c r="U1687">
        <v>0.28540983127577002</v>
      </c>
    </row>
    <row r="1688" spans="1:21" x14ac:dyDescent="0.3">
      <c r="A1688" s="1" t="s">
        <v>15</v>
      </c>
      <c r="B1688" s="1" t="s">
        <v>118</v>
      </c>
      <c r="C1688" s="2">
        <v>45027</v>
      </c>
      <c r="D1688" s="1" t="s">
        <v>43</v>
      </c>
      <c r="E1688" s="1" t="s">
        <v>40</v>
      </c>
      <c r="F1688">
        <v>618.30999999999995</v>
      </c>
      <c r="G1688">
        <v>29</v>
      </c>
      <c r="H1688" s="1" t="s">
        <v>31</v>
      </c>
      <c r="I1688">
        <v>2408.81</v>
      </c>
      <c r="J1688">
        <v>2624.09</v>
      </c>
      <c r="K1688" s="1" t="s">
        <v>20</v>
      </c>
      <c r="L1688">
        <v>0.14000000000000001</v>
      </c>
      <c r="M1688" s="1" t="s">
        <v>21</v>
      </c>
      <c r="N1688" s="1" t="s">
        <v>22</v>
      </c>
      <c r="O1688" s="1" t="s">
        <v>99</v>
      </c>
      <c r="P1688">
        <v>69855.490000000005</v>
      </c>
      <c r="Q1688">
        <v>2023</v>
      </c>
      <c r="R1688">
        <v>65444.804600000003</v>
      </c>
      <c r="S1688">
        <v>-4410.6854000000021</v>
      </c>
      <c r="T1688" s="1" t="s">
        <v>164</v>
      </c>
      <c r="U1688">
        <v>-6.7395501093756804E-2</v>
      </c>
    </row>
    <row r="1689" spans="1:21" x14ac:dyDescent="0.3">
      <c r="A1689" s="1" t="s">
        <v>15</v>
      </c>
      <c r="B1689" s="1" t="s">
        <v>130</v>
      </c>
      <c r="C1689" s="2">
        <v>45027</v>
      </c>
      <c r="D1689" s="1" t="s">
        <v>59</v>
      </c>
      <c r="E1689" s="1" t="s">
        <v>30</v>
      </c>
      <c r="F1689">
        <v>9582.1200000000008</v>
      </c>
      <c r="G1689">
        <v>38</v>
      </c>
      <c r="H1689" s="1" t="s">
        <v>57</v>
      </c>
      <c r="I1689">
        <v>2091.21</v>
      </c>
      <c r="J1689">
        <v>2527</v>
      </c>
      <c r="K1689" s="1" t="s">
        <v>20</v>
      </c>
      <c r="L1689">
        <v>0.01</v>
      </c>
      <c r="M1689" s="1" t="s">
        <v>27</v>
      </c>
      <c r="N1689" s="1" t="s">
        <v>22</v>
      </c>
      <c r="O1689" s="1" t="s">
        <v>86</v>
      </c>
      <c r="P1689">
        <v>79465.98</v>
      </c>
      <c r="Q1689">
        <v>2023</v>
      </c>
      <c r="R1689">
        <v>95065.74</v>
      </c>
      <c r="S1689">
        <v>15599.760000000009</v>
      </c>
      <c r="T1689" s="1" t="s">
        <v>164</v>
      </c>
      <c r="U1689">
        <v>0.164094446642923</v>
      </c>
    </row>
    <row r="1690" spans="1:21" x14ac:dyDescent="0.3">
      <c r="A1690" s="1" t="s">
        <v>15</v>
      </c>
      <c r="B1690" s="1" t="s">
        <v>51</v>
      </c>
      <c r="C1690" s="2">
        <v>45027</v>
      </c>
      <c r="D1690" s="1" t="s">
        <v>43</v>
      </c>
      <c r="E1690" s="1" t="s">
        <v>18</v>
      </c>
      <c r="F1690">
        <v>1942.75</v>
      </c>
      <c r="G1690">
        <v>21</v>
      </c>
      <c r="H1690" s="1" t="s">
        <v>57</v>
      </c>
      <c r="I1690">
        <v>914.22</v>
      </c>
      <c r="J1690">
        <v>971.57</v>
      </c>
      <c r="K1690" s="1" t="s">
        <v>20</v>
      </c>
      <c r="L1690">
        <v>0.14000000000000001</v>
      </c>
      <c r="M1690" s="1" t="s">
        <v>21</v>
      </c>
      <c r="N1690" s="1" t="s">
        <v>22</v>
      </c>
      <c r="O1690" s="1" t="s">
        <v>62</v>
      </c>
      <c r="P1690">
        <v>19198.62</v>
      </c>
      <c r="Q1690">
        <v>2023</v>
      </c>
      <c r="R1690">
        <v>17546.554200000002</v>
      </c>
      <c r="S1690">
        <v>-1652.0657999999967</v>
      </c>
      <c r="T1690" s="1" t="s">
        <v>164</v>
      </c>
      <c r="U1690">
        <v>-9.4153289652734007E-2</v>
      </c>
    </row>
    <row r="1691" spans="1:21" x14ac:dyDescent="0.3">
      <c r="A1691" s="1" t="s">
        <v>15</v>
      </c>
      <c r="B1691" s="1" t="s">
        <v>73</v>
      </c>
      <c r="C1691" s="2">
        <v>45027</v>
      </c>
      <c r="D1691" s="1" t="s">
        <v>43</v>
      </c>
      <c r="E1691" s="1" t="s">
        <v>44</v>
      </c>
      <c r="F1691">
        <v>8963.93</v>
      </c>
      <c r="G1691">
        <v>17</v>
      </c>
      <c r="H1691" s="1" t="s">
        <v>57</v>
      </c>
      <c r="I1691">
        <v>2831.58</v>
      </c>
      <c r="J1691">
        <v>3186.15</v>
      </c>
      <c r="K1691" s="1" t="s">
        <v>26</v>
      </c>
      <c r="L1691">
        <v>0.24</v>
      </c>
      <c r="M1691" s="1" t="s">
        <v>32</v>
      </c>
      <c r="N1691" s="1" t="s">
        <v>33</v>
      </c>
      <c r="O1691" s="1" t="s">
        <v>45</v>
      </c>
      <c r="P1691">
        <v>48136.86</v>
      </c>
      <c r="Q1691">
        <v>2023</v>
      </c>
      <c r="R1691">
        <v>41165.058000000005</v>
      </c>
      <c r="S1691">
        <v>-6971.801999999996</v>
      </c>
      <c r="T1691" s="1" t="s">
        <v>164</v>
      </c>
      <c r="U1691">
        <v>-0.16936213232105701</v>
      </c>
    </row>
    <row r="1692" spans="1:21" x14ac:dyDescent="0.3">
      <c r="A1692" s="1" t="s">
        <v>15</v>
      </c>
      <c r="B1692" s="1" t="s">
        <v>144</v>
      </c>
      <c r="C1692" s="2">
        <v>45028</v>
      </c>
      <c r="D1692" s="1" t="s">
        <v>25</v>
      </c>
      <c r="E1692" s="1" t="s">
        <v>18</v>
      </c>
      <c r="F1692">
        <v>5886.04</v>
      </c>
      <c r="G1692">
        <v>40</v>
      </c>
      <c r="H1692" s="1" t="s">
        <v>37</v>
      </c>
      <c r="I1692">
        <v>2101.3200000000002</v>
      </c>
      <c r="J1692">
        <v>2440.63</v>
      </c>
      <c r="K1692" s="1" t="s">
        <v>26</v>
      </c>
      <c r="L1692">
        <v>0.26</v>
      </c>
      <c r="M1692" s="1" t="s">
        <v>32</v>
      </c>
      <c r="N1692" s="1" t="s">
        <v>33</v>
      </c>
      <c r="O1692" s="1" t="s">
        <v>28</v>
      </c>
      <c r="P1692">
        <v>84052.800000000003</v>
      </c>
      <c r="Q1692">
        <v>2023</v>
      </c>
      <c r="R1692">
        <v>72242.648000000001</v>
      </c>
      <c r="S1692">
        <v>-11810.152000000002</v>
      </c>
      <c r="T1692" s="1" t="s">
        <v>164</v>
      </c>
      <c r="U1692">
        <v>-0.16347894667426899</v>
      </c>
    </row>
    <row r="1693" spans="1:21" x14ac:dyDescent="0.3">
      <c r="A1693" s="1" t="s">
        <v>15</v>
      </c>
      <c r="B1693" s="1" t="s">
        <v>56</v>
      </c>
      <c r="C1693" s="2">
        <v>45028</v>
      </c>
      <c r="D1693" s="1" t="s">
        <v>43</v>
      </c>
      <c r="E1693" s="1" t="s">
        <v>30</v>
      </c>
      <c r="F1693">
        <v>9680.84</v>
      </c>
      <c r="G1693">
        <v>19</v>
      </c>
      <c r="H1693" s="1" t="s">
        <v>57</v>
      </c>
      <c r="I1693">
        <v>2443.69</v>
      </c>
      <c r="J1693">
        <v>2462.34</v>
      </c>
      <c r="K1693" s="1" t="s">
        <v>26</v>
      </c>
      <c r="L1693">
        <v>7.0000000000000007E-2</v>
      </c>
      <c r="M1693" s="1" t="s">
        <v>32</v>
      </c>
      <c r="N1693" s="1" t="s">
        <v>33</v>
      </c>
      <c r="O1693" s="1" t="s">
        <v>54</v>
      </c>
      <c r="P1693">
        <v>46430.11</v>
      </c>
      <c r="Q1693">
        <v>2023</v>
      </c>
      <c r="R1693">
        <v>43509.5478</v>
      </c>
      <c r="S1693">
        <v>-2920.5622000000003</v>
      </c>
      <c r="T1693" s="1" t="s">
        <v>164</v>
      </c>
      <c r="U1693">
        <v>-6.7124627758140001E-2</v>
      </c>
    </row>
    <row r="1694" spans="1:21" x14ac:dyDescent="0.3">
      <c r="A1694" s="1" t="s">
        <v>15</v>
      </c>
      <c r="B1694" s="1" t="s">
        <v>148</v>
      </c>
      <c r="C1694" s="2">
        <v>45029</v>
      </c>
      <c r="D1694" s="1" t="s">
        <v>17</v>
      </c>
      <c r="E1694" s="1" t="s">
        <v>40</v>
      </c>
      <c r="F1694">
        <v>9146.51</v>
      </c>
      <c r="G1694">
        <v>36</v>
      </c>
      <c r="H1694" s="1" t="s">
        <v>37</v>
      </c>
      <c r="I1694">
        <v>3951.59</v>
      </c>
      <c r="J1694">
        <v>4387.01</v>
      </c>
      <c r="K1694" s="1" t="s">
        <v>26</v>
      </c>
      <c r="L1694">
        <v>7.0000000000000007E-2</v>
      </c>
      <c r="M1694" s="1" t="s">
        <v>32</v>
      </c>
      <c r="N1694" s="1" t="s">
        <v>33</v>
      </c>
      <c r="O1694" s="1" t="s">
        <v>67</v>
      </c>
      <c r="P1694">
        <v>142257.24</v>
      </c>
      <c r="Q1694">
        <v>2023</v>
      </c>
      <c r="R1694">
        <v>146877.09479999999</v>
      </c>
      <c r="S1694">
        <v>4619.854800000001</v>
      </c>
      <c r="T1694" s="1" t="s">
        <v>164</v>
      </c>
      <c r="U1694">
        <v>3.1453881943204101E-2</v>
      </c>
    </row>
    <row r="1695" spans="1:21" x14ac:dyDescent="0.3">
      <c r="A1695" s="1" t="s">
        <v>15</v>
      </c>
      <c r="B1695" s="1" t="s">
        <v>16</v>
      </c>
      <c r="C1695" s="2">
        <v>45029</v>
      </c>
      <c r="D1695" s="1" t="s">
        <v>25</v>
      </c>
      <c r="E1695" s="1" t="s">
        <v>30</v>
      </c>
      <c r="F1695">
        <v>5104.54</v>
      </c>
      <c r="G1695">
        <v>24</v>
      </c>
      <c r="H1695" s="1" t="s">
        <v>31</v>
      </c>
      <c r="I1695">
        <v>4739.13</v>
      </c>
      <c r="J1695">
        <v>4868.95</v>
      </c>
      <c r="K1695" s="1" t="s">
        <v>26</v>
      </c>
      <c r="L1695">
        <v>0.14000000000000001</v>
      </c>
      <c r="M1695" s="1" t="s">
        <v>27</v>
      </c>
      <c r="N1695" s="1" t="s">
        <v>33</v>
      </c>
      <c r="O1695" s="1" t="s">
        <v>92</v>
      </c>
      <c r="P1695">
        <v>113739.12</v>
      </c>
      <c r="Q1695">
        <v>2023</v>
      </c>
      <c r="R1695">
        <v>100495.12799999998</v>
      </c>
      <c r="S1695">
        <v>-13243.992000000013</v>
      </c>
      <c r="T1695" s="1" t="s">
        <v>164</v>
      </c>
      <c r="U1695">
        <v>-0.131787403663987</v>
      </c>
    </row>
    <row r="1696" spans="1:21" x14ac:dyDescent="0.3">
      <c r="A1696" s="1" t="s">
        <v>15</v>
      </c>
      <c r="B1696" s="1" t="s">
        <v>69</v>
      </c>
      <c r="C1696" s="2">
        <v>45030</v>
      </c>
      <c r="D1696" s="1" t="s">
        <v>59</v>
      </c>
      <c r="E1696" s="1" t="s">
        <v>40</v>
      </c>
      <c r="F1696">
        <v>534.61</v>
      </c>
      <c r="G1696">
        <v>3</v>
      </c>
      <c r="H1696" s="1" t="s">
        <v>19</v>
      </c>
      <c r="I1696">
        <v>3472.51</v>
      </c>
      <c r="J1696">
        <v>3732</v>
      </c>
      <c r="K1696" s="1" t="s">
        <v>26</v>
      </c>
      <c r="L1696">
        <v>0.06</v>
      </c>
      <c r="M1696" s="1" t="s">
        <v>21</v>
      </c>
      <c r="N1696" s="1" t="s">
        <v>22</v>
      </c>
      <c r="O1696" s="1" t="s">
        <v>90</v>
      </c>
      <c r="P1696">
        <v>10417.530000000001</v>
      </c>
      <c r="Q1696">
        <v>2023</v>
      </c>
      <c r="R1696">
        <v>10524.24</v>
      </c>
      <c r="S1696">
        <v>106.70999999999913</v>
      </c>
      <c r="T1696" s="1" t="s">
        <v>164</v>
      </c>
      <c r="U1696">
        <v>1.01394494994412E-2</v>
      </c>
    </row>
    <row r="1697" spans="1:21" x14ac:dyDescent="0.3">
      <c r="A1697" s="1" t="s">
        <v>15</v>
      </c>
      <c r="B1697" s="1" t="s">
        <v>42</v>
      </c>
      <c r="C1697" s="2">
        <v>45030</v>
      </c>
      <c r="D1697" s="1" t="s">
        <v>59</v>
      </c>
      <c r="E1697" s="1" t="s">
        <v>44</v>
      </c>
      <c r="F1697">
        <v>9948.7099999999991</v>
      </c>
      <c r="G1697">
        <v>27</v>
      </c>
      <c r="H1697" s="1" t="s">
        <v>57</v>
      </c>
      <c r="I1697">
        <v>4929.55</v>
      </c>
      <c r="J1697">
        <v>4990.33</v>
      </c>
      <c r="K1697" s="1" t="s">
        <v>20</v>
      </c>
      <c r="L1697">
        <v>0.28999999999999998</v>
      </c>
      <c r="M1697" s="1" t="s">
        <v>27</v>
      </c>
      <c r="N1697" s="1" t="s">
        <v>22</v>
      </c>
      <c r="O1697" s="1" t="s">
        <v>60</v>
      </c>
      <c r="P1697">
        <v>133097.85</v>
      </c>
      <c r="Q1697">
        <v>2023</v>
      </c>
      <c r="R1697">
        <v>95664.626099999994</v>
      </c>
      <c r="S1697">
        <v>-37433.223900000012</v>
      </c>
      <c r="T1697" s="1" t="s">
        <v>164</v>
      </c>
      <c r="U1697">
        <v>-0.39129640104243302</v>
      </c>
    </row>
    <row r="1698" spans="1:21" x14ac:dyDescent="0.3">
      <c r="A1698" s="1" t="s">
        <v>15</v>
      </c>
      <c r="B1698" s="1" t="s">
        <v>145</v>
      </c>
      <c r="C1698" s="2">
        <v>45030</v>
      </c>
      <c r="D1698" s="1" t="s">
        <v>17</v>
      </c>
      <c r="E1698" s="1" t="s">
        <v>40</v>
      </c>
      <c r="F1698">
        <v>7146.06</v>
      </c>
      <c r="G1698">
        <v>16</v>
      </c>
      <c r="H1698" s="1" t="s">
        <v>19</v>
      </c>
      <c r="I1698">
        <v>3966.86</v>
      </c>
      <c r="J1698">
        <v>4321.04</v>
      </c>
      <c r="K1698" s="1" t="s">
        <v>20</v>
      </c>
      <c r="L1698">
        <v>0.23</v>
      </c>
      <c r="M1698" s="1" t="s">
        <v>27</v>
      </c>
      <c r="N1698" s="1" t="s">
        <v>33</v>
      </c>
      <c r="O1698" s="1" t="s">
        <v>67</v>
      </c>
      <c r="P1698">
        <v>63469.760000000002</v>
      </c>
      <c r="Q1698">
        <v>2023</v>
      </c>
      <c r="R1698">
        <v>53235.212800000001</v>
      </c>
      <c r="S1698">
        <v>-10234.547200000001</v>
      </c>
      <c r="T1698" s="1" t="s">
        <v>164</v>
      </c>
      <c r="U1698">
        <v>-0.19225145653968301</v>
      </c>
    </row>
    <row r="1699" spans="1:21" x14ac:dyDescent="0.3">
      <c r="A1699" s="1" t="s">
        <v>15</v>
      </c>
      <c r="B1699" s="1" t="s">
        <v>140</v>
      </c>
      <c r="C1699" s="2">
        <v>45030</v>
      </c>
      <c r="D1699" s="1" t="s">
        <v>36</v>
      </c>
      <c r="E1699" s="1" t="s">
        <v>18</v>
      </c>
      <c r="F1699">
        <v>2286.44</v>
      </c>
      <c r="G1699">
        <v>45</v>
      </c>
      <c r="H1699" s="1" t="s">
        <v>19</v>
      </c>
      <c r="I1699">
        <v>3712.35</v>
      </c>
      <c r="J1699">
        <v>3780.88</v>
      </c>
      <c r="K1699" s="1" t="s">
        <v>26</v>
      </c>
      <c r="L1699">
        <v>7.0000000000000007E-2</v>
      </c>
      <c r="M1699" s="1" t="s">
        <v>21</v>
      </c>
      <c r="N1699" s="1" t="s">
        <v>33</v>
      </c>
      <c r="O1699" s="1" t="s">
        <v>115</v>
      </c>
      <c r="P1699">
        <v>167055.75</v>
      </c>
      <c r="Q1699">
        <v>2023</v>
      </c>
      <c r="R1699">
        <v>158229.82800000001</v>
      </c>
      <c r="S1699">
        <v>-8825.9219999999914</v>
      </c>
      <c r="T1699" s="1" t="s">
        <v>164</v>
      </c>
      <c r="U1699">
        <v>-5.5779129077989001E-2</v>
      </c>
    </row>
    <row r="1700" spans="1:21" x14ac:dyDescent="0.3">
      <c r="A1700" s="1" t="s">
        <v>15</v>
      </c>
      <c r="B1700" s="1" t="s">
        <v>61</v>
      </c>
      <c r="C1700" s="2">
        <v>45030</v>
      </c>
      <c r="D1700" s="1" t="s">
        <v>36</v>
      </c>
      <c r="E1700" s="1" t="s">
        <v>18</v>
      </c>
      <c r="F1700">
        <v>1834.7</v>
      </c>
      <c r="G1700">
        <v>5</v>
      </c>
      <c r="H1700" s="1" t="s">
        <v>31</v>
      </c>
      <c r="I1700">
        <v>745.71</v>
      </c>
      <c r="J1700">
        <v>856.91</v>
      </c>
      <c r="K1700" s="1" t="s">
        <v>20</v>
      </c>
      <c r="L1700">
        <v>0.23</v>
      </c>
      <c r="M1700" s="1" t="s">
        <v>32</v>
      </c>
      <c r="N1700" s="1" t="s">
        <v>33</v>
      </c>
      <c r="O1700" s="1" t="s">
        <v>115</v>
      </c>
      <c r="P1700">
        <v>3728.55</v>
      </c>
      <c r="Q1700">
        <v>2023</v>
      </c>
      <c r="R1700">
        <v>3299.1035000000002</v>
      </c>
      <c r="S1700">
        <v>-429.44650000000001</v>
      </c>
      <c r="T1700" s="1" t="s">
        <v>164</v>
      </c>
      <c r="U1700">
        <v>-0.13017066606125</v>
      </c>
    </row>
    <row r="1701" spans="1:21" x14ac:dyDescent="0.3">
      <c r="A1701" s="1" t="s">
        <v>15</v>
      </c>
      <c r="B1701" s="1" t="s">
        <v>134</v>
      </c>
      <c r="C1701" s="2">
        <v>45030</v>
      </c>
      <c r="D1701" s="1" t="s">
        <v>36</v>
      </c>
      <c r="E1701" s="1" t="s">
        <v>44</v>
      </c>
      <c r="F1701">
        <v>5488.11</v>
      </c>
      <c r="G1701">
        <v>2</v>
      </c>
      <c r="H1701" s="1" t="s">
        <v>37</v>
      </c>
      <c r="I1701">
        <v>2631.68</v>
      </c>
      <c r="J1701">
        <v>2904.06</v>
      </c>
      <c r="K1701" s="1" t="s">
        <v>26</v>
      </c>
      <c r="L1701">
        <v>0.15</v>
      </c>
      <c r="M1701" s="1" t="s">
        <v>32</v>
      </c>
      <c r="N1701" s="1" t="s">
        <v>22</v>
      </c>
      <c r="O1701" s="1" t="s">
        <v>71</v>
      </c>
      <c r="P1701">
        <v>5263.36</v>
      </c>
      <c r="Q1701">
        <v>2023</v>
      </c>
      <c r="R1701">
        <v>4936.902</v>
      </c>
      <c r="S1701">
        <v>-326.45799999999963</v>
      </c>
      <c r="T1701" s="1" t="s">
        <v>164</v>
      </c>
      <c r="U1701">
        <v>-6.6126084738971899E-2</v>
      </c>
    </row>
    <row r="1702" spans="1:21" x14ac:dyDescent="0.3">
      <c r="A1702" s="1" t="s">
        <v>15</v>
      </c>
      <c r="B1702" s="1" t="s">
        <v>89</v>
      </c>
      <c r="C1702" s="2">
        <v>45031</v>
      </c>
      <c r="D1702" s="1" t="s">
        <v>17</v>
      </c>
      <c r="E1702" s="1" t="s">
        <v>18</v>
      </c>
      <c r="F1702">
        <v>7255.1</v>
      </c>
      <c r="G1702">
        <v>42</v>
      </c>
      <c r="H1702" s="1" t="s">
        <v>31</v>
      </c>
      <c r="I1702">
        <v>1375.57</v>
      </c>
      <c r="J1702">
        <v>1729.71</v>
      </c>
      <c r="K1702" s="1" t="s">
        <v>26</v>
      </c>
      <c r="L1702">
        <v>0.04</v>
      </c>
      <c r="M1702" s="1" t="s">
        <v>21</v>
      </c>
      <c r="N1702" s="1" t="s">
        <v>22</v>
      </c>
      <c r="O1702" s="1" t="s">
        <v>23</v>
      </c>
      <c r="P1702">
        <v>57773.939999999995</v>
      </c>
      <c r="Q1702">
        <v>2023</v>
      </c>
      <c r="R1702">
        <v>69741.907200000001</v>
      </c>
      <c r="S1702">
        <v>11967.967200000006</v>
      </c>
      <c r="T1702" s="1" t="s">
        <v>164</v>
      </c>
      <c r="U1702">
        <v>0.17160366959393999</v>
      </c>
    </row>
    <row r="1703" spans="1:21" x14ac:dyDescent="0.3">
      <c r="A1703" s="1" t="s">
        <v>15</v>
      </c>
      <c r="B1703" s="1" t="s">
        <v>133</v>
      </c>
      <c r="C1703" s="2">
        <v>45031</v>
      </c>
      <c r="D1703" s="1" t="s">
        <v>25</v>
      </c>
      <c r="E1703" s="1" t="s">
        <v>18</v>
      </c>
      <c r="F1703">
        <v>4733.88</v>
      </c>
      <c r="G1703">
        <v>4</v>
      </c>
      <c r="H1703" s="1" t="s">
        <v>57</v>
      </c>
      <c r="I1703">
        <v>4943.03</v>
      </c>
      <c r="J1703">
        <v>5442.15</v>
      </c>
      <c r="K1703" s="1" t="s">
        <v>20</v>
      </c>
      <c r="L1703">
        <v>0.28999999999999998</v>
      </c>
      <c r="M1703" s="1" t="s">
        <v>21</v>
      </c>
      <c r="N1703" s="1" t="s">
        <v>22</v>
      </c>
      <c r="O1703" s="1" t="s">
        <v>28</v>
      </c>
      <c r="P1703">
        <v>19772.12</v>
      </c>
      <c r="Q1703">
        <v>2023</v>
      </c>
      <c r="R1703">
        <v>15455.705999999998</v>
      </c>
      <c r="S1703">
        <v>-4316.4140000000007</v>
      </c>
      <c r="T1703" s="1" t="s">
        <v>164</v>
      </c>
      <c r="U1703">
        <v>-0.27927640445541602</v>
      </c>
    </row>
    <row r="1704" spans="1:21" x14ac:dyDescent="0.3">
      <c r="A1704" s="1" t="s">
        <v>15</v>
      </c>
      <c r="B1704" s="1" t="s">
        <v>56</v>
      </c>
      <c r="C1704" s="2">
        <v>45032</v>
      </c>
      <c r="D1704" s="1" t="s">
        <v>25</v>
      </c>
      <c r="E1704" s="1" t="s">
        <v>40</v>
      </c>
      <c r="F1704">
        <v>2896.71</v>
      </c>
      <c r="G1704">
        <v>44</v>
      </c>
      <c r="H1704" s="1" t="s">
        <v>37</v>
      </c>
      <c r="I1704">
        <v>1362.15</v>
      </c>
      <c r="J1704">
        <v>1844.07</v>
      </c>
      <c r="K1704" s="1" t="s">
        <v>26</v>
      </c>
      <c r="L1704">
        <v>0.28999999999999998</v>
      </c>
      <c r="M1704" s="1" t="s">
        <v>27</v>
      </c>
      <c r="N1704" s="1" t="s">
        <v>22</v>
      </c>
      <c r="O1704" s="1" t="s">
        <v>83</v>
      </c>
      <c r="P1704">
        <v>59934.600000000006</v>
      </c>
      <c r="Q1704">
        <v>2023</v>
      </c>
      <c r="R1704">
        <v>57608.746800000001</v>
      </c>
      <c r="S1704">
        <v>-2325.853200000005</v>
      </c>
      <c r="T1704" s="1" t="s">
        <v>164</v>
      </c>
      <c r="U1704">
        <v>-4.03732649848235E-2</v>
      </c>
    </row>
    <row r="1705" spans="1:21" x14ac:dyDescent="0.3">
      <c r="A1705" s="1" t="s">
        <v>15</v>
      </c>
      <c r="B1705" s="1" t="s">
        <v>48</v>
      </c>
      <c r="C1705" s="2">
        <v>45032</v>
      </c>
      <c r="D1705" s="1" t="s">
        <v>59</v>
      </c>
      <c r="E1705" s="1" t="s">
        <v>44</v>
      </c>
      <c r="F1705">
        <v>8241.57</v>
      </c>
      <c r="G1705">
        <v>7</v>
      </c>
      <c r="H1705" s="1" t="s">
        <v>57</v>
      </c>
      <c r="I1705">
        <v>2371.85</v>
      </c>
      <c r="J1705">
        <v>2457.29</v>
      </c>
      <c r="K1705" s="1" t="s">
        <v>26</v>
      </c>
      <c r="L1705">
        <v>0.03</v>
      </c>
      <c r="M1705" s="1" t="s">
        <v>21</v>
      </c>
      <c r="N1705" s="1" t="s">
        <v>33</v>
      </c>
      <c r="O1705" s="1" t="s">
        <v>60</v>
      </c>
      <c r="P1705">
        <v>16602.95</v>
      </c>
      <c r="Q1705">
        <v>2023</v>
      </c>
      <c r="R1705">
        <v>16684.999099999997</v>
      </c>
      <c r="S1705">
        <v>82.049099999996542</v>
      </c>
      <c r="T1705" s="1" t="s">
        <v>164</v>
      </c>
      <c r="U1705">
        <v>4.9175369748744296E-3</v>
      </c>
    </row>
    <row r="1706" spans="1:21" x14ac:dyDescent="0.3">
      <c r="A1706" s="1" t="s">
        <v>15</v>
      </c>
      <c r="B1706" s="1" t="s">
        <v>61</v>
      </c>
      <c r="C1706" s="2">
        <v>45033</v>
      </c>
      <c r="D1706" s="1" t="s">
        <v>59</v>
      </c>
      <c r="E1706" s="1" t="s">
        <v>30</v>
      </c>
      <c r="F1706">
        <v>8448.93</v>
      </c>
      <c r="G1706">
        <v>2</v>
      </c>
      <c r="H1706" s="1" t="s">
        <v>57</v>
      </c>
      <c r="I1706">
        <v>1935.41</v>
      </c>
      <c r="J1706">
        <v>2305.44</v>
      </c>
      <c r="K1706" s="1" t="s">
        <v>20</v>
      </c>
      <c r="L1706">
        <v>0.22</v>
      </c>
      <c r="M1706" s="1" t="s">
        <v>27</v>
      </c>
      <c r="N1706" s="1" t="s">
        <v>22</v>
      </c>
      <c r="O1706" s="1" t="s">
        <v>86</v>
      </c>
      <c r="P1706">
        <v>3870.82</v>
      </c>
      <c r="Q1706">
        <v>2023</v>
      </c>
      <c r="R1706">
        <v>3596.4864000000002</v>
      </c>
      <c r="S1706">
        <v>-274.33359999999993</v>
      </c>
      <c r="T1706" s="1" t="s">
        <v>164</v>
      </c>
      <c r="U1706">
        <v>-7.6278225325695601E-2</v>
      </c>
    </row>
    <row r="1707" spans="1:21" x14ac:dyDescent="0.3">
      <c r="A1707" s="1" t="s">
        <v>15</v>
      </c>
      <c r="B1707" s="1" t="s">
        <v>119</v>
      </c>
      <c r="C1707" s="2">
        <v>45034</v>
      </c>
      <c r="D1707" s="1" t="s">
        <v>17</v>
      </c>
      <c r="E1707" s="1" t="s">
        <v>18</v>
      </c>
      <c r="F1707">
        <v>3774.02</v>
      </c>
      <c r="G1707">
        <v>47</v>
      </c>
      <c r="H1707" s="1" t="s">
        <v>37</v>
      </c>
      <c r="I1707">
        <v>146.27000000000001</v>
      </c>
      <c r="J1707">
        <v>498.46</v>
      </c>
      <c r="K1707" s="1" t="s">
        <v>26</v>
      </c>
      <c r="L1707">
        <v>0.06</v>
      </c>
      <c r="M1707" s="1" t="s">
        <v>21</v>
      </c>
      <c r="N1707" s="1" t="s">
        <v>33</v>
      </c>
      <c r="O1707" s="1" t="s">
        <v>23</v>
      </c>
      <c r="P1707">
        <v>6874.6900000000005</v>
      </c>
      <c r="Q1707">
        <v>2023</v>
      </c>
      <c r="R1707">
        <v>22021.962799999998</v>
      </c>
      <c r="S1707">
        <v>15147.272799999997</v>
      </c>
      <c r="T1707" s="1" t="s">
        <v>164</v>
      </c>
      <c r="U1707">
        <v>0.68782573731347896</v>
      </c>
    </row>
    <row r="1708" spans="1:21" x14ac:dyDescent="0.3">
      <c r="A1708" s="1" t="s">
        <v>15</v>
      </c>
      <c r="B1708" s="1" t="s">
        <v>112</v>
      </c>
      <c r="C1708" s="2">
        <v>45034</v>
      </c>
      <c r="D1708" s="1" t="s">
        <v>36</v>
      </c>
      <c r="E1708" s="1" t="s">
        <v>30</v>
      </c>
      <c r="F1708">
        <v>9417.1</v>
      </c>
      <c r="G1708">
        <v>34</v>
      </c>
      <c r="H1708" s="1" t="s">
        <v>57</v>
      </c>
      <c r="I1708">
        <v>1105.05</v>
      </c>
      <c r="J1708">
        <v>1200.96</v>
      </c>
      <c r="K1708" s="1" t="s">
        <v>20</v>
      </c>
      <c r="L1708">
        <v>0.19</v>
      </c>
      <c r="M1708" s="1" t="s">
        <v>21</v>
      </c>
      <c r="N1708" s="1" t="s">
        <v>22</v>
      </c>
      <c r="O1708" s="1" t="s">
        <v>38</v>
      </c>
      <c r="P1708">
        <v>37571.699999999997</v>
      </c>
      <c r="Q1708">
        <v>2023</v>
      </c>
      <c r="R1708">
        <v>33074.438399999999</v>
      </c>
      <c r="S1708">
        <v>-4497.261599999998</v>
      </c>
      <c r="T1708" s="1" t="s">
        <v>164</v>
      </c>
      <c r="U1708">
        <v>-0.13597393689986301</v>
      </c>
    </row>
    <row r="1709" spans="1:21" x14ac:dyDescent="0.3">
      <c r="A1709" s="1" t="s">
        <v>15</v>
      </c>
      <c r="B1709" s="1" t="s">
        <v>94</v>
      </c>
      <c r="C1709" s="2">
        <v>45034</v>
      </c>
      <c r="D1709" s="1" t="s">
        <v>59</v>
      </c>
      <c r="E1709" s="1" t="s">
        <v>30</v>
      </c>
      <c r="F1709">
        <v>1874.61</v>
      </c>
      <c r="G1709">
        <v>9</v>
      </c>
      <c r="H1709" s="1" t="s">
        <v>37</v>
      </c>
      <c r="I1709">
        <v>709.97</v>
      </c>
      <c r="J1709">
        <v>1029.71</v>
      </c>
      <c r="K1709" s="1" t="s">
        <v>20</v>
      </c>
      <c r="L1709">
        <v>0.13</v>
      </c>
      <c r="M1709" s="1" t="s">
        <v>32</v>
      </c>
      <c r="N1709" s="1" t="s">
        <v>33</v>
      </c>
      <c r="O1709" s="1" t="s">
        <v>86</v>
      </c>
      <c r="P1709">
        <v>6389.7300000000005</v>
      </c>
      <c r="Q1709">
        <v>2023</v>
      </c>
      <c r="R1709">
        <v>8062.6292999999996</v>
      </c>
      <c r="S1709">
        <v>1672.8992999999991</v>
      </c>
      <c r="T1709" s="1" t="s">
        <v>164</v>
      </c>
      <c r="U1709">
        <v>0.20748805851708901</v>
      </c>
    </row>
    <row r="1710" spans="1:21" x14ac:dyDescent="0.3">
      <c r="A1710" s="1" t="s">
        <v>15</v>
      </c>
      <c r="B1710" s="1" t="s">
        <v>95</v>
      </c>
      <c r="C1710" s="2">
        <v>45035</v>
      </c>
      <c r="D1710" s="1" t="s">
        <v>43</v>
      </c>
      <c r="E1710" s="1" t="s">
        <v>30</v>
      </c>
      <c r="F1710">
        <v>2758.48</v>
      </c>
      <c r="G1710">
        <v>5</v>
      </c>
      <c r="H1710" s="1" t="s">
        <v>31</v>
      </c>
      <c r="I1710">
        <v>3162.92</v>
      </c>
      <c r="J1710">
        <v>3409.93</v>
      </c>
      <c r="K1710" s="1" t="s">
        <v>26</v>
      </c>
      <c r="L1710">
        <v>0</v>
      </c>
      <c r="M1710" s="1" t="s">
        <v>21</v>
      </c>
      <c r="N1710" s="1" t="s">
        <v>22</v>
      </c>
      <c r="O1710" s="1" t="s">
        <v>54</v>
      </c>
      <c r="P1710">
        <v>15814.6</v>
      </c>
      <c r="Q1710">
        <v>2023</v>
      </c>
      <c r="R1710">
        <v>17049.649999999998</v>
      </c>
      <c r="S1710">
        <v>1235.0499999999975</v>
      </c>
      <c r="T1710" s="1" t="s">
        <v>164</v>
      </c>
      <c r="U1710">
        <v>7.2438437152668705E-2</v>
      </c>
    </row>
    <row r="1711" spans="1:21" x14ac:dyDescent="0.3">
      <c r="A1711" s="1" t="s">
        <v>15</v>
      </c>
      <c r="B1711" s="1" t="s">
        <v>81</v>
      </c>
      <c r="C1711" s="2">
        <v>45036</v>
      </c>
      <c r="D1711" s="1" t="s">
        <v>25</v>
      </c>
      <c r="E1711" s="1" t="s">
        <v>40</v>
      </c>
      <c r="F1711">
        <v>8564.7999999999993</v>
      </c>
      <c r="G1711">
        <v>34</v>
      </c>
      <c r="H1711" s="1" t="s">
        <v>57</v>
      </c>
      <c r="I1711">
        <v>3573.3</v>
      </c>
      <c r="J1711">
        <v>3740.13</v>
      </c>
      <c r="K1711" s="1" t="s">
        <v>20</v>
      </c>
      <c r="L1711">
        <v>0.01</v>
      </c>
      <c r="M1711" s="1" t="s">
        <v>27</v>
      </c>
      <c r="N1711" s="1" t="s">
        <v>22</v>
      </c>
      <c r="O1711" s="1" t="s">
        <v>83</v>
      </c>
      <c r="P1711">
        <v>121492.20000000001</v>
      </c>
      <c r="Q1711">
        <v>2023</v>
      </c>
      <c r="R1711">
        <v>125892.7758</v>
      </c>
      <c r="S1711">
        <v>4400.5757999999914</v>
      </c>
      <c r="T1711" s="1" t="s">
        <v>164</v>
      </c>
      <c r="U1711">
        <v>3.4954950925786099E-2</v>
      </c>
    </row>
    <row r="1712" spans="1:21" x14ac:dyDescent="0.3">
      <c r="A1712" s="1" t="s">
        <v>15</v>
      </c>
      <c r="B1712" s="1" t="s">
        <v>149</v>
      </c>
      <c r="C1712" s="2">
        <v>45037</v>
      </c>
      <c r="D1712" s="1" t="s">
        <v>43</v>
      </c>
      <c r="E1712" s="1" t="s">
        <v>40</v>
      </c>
      <c r="F1712">
        <v>4384.0200000000004</v>
      </c>
      <c r="G1712">
        <v>17</v>
      </c>
      <c r="H1712" s="1" t="s">
        <v>31</v>
      </c>
      <c r="I1712">
        <v>3816.39</v>
      </c>
      <c r="J1712">
        <v>4209.4399999999996</v>
      </c>
      <c r="K1712" s="1" t="s">
        <v>20</v>
      </c>
      <c r="L1712">
        <v>0.11</v>
      </c>
      <c r="M1712" s="1" t="s">
        <v>21</v>
      </c>
      <c r="N1712" s="1" t="s">
        <v>33</v>
      </c>
      <c r="O1712" s="1" t="s">
        <v>99</v>
      </c>
      <c r="P1712">
        <v>64878.63</v>
      </c>
      <c r="Q1712">
        <v>2023</v>
      </c>
      <c r="R1712">
        <v>63688.8272</v>
      </c>
      <c r="S1712">
        <v>-1189.8027999999977</v>
      </c>
      <c r="T1712" s="1" t="s">
        <v>164</v>
      </c>
      <c r="U1712">
        <v>-1.86814996021782E-2</v>
      </c>
    </row>
    <row r="1713" spans="1:21" x14ac:dyDescent="0.3">
      <c r="A1713" s="1" t="s">
        <v>15</v>
      </c>
      <c r="B1713" s="1" t="s">
        <v>104</v>
      </c>
      <c r="C1713" s="2">
        <v>45037</v>
      </c>
      <c r="D1713" s="1" t="s">
        <v>17</v>
      </c>
      <c r="E1713" s="1" t="s">
        <v>18</v>
      </c>
      <c r="F1713">
        <v>9813.66</v>
      </c>
      <c r="G1713">
        <v>47</v>
      </c>
      <c r="H1713" s="1" t="s">
        <v>19</v>
      </c>
      <c r="I1713">
        <v>359.41</v>
      </c>
      <c r="J1713">
        <v>733</v>
      </c>
      <c r="K1713" s="1" t="s">
        <v>20</v>
      </c>
      <c r="L1713">
        <v>0.2</v>
      </c>
      <c r="M1713" s="1" t="s">
        <v>32</v>
      </c>
      <c r="N1713" s="1" t="s">
        <v>33</v>
      </c>
      <c r="O1713" s="1" t="s">
        <v>23</v>
      </c>
      <c r="P1713">
        <v>16892.27</v>
      </c>
      <c r="Q1713">
        <v>2023</v>
      </c>
      <c r="R1713">
        <v>27560.800000000003</v>
      </c>
      <c r="S1713">
        <v>10668.530000000002</v>
      </c>
      <c r="T1713" s="1" t="s">
        <v>164</v>
      </c>
      <c r="U1713">
        <v>0.387090723055935</v>
      </c>
    </row>
    <row r="1714" spans="1:21" x14ac:dyDescent="0.3">
      <c r="A1714" s="1" t="s">
        <v>15</v>
      </c>
      <c r="B1714" s="1" t="s">
        <v>85</v>
      </c>
      <c r="C1714" s="2">
        <v>45037</v>
      </c>
      <c r="D1714" s="1" t="s">
        <v>25</v>
      </c>
      <c r="E1714" s="1" t="s">
        <v>44</v>
      </c>
      <c r="F1714">
        <v>456.59</v>
      </c>
      <c r="G1714">
        <v>29</v>
      </c>
      <c r="H1714" s="1" t="s">
        <v>31</v>
      </c>
      <c r="I1714">
        <v>639.58000000000004</v>
      </c>
      <c r="J1714">
        <v>1107.45</v>
      </c>
      <c r="K1714" s="1" t="s">
        <v>26</v>
      </c>
      <c r="L1714">
        <v>0.28999999999999998</v>
      </c>
      <c r="M1714" s="1" t="s">
        <v>21</v>
      </c>
      <c r="N1714" s="1" t="s">
        <v>33</v>
      </c>
      <c r="O1714" s="1" t="s">
        <v>47</v>
      </c>
      <c r="P1714">
        <v>18547.82</v>
      </c>
      <c r="Q1714">
        <v>2023</v>
      </c>
      <c r="R1714">
        <v>22802.395500000002</v>
      </c>
      <c r="S1714">
        <v>4254.5755000000026</v>
      </c>
      <c r="T1714" s="1" t="s">
        <v>164</v>
      </c>
      <c r="U1714">
        <v>0.18658458493977101</v>
      </c>
    </row>
    <row r="1715" spans="1:21" x14ac:dyDescent="0.3">
      <c r="A1715" s="1" t="s">
        <v>15</v>
      </c>
      <c r="B1715" s="1" t="s">
        <v>145</v>
      </c>
      <c r="C1715" s="2">
        <v>45037</v>
      </c>
      <c r="D1715" s="1" t="s">
        <v>17</v>
      </c>
      <c r="E1715" s="1" t="s">
        <v>40</v>
      </c>
      <c r="F1715">
        <v>6413.11</v>
      </c>
      <c r="G1715">
        <v>17</v>
      </c>
      <c r="H1715" s="1" t="s">
        <v>31</v>
      </c>
      <c r="I1715">
        <v>1591.34</v>
      </c>
      <c r="J1715">
        <v>2043.82</v>
      </c>
      <c r="K1715" s="1" t="s">
        <v>26</v>
      </c>
      <c r="L1715">
        <v>0.28999999999999998</v>
      </c>
      <c r="M1715" s="1" t="s">
        <v>21</v>
      </c>
      <c r="N1715" s="1" t="s">
        <v>33</v>
      </c>
      <c r="O1715" s="1" t="s">
        <v>67</v>
      </c>
      <c r="P1715">
        <v>27052.78</v>
      </c>
      <c r="Q1715">
        <v>2023</v>
      </c>
      <c r="R1715">
        <v>24668.9074</v>
      </c>
      <c r="S1715">
        <v>-2383.8725999999988</v>
      </c>
      <c r="T1715" s="1" t="s">
        <v>164</v>
      </c>
      <c r="U1715">
        <v>-9.6634705434907098E-2</v>
      </c>
    </row>
    <row r="1716" spans="1:21" x14ac:dyDescent="0.3">
      <c r="A1716" s="1" t="s">
        <v>15</v>
      </c>
      <c r="B1716" s="1" t="s">
        <v>55</v>
      </c>
      <c r="C1716" s="2">
        <v>45037</v>
      </c>
      <c r="D1716" s="1" t="s">
        <v>36</v>
      </c>
      <c r="E1716" s="1" t="s">
        <v>40</v>
      </c>
      <c r="F1716">
        <v>4883.49</v>
      </c>
      <c r="G1716">
        <v>35</v>
      </c>
      <c r="H1716" s="1" t="s">
        <v>37</v>
      </c>
      <c r="I1716">
        <v>1130.5999999999999</v>
      </c>
      <c r="J1716">
        <v>1466.18</v>
      </c>
      <c r="K1716" s="1" t="s">
        <v>20</v>
      </c>
      <c r="L1716">
        <v>0.13</v>
      </c>
      <c r="M1716" s="1" t="s">
        <v>21</v>
      </c>
      <c r="N1716" s="1" t="s">
        <v>22</v>
      </c>
      <c r="O1716" s="1" t="s">
        <v>41</v>
      </c>
      <c r="P1716">
        <v>39571</v>
      </c>
      <c r="Q1716">
        <v>2023</v>
      </c>
      <c r="R1716">
        <v>44645.181000000004</v>
      </c>
      <c r="S1716">
        <v>5074.1810000000041</v>
      </c>
      <c r="T1716" s="1" t="s">
        <v>164</v>
      </c>
      <c r="U1716">
        <v>0.11365573811874601</v>
      </c>
    </row>
    <row r="1717" spans="1:21" x14ac:dyDescent="0.3">
      <c r="A1717" s="1" t="s">
        <v>15</v>
      </c>
      <c r="B1717" s="1" t="s">
        <v>51</v>
      </c>
      <c r="C1717" s="2">
        <v>45038</v>
      </c>
      <c r="D1717" s="1" t="s">
        <v>17</v>
      </c>
      <c r="E1717" s="1" t="s">
        <v>18</v>
      </c>
      <c r="F1717">
        <v>6551.23</v>
      </c>
      <c r="G1717">
        <v>9</v>
      </c>
      <c r="H1717" s="1" t="s">
        <v>37</v>
      </c>
      <c r="I1717">
        <v>4398.16</v>
      </c>
      <c r="J1717">
        <v>4439.12</v>
      </c>
      <c r="K1717" s="1" t="s">
        <v>26</v>
      </c>
      <c r="L1717">
        <v>0.18</v>
      </c>
      <c r="M1717" s="1" t="s">
        <v>32</v>
      </c>
      <c r="N1717" s="1" t="s">
        <v>22</v>
      </c>
      <c r="O1717" s="1" t="s">
        <v>23</v>
      </c>
      <c r="P1717">
        <v>39583.440000000002</v>
      </c>
      <c r="Q1717">
        <v>2023</v>
      </c>
      <c r="R1717">
        <v>32760.705600000005</v>
      </c>
      <c r="S1717">
        <v>-6822.7343999999975</v>
      </c>
      <c r="T1717" s="1" t="s">
        <v>164</v>
      </c>
      <c r="U1717">
        <v>-0.208259690230848</v>
      </c>
    </row>
    <row r="1718" spans="1:21" x14ac:dyDescent="0.3">
      <c r="A1718" s="1" t="s">
        <v>15</v>
      </c>
      <c r="B1718" s="1" t="s">
        <v>119</v>
      </c>
      <c r="C1718" s="2">
        <v>45038</v>
      </c>
      <c r="D1718" s="1" t="s">
        <v>17</v>
      </c>
      <c r="E1718" s="1" t="s">
        <v>30</v>
      </c>
      <c r="F1718">
        <v>8345.02</v>
      </c>
      <c r="G1718">
        <v>39</v>
      </c>
      <c r="H1718" s="1" t="s">
        <v>37</v>
      </c>
      <c r="I1718">
        <v>3494.19</v>
      </c>
      <c r="J1718">
        <v>3746</v>
      </c>
      <c r="K1718" s="1" t="s">
        <v>20</v>
      </c>
      <c r="L1718">
        <v>0.25</v>
      </c>
      <c r="M1718" s="1" t="s">
        <v>32</v>
      </c>
      <c r="N1718" s="1" t="s">
        <v>33</v>
      </c>
      <c r="O1718" s="1" t="s">
        <v>34</v>
      </c>
      <c r="P1718">
        <v>136273.41</v>
      </c>
      <c r="Q1718">
        <v>2023</v>
      </c>
      <c r="R1718">
        <v>109570.5</v>
      </c>
      <c r="S1718">
        <v>-26702.910000000003</v>
      </c>
      <c r="T1718" s="1" t="s">
        <v>164</v>
      </c>
      <c r="U1718">
        <v>-0.243705285638014</v>
      </c>
    </row>
    <row r="1719" spans="1:21" x14ac:dyDescent="0.3">
      <c r="A1719" s="1" t="s">
        <v>15</v>
      </c>
      <c r="B1719" s="1" t="s">
        <v>82</v>
      </c>
      <c r="C1719" s="2">
        <v>45039</v>
      </c>
      <c r="D1719" s="1" t="s">
        <v>17</v>
      </c>
      <c r="E1719" s="1" t="s">
        <v>44</v>
      </c>
      <c r="F1719">
        <v>273.77</v>
      </c>
      <c r="G1719">
        <v>23</v>
      </c>
      <c r="H1719" s="1" t="s">
        <v>19</v>
      </c>
      <c r="I1719">
        <v>4110.6000000000004</v>
      </c>
      <c r="J1719">
        <v>4488.37</v>
      </c>
      <c r="K1719" s="1" t="s">
        <v>26</v>
      </c>
      <c r="L1719">
        <v>0.12</v>
      </c>
      <c r="M1719" s="1" t="s">
        <v>27</v>
      </c>
      <c r="N1719" s="1" t="s">
        <v>22</v>
      </c>
      <c r="O1719" s="1" t="s">
        <v>49</v>
      </c>
      <c r="P1719">
        <v>94543.8</v>
      </c>
      <c r="Q1719">
        <v>2023</v>
      </c>
      <c r="R1719">
        <v>90844.608800000002</v>
      </c>
      <c r="S1719">
        <v>-3699.1912000000011</v>
      </c>
      <c r="T1719" s="1" t="s">
        <v>164</v>
      </c>
      <c r="U1719">
        <v>-4.07199860163854E-2</v>
      </c>
    </row>
    <row r="1720" spans="1:21" x14ac:dyDescent="0.3">
      <c r="A1720" s="1" t="s">
        <v>15</v>
      </c>
      <c r="B1720" s="1" t="s">
        <v>95</v>
      </c>
      <c r="C1720" s="2">
        <v>45039</v>
      </c>
      <c r="D1720" s="1" t="s">
        <v>25</v>
      </c>
      <c r="E1720" s="1" t="s">
        <v>44</v>
      </c>
      <c r="F1720">
        <v>7171.83</v>
      </c>
      <c r="G1720">
        <v>44</v>
      </c>
      <c r="H1720" s="1" t="s">
        <v>37</v>
      </c>
      <c r="I1720">
        <v>1195.22</v>
      </c>
      <c r="J1720">
        <v>1320.06</v>
      </c>
      <c r="K1720" s="1" t="s">
        <v>20</v>
      </c>
      <c r="L1720">
        <v>0.23</v>
      </c>
      <c r="M1720" s="1" t="s">
        <v>32</v>
      </c>
      <c r="N1720" s="1" t="s">
        <v>33</v>
      </c>
      <c r="O1720" s="1" t="s">
        <v>47</v>
      </c>
      <c r="P1720">
        <v>52589.68</v>
      </c>
      <c r="Q1720">
        <v>2023</v>
      </c>
      <c r="R1720">
        <v>44723.632799999999</v>
      </c>
      <c r="S1720">
        <v>-7866.0472000000009</v>
      </c>
      <c r="T1720" s="1" t="s">
        <v>164</v>
      </c>
      <c r="U1720">
        <v>-0.17588122224275099</v>
      </c>
    </row>
    <row r="1721" spans="1:21" x14ac:dyDescent="0.3">
      <c r="A1721" s="1" t="s">
        <v>15</v>
      </c>
      <c r="B1721" s="1" t="s">
        <v>16</v>
      </c>
      <c r="C1721" s="2">
        <v>45039</v>
      </c>
      <c r="D1721" s="1" t="s">
        <v>17</v>
      </c>
      <c r="E1721" s="1" t="s">
        <v>18</v>
      </c>
      <c r="F1721">
        <v>9154.0300000000007</v>
      </c>
      <c r="G1721">
        <v>35</v>
      </c>
      <c r="H1721" s="1" t="s">
        <v>19</v>
      </c>
      <c r="I1721">
        <v>600.20000000000005</v>
      </c>
      <c r="J1721">
        <v>1059.82</v>
      </c>
      <c r="K1721" s="1" t="s">
        <v>20</v>
      </c>
      <c r="L1721">
        <v>0.28999999999999998</v>
      </c>
      <c r="M1721" s="1" t="s">
        <v>32</v>
      </c>
      <c r="N1721" s="1" t="s">
        <v>33</v>
      </c>
      <c r="O1721" s="1" t="s">
        <v>23</v>
      </c>
      <c r="P1721">
        <v>21007</v>
      </c>
      <c r="Q1721">
        <v>2023</v>
      </c>
      <c r="R1721">
        <v>26336.526999999998</v>
      </c>
      <c r="S1721">
        <v>5329.5269999999982</v>
      </c>
      <c r="T1721" s="1" t="s">
        <v>164</v>
      </c>
      <c r="U1721">
        <v>0.202362559042048</v>
      </c>
    </row>
    <row r="1722" spans="1:21" x14ac:dyDescent="0.3">
      <c r="A1722" s="1" t="s">
        <v>15</v>
      </c>
      <c r="B1722" s="1" t="s">
        <v>105</v>
      </c>
      <c r="C1722" s="2">
        <v>45039</v>
      </c>
      <c r="D1722" s="1" t="s">
        <v>36</v>
      </c>
      <c r="E1722" s="1" t="s">
        <v>30</v>
      </c>
      <c r="F1722">
        <v>9961.9599999999991</v>
      </c>
      <c r="G1722">
        <v>6</v>
      </c>
      <c r="H1722" s="1" t="s">
        <v>31</v>
      </c>
      <c r="I1722">
        <v>4502.09</v>
      </c>
      <c r="J1722">
        <v>4879.72</v>
      </c>
      <c r="K1722" s="1" t="s">
        <v>26</v>
      </c>
      <c r="L1722">
        <v>0.13</v>
      </c>
      <c r="M1722" s="1" t="s">
        <v>27</v>
      </c>
      <c r="N1722" s="1" t="s">
        <v>22</v>
      </c>
      <c r="O1722" s="1" t="s">
        <v>38</v>
      </c>
      <c r="P1722">
        <v>27012.54</v>
      </c>
      <c r="Q1722">
        <v>2023</v>
      </c>
      <c r="R1722">
        <v>25472.1384</v>
      </c>
      <c r="S1722">
        <v>-1540.4016000000011</v>
      </c>
      <c r="T1722" s="1" t="s">
        <v>164</v>
      </c>
      <c r="U1722">
        <v>-6.0473980464867502E-2</v>
      </c>
    </row>
    <row r="1723" spans="1:21" x14ac:dyDescent="0.3">
      <c r="A1723" s="1" t="s">
        <v>15</v>
      </c>
      <c r="B1723" s="1" t="s">
        <v>97</v>
      </c>
      <c r="C1723" s="2">
        <v>45040</v>
      </c>
      <c r="D1723" s="1" t="s">
        <v>36</v>
      </c>
      <c r="E1723" s="1" t="s">
        <v>18</v>
      </c>
      <c r="F1723">
        <v>4670.99</v>
      </c>
      <c r="G1723">
        <v>35</v>
      </c>
      <c r="H1723" s="1" t="s">
        <v>31</v>
      </c>
      <c r="I1723">
        <v>2051</v>
      </c>
      <c r="J1723">
        <v>2121.5500000000002</v>
      </c>
      <c r="K1723" s="1" t="s">
        <v>20</v>
      </c>
      <c r="L1723">
        <v>0.26</v>
      </c>
      <c r="M1723" s="1" t="s">
        <v>21</v>
      </c>
      <c r="N1723" s="1" t="s">
        <v>33</v>
      </c>
      <c r="O1723" s="1" t="s">
        <v>115</v>
      </c>
      <c r="P1723">
        <v>71785</v>
      </c>
      <c r="Q1723">
        <v>2023</v>
      </c>
      <c r="R1723">
        <v>54948.144999999997</v>
      </c>
      <c r="S1723">
        <v>-16836.855000000003</v>
      </c>
      <c r="T1723" s="1" t="s">
        <v>164</v>
      </c>
      <c r="U1723">
        <v>-0.306413528609565</v>
      </c>
    </row>
    <row r="1724" spans="1:21" x14ac:dyDescent="0.3">
      <c r="A1724" s="1" t="s">
        <v>15</v>
      </c>
      <c r="B1724" s="1" t="s">
        <v>78</v>
      </c>
      <c r="C1724" s="2">
        <v>45040</v>
      </c>
      <c r="D1724" s="1" t="s">
        <v>36</v>
      </c>
      <c r="E1724" s="1" t="s">
        <v>18</v>
      </c>
      <c r="F1724">
        <v>7524.78</v>
      </c>
      <c r="G1724">
        <v>48</v>
      </c>
      <c r="H1724" s="1" t="s">
        <v>57</v>
      </c>
      <c r="I1724">
        <v>2316.92</v>
      </c>
      <c r="J1724">
        <v>2462.63</v>
      </c>
      <c r="K1724" s="1" t="s">
        <v>26</v>
      </c>
      <c r="L1724">
        <v>0.04</v>
      </c>
      <c r="M1724" s="1" t="s">
        <v>27</v>
      </c>
      <c r="N1724" s="1" t="s">
        <v>22</v>
      </c>
      <c r="O1724" s="1" t="s">
        <v>115</v>
      </c>
      <c r="P1724">
        <v>111212.16</v>
      </c>
      <c r="Q1724">
        <v>2023</v>
      </c>
      <c r="R1724">
        <v>113477.9904</v>
      </c>
      <c r="S1724">
        <v>2265.8303999999916</v>
      </c>
      <c r="T1724" s="1" t="s">
        <v>164</v>
      </c>
      <c r="U1724">
        <v>1.9967135406726299E-2</v>
      </c>
    </row>
    <row r="1725" spans="1:21" x14ac:dyDescent="0.3">
      <c r="A1725" s="1" t="s">
        <v>15</v>
      </c>
      <c r="B1725" s="1" t="s">
        <v>39</v>
      </c>
      <c r="C1725" s="2">
        <v>45041</v>
      </c>
      <c r="D1725" s="1" t="s">
        <v>36</v>
      </c>
      <c r="E1725" s="1" t="s">
        <v>40</v>
      </c>
      <c r="F1725">
        <v>4038.58</v>
      </c>
      <c r="G1725">
        <v>44</v>
      </c>
      <c r="H1725" s="1" t="s">
        <v>31</v>
      </c>
      <c r="I1725">
        <v>3519.29</v>
      </c>
      <c r="J1725">
        <v>3822.98</v>
      </c>
      <c r="K1725" s="1" t="s">
        <v>20</v>
      </c>
      <c r="L1725">
        <v>0.27</v>
      </c>
      <c r="M1725" s="1" t="s">
        <v>32</v>
      </c>
      <c r="N1725" s="1" t="s">
        <v>22</v>
      </c>
      <c r="O1725" s="1" t="s">
        <v>41</v>
      </c>
      <c r="P1725">
        <v>154848.76</v>
      </c>
      <c r="Q1725">
        <v>2023</v>
      </c>
      <c r="R1725">
        <v>122794.1176</v>
      </c>
      <c r="S1725">
        <v>-32054.642400000012</v>
      </c>
      <c r="T1725" s="1" t="s">
        <v>164</v>
      </c>
      <c r="U1725">
        <v>-0.26104379449525</v>
      </c>
    </row>
    <row r="1726" spans="1:21" x14ac:dyDescent="0.3">
      <c r="A1726" s="1" t="s">
        <v>15</v>
      </c>
      <c r="B1726" s="1" t="s">
        <v>138</v>
      </c>
      <c r="C1726" s="2">
        <v>45041</v>
      </c>
      <c r="D1726" s="1" t="s">
        <v>43</v>
      </c>
      <c r="E1726" s="1" t="s">
        <v>30</v>
      </c>
      <c r="F1726">
        <v>9805.65</v>
      </c>
      <c r="G1726">
        <v>10</v>
      </c>
      <c r="H1726" s="1" t="s">
        <v>37</v>
      </c>
      <c r="I1726">
        <v>3155.97</v>
      </c>
      <c r="J1726">
        <v>3263.49</v>
      </c>
      <c r="K1726" s="1" t="s">
        <v>20</v>
      </c>
      <c r="L1726">
        <v>0.04</v>
      </c>
      <c r="M1726" s="1" t="s">
        <v>27</v>
      </c>
      <c r="N1726" s="1" t="s">
        <v>22</v>
      </c>
      <c r="O1726" s="1" t="s">
        <v>54</v>
      </c>
      <c r="P1726">
        <v>31559.699999999997</v>
      </c>
      <c r="Q1726">
        <v>2023</v>
      </c>
      <c r="R1726">
        <v>31329.503999999997</v>
      </c>
      <c r="S1726">
        <v>-230.19599999999991</v>
      </c>
      <c r="T1726" s="1" t="s">
        <v>164</v>
      </c>
      <c r="U1726">
        <v>-7.3475788189943901E-3</v>
      </c>
    </row>
    <row r="1727" spans="1:21" x14ac:dyDescent="0.3">
      <c r="A1727" s="1" t="s">
        <v>15</v>
      </c>
      <c r="B1727" s="1" t="s">
        <v>72</v>
      </c>
      <c r="C1727" s="2">
        <v>45041</v>
      </c>
      <c r="D1727" s="1" t="s">
        <v>59</v>
      </c>
      <c r="E1727" s="1" t="s">
        <v>44</v>
      </c>
      <c r="F1727">
        <v>5830.19</v>
      </c>
      <c r="G1727">
        <v>24</v>
      </c>
      <c r="H1727" s="1" t="s">
        <v>19</v>
      </c>
      <c r="I1727">
        <v>2615.48</v>
      </c>
      <c r="J1727">
        <v>3062.22</v>
      </c>
      <c r="K1727" s="1" t="s">
        <v>26</v>
      </c>
      <c r="L1727">
        <v>0.19</v>
      </c>
      <c r="M1727" s="1" t="s">
        <v>32</v>
      </c>
      <c r="N1727" s="1" t="s">
        <v>33</v>
      </c>
      <c r="O1727" s="1" t="s">
        <v>60</v>
      </c>
      <c r="P1727">
        <v>62771.520000000004</v>
      </c>
      <c r="Q1727">
        <v>2023</v>
      </c>
      <c r="R1727">
        <v>59529.556800000006</v>
      </c>
      <c r="S1727">
        <v>-3241.9631999999983</v>
      </c>
      <c r="T1727" s="1" t="s">
        <v>164</v>
      </c>
      <c r="U1727">
        <v>-5.4459723442792297E-2</v>
      </c>
    </row>
    <row r="1728" spans="1:21" x14ac:dyDescent="0.3">
      <c r="A1728" s="1" t="s">
        <v>15</v>
      </c>
      <c r="B1728" s="1" t="s">
        <v>39</v>
      </c>
      <c r="C1728" s="2">
        <v>45042</v>
      </c>
      <c r="D1728" s="1" t="s">
        <v>36</v>
      </c>
      <c r="E1728" s="1" t="s">
        <v>30</v>
      </c>
      <c r="F1728">
        <v>1457.77</v>
      </c>
      <c r="G1728">
        <v>37</v>
      </c>
      <c r="H1728" s="1" t="s">
        <v>37</v>
      </c>
      <c r="I1728">
        <v>4399.8</v>
      </c>
      <c r="J1728">
        <v>4801.0600000000004</v>
      </c>
      <c r="K1728" s="1" t="s">
        <v>26</v>
      </c>
      <c r="L1728">
        <v>0.13</v>
      </c>
      <c r="M1728" s="1" t="s">
        <v>32</v>
      </c>
      <c r="N1728" s="1" t="s">
        <v>33</v>
      </c>
      <c r="O1728" s="1" t="s">
        <v>38</v>
      </c>
      <c r="P1728">
        <v>162792.6</v>
      </c>
      <c r="Q1728">
        <v>2023</v>
      </c>
      <c r="R1728">
        <v>154546.1214</v>
      </c>
      <c r="S1728">
        <v>-8246.4786000000022</v>
      </c>
      <c r="T1728" s="1" t="s">
        <v>164</v>
      </c>
      <c r="U1728">
        <v>-5.3359337169363599E-2</v>
      </c>
    </row>
    <row r="1729" spans="1:21" x14ac:dyDescent="0.3">
      <c r="A1729" s="1" t="s">
        <v>15</v>
      </c>
      <c r="B1729" s="1" t="s">
        <v>97</v>
      </c>
      <c r="C1729" s="2">
        <v>45043</v>
      </c>
      <c r="D1729" s="1" t="s">
        <v>59</v>
      </c>
      <c r="E1729" s="1" t="s">
        <v>40</v>
      </c>
      <c r="F1729">
        <v>7734.12</v>
      </c>
      <c r="G1729">
        <v>42</v>
      </c>
      <c r="H1729" s="1" t="s">
        <v>57</v>
      </c>
      <c r="I1729">
        <v>2069.0500000000002</v>
      </c>
      <c r="J1729">
        <v>2363.9</v>
      </c>
      <c r="K1729" s="1" t="s">
        <v>20</v>
      </c>
      <c r="L1729">
        <v>7.0000000000000007E-2</v>
      </c>
      <c r="M1729" s="1" t="s">
        <v>21</v>
      </c>
      <c r="N1729" s="1" t="s">
        <v>22</v>
      </c>
      <c r="O1729" s="1" t="s">
        <v>90</v>
      </c>
      <c r="P1729">
        <v>86900.1</v>
      </c>
      <c r="Q1729">
        <v>2023</v>
      </c>
      <c r="R1729">
        <v>92333.933999999994</v>
      </c>
      <c r="S1729">
        <v>5433.833999999988</v>
      </c>
      <c r="T1729" s="1" t="s">
        <v>164</v>
      </c>
      <c r="U1729">
        <v>5.8849804883218601E-2</v>
      </c>
    </row>
    <row r="1730" spans="1:21" x14ac:dyDescent="0.3">
      <c r="A1730" s="1" t="s">
        <v>15</v>
      </c>
      <c r="B1730" s="1" t="s">
        <v>128</v>
      </c>
      <c r="C1730" s="2">
        <v>45043</v>
      </c>
      <c r="D1730" s="1" t="s">
        <v>59</v>
      </c>
      <c r="E1730" s="1" t="s">
        <v>30</v>
      </c>
      <c r="F1730">
        <v>7095.64</v>
      </c>
      <c r="G1730">
        <v>33</v>
      </c>
      <c r="H1730" s="1" t="s">
        <v>31</v>
      </c>
      <c r="I1730">
        <v>4772.03</v>
      </c>
      <c r="J1730">
        <v>4805.17</v>
      </c>
      <c r="K1730" s="1" t="s">
        <v>20</v>
      </c>
      <c r="L1730">
        <v>0.28000000000000003</v>
      </c>
      <c r="M1730" s="1" t="s">
        <v>32</v>
      </c>
      <c r="N1730" s="1" t="s">
        <v>22</v>
      </c>
      <c r="O1730" s="1" t="s">
        <v>86</v>
      </c>
      <c r="P1730">
        <v>157476.99</v>
      </c>
      <c r="Q1730">
        <v>2023</v>
      </c>
      <c r="R1730">
        <v>114170.8392</v>
      </c>
      <c r="S1730">
        <v>-43306.150799999989</v>
      </c>
      <c r="T1730" s="1" t="s">
        <v>164</v>
      </c>
      <c r="U1730">
        <v>-0.3793100856878</v>
      </c>
    </row>
    <row r="1731" spans="1:21" x14ac:dyDescent="0.3">
      <c r="A1731" s="1" t="s">
        <v>15</v>
      </c>
      <c r="B1731" s="1" t="s">
        <v>134</v>
      </c>
      <c r="C1731" s="2">
        <v>45043</v>
      </c>
      <c r="D1731" s="1" t="s">
        <v>17</v>
      </c>
      <c r="E1731" s="1" t="s">
        <v>44</v>
      </c>
      <c r="F1731">
        <v>3167.09</v>
      </c>
      <c r="G1731">
        <v>25</v>
      </c>
      <c r="H1731" s="1" t="s">
        <v>37</v>
      </c>
      <c r="I1731">
        <v>1330.62</v>
      </c>
      <c r="J1731">
        <v>1543.69</v>
      </c>
      <c r="K1731" s="1" t="s">
        <v>26</v>
      </c>
      <c r="L1731">
        <v>0.27</v>
      </c>
      <c r="M1731" s="1" t="s">
        <v>27</v>
      </c>
      <c r="N1731" s="1" t="s">
        <v>22</v>
      </c>
      <c r="O1731" s="1" t="s">
        <v>49</v>
      </c>
      <c r="P1731">
        <v>33265.5</v>
      </c>
      <c r="Q1731">
        <v>2023</v>
      </c>
      <c r="R1731">
        <v>28172.342499999999</v>
      </c>
      <c r="S1731">
        <v>-5093.1575000000012</v>
      </c>
      <c r="T1731" s="1" t="s">
        <v>164</v>
      </c>
      <c r="U1731">
        <v>-0.18078572983414501</v>
      </c>
    </row>
    <row r="1732" spans="1:21" x14ac:dyDescent="0.3">
      <c r="A1732" s="1" t="s">
        <v>15</v>
      </c>
      <c r="B1732" s="1" t="s">
        <v>35</v>
      </c>
      <c r="C1732" s="2">
        <v>45043</v>
      </c>
      <c r="D1732" s="1" t="s">
        <v>43</v>
      </c>
      <c r="E1732" s="1" t="s">
        <v>18</v>
      </c>
      <c r="F1732">
        <v>717.7</v>
      </c>
      <c r="G1732">
        <v>13</v>
      </c>
      <c r="H1732" s="1" t="s">
        <v>19</v>
      </c>
      <c r="I1732">
        <v>1645.51</v>
      </c>
      <c r="J1732">
        <v>2045.53</v>
      </c>
      <c r="K1732" s="1" t="s">
        <v>20</v>
      </c>
      <c r="L1732">
        <v>0.28000000000000003</v>
      </c>
      <c r="M1732" s="1" t="s">
        <v>21</v>
      </c>
      <c r="N1732" s="1" t="s">
        <v>33</v>
      </c>
      <c r="O1732" s="1" t="s">
        <v>62</v>
      </c>
      <c r="P1732">
        <v>21391.63</v>
      </c>
      <c r="Q1732">
        <v>2023</v>
      </c>
      <c r="R1732">
        <v>19146.160799999998</v>
      </c>
      <c r="S1732">
        <v>-2245.4692000000032</v>
      </c>
      <c r="T1732" s="1" t="s">
        <v>164</v>
      </c>
      <c r="U1732">
        <v>-0.117280389706118</v>
      </c>
    </row>
    <row r="1733" spans="1:21" x14ac:dyDescent="0.3">
      <c r="A1733" s="1" t="s">
        <v>15</v>
      </c>
      <c r="B1733" s="1" t="s">
        <v>114</v>
      </c>
      <c r="C1733" s="2">
        <v>45043</v>
      </c>
      <c r="D1733" s="1" t="s">
        <v>36</v>
      </c>
      <c r="E1733" s="1" t="s">
        <v>30</v>
      </c>
      <c r="F1733">
        <v>7629.7</v>
      </c>
      <c r="G1733">
        <v>17</v>
      </c>
      <c r="H1733" s="1" t="s">
        <v>19</v>
      </c>
      <c r="I1733">
        <v>355.72</v>
      </c>
      <c r="J1733">
        <v>438.27</v>
      </c>
      <c r="K1733" s="1" t="s">
        <v>20</v>
      </c>
      <c r="L1733">
        <v>0.06</v>
      </c>
      <c r="M1733" s="1" t="s">
        <v>32</v>
      </c>
      <c r="N1733" s="1" t="s">
        <v>22</v>
      </c>
      <c r="O1733" s="1" t="s">
        <v>38</v>
      </c>
      <c r="P1733">
        <v>6047.2400000000007</v>
      </c>
      <c r="Q1733">
        <v>2023</v>
      </c>
      <c r="R1733">
        <v>7003.5545999999995</v>
      </c>
      <c r="S1733">
        <v>956.31459999999879</v>
      </c>
      <c r="T1733" s="1" t="s">
        <v>164</v>
      </c>
      <c r="U1733">
        <v>0.13654703284529199</v>
      </c>
    </row>
    <row r="1734" spans="1:21" x14ac:dyDescent="0.3">
      <c r="A1734" s="1" t="s">
        <v>15</v>
      </c>
      <c r="B1734" s="1" t="s">
        <v>111</v>
      </c>
      <c r="C1734" s="2">
        <v>45044</v>
      </c>
      <c r="D1734" s="1" t="s">
        <v>25</v>
      </c>
      <c r="E1734" s="1" t="s">
        <v>30</v>
      </c>
      <c r="F1734">
        <v>5991.8</v>
      </c>
      <c r="G1734">
        <v>27</v>
      </c>
      <c r="H1734" s="1" t="s">
        <v>31</v>
      </c>
      <c r="I1734">
        <v>623.32000000000005</v>
      </c>
      <c r="J1734">
        <v>853.66</v>
      </c>
      <c r="K1734" s="1" t="s">
        <v>20</v>
      </c>
      <c r="L1734">
        <v>0.04</v>
      </c>
      <c r="M1734" s="1" t="s">
        <v>21</v>
      </c>
      <c r="N1734" s="1" t="s">
        <v>22</v>
      </c>
      <c r="O1734" s="1" t="s">
        <v>92</v>
      </c>
      <c r="P1734">
        <v>16829.640000000003</v>
      </c>
      <c r="Q1734">
        <v>2023</v>
      </c>
      <c r="R1734">
        <v>22126.867200000001</v>
      </c>
      <c r="S1734">
        <v>5297.2271999999975</v>
      </c>
      <c r="T1734" s="1" t="s">
        <v>164</v>
      </c>
      <c r="U1734">
        <v>0.239402494357629</v>
      </c>
    </row>
    <row r="1735" spans="1:21" x14ac:dyDescent="0.3">
      <c r="A1735" s="1" t="s">
        <v>15</v>
      </c>
      <c r="B1735" s="1" t="s">
        <v>104</v>
      </c>
      <c r="C1735" s="2">
        <v>45044</v>
      </c>
      <c r="D1735" s="1" t="s">
        <v>59</v>
      </c>
      <c r="E1735" s="1" t="s">
        <v>18</v>
      </c>
      <c r="F1735">
        <v>1342.95</v>
      </c>
      <c r="G1735">
        <v>33</v>
      </c>
      <c r="H1735" s="1" t="s">
        <v>19</v>
      </c>
      <c r="I1735">
        <v>2278.9</v>
      </c>
      <c r="J1735">
        <v>2626.9</v>
      </c>
      <c r="K1735" s="1" t="s">
        <v>26</v>
      </c>
      <c r="L1735">
        <v>0.05</v>
      </c>
      <c r="M1735" s="1" t="s">
        <v>27</v>
      </c>
      <c r="N1735" s="1" t="s">
        <v>22</v>
      </c>
      <c r="O1735" s="1" t="s">
        <v>77</v>
      </c>
      <c r="P1735">
        <v>75203.7</v>
      </c>
      <c r="Q1735">
        <v>2023</v>
      </c>
      <c r="R1735">
        <v>82353.314999999988</v>
      </c>
      <c r="S1735">
        <v>7149.6149999999907</v>
      </c>
      <c r="T1735" s="1" t="s">
        <v>164</v>
      </c>
      <c r="U1735">
        <v>8.6816359487168093E-2</v>
      </c>
    </row>
    <row r="1736" spans="1:21" x14ac:dyDescent="0.3">
      <c r="A1736" s="1" t="s">
        <v>15</v>
      </c>
      <c r="B1736" s="1" t="s">
        <v>125</v>
      </c>
      <c r="C1736" s="2">
        <v>45044</v>
      </c>
      <c r="D1736" s="1" t="s">
        <v>25</v>
      </c>
      <c r="E1736" s="1" t="s">
        <v>40</v>
      </c>
      <c r="F1736">
        <v>7739.11</v>
      </c>
      <c r="G1736">
        <v>25</v>
      </c>
      <c r="H1736" s="1" t="s">
        <v>31</v>
      </c>
      <c r="I1736">
        <v>4037.73</v>
      </c>
      <c r="J1736">
        <v>4446.45</v>
      </c>
      <c r="K1736" s="1" t="s">
        <v>20</v>
      </c>
      <c r="L1736">
        <v>0.09</v>
      </c>
      <c r="M1736" s="1" t="s">
        <v>32</v>
      </c>
      <c r="N1736" s="1" t="s">
        <v>22</v>
      </c>
      <c r="O1736" s="1" t="s">
        <v>83</v>
      </c>
      <c r="P1736">
        <v>100943.25</v>
      </c>
      <c r="Q1736">
        <v>2023</v>
      </c>
      <c r="R1736">
        <v>101156.7375</v>
      </c>
      <c r="S1736">
        <v>213.48750000000291</v>
      </c>
      <c r="T1736" s="1" t="s">
        <v>164</v>
      </c>
      <c r="U1736">
        <v>2.11046248896672E-3</v>
      </c>
    </row>
    <row r="1737" spans="1:21" x14ac:dyDescent="0.3">
      <c r="A1737" s="1" t="s">
        <v>15</v>
      </c>
      <c r="B1737" s="1" t="s">
        <v>58</v>
      </c>
      <c r="C1737" s="2">
        <v>45044</v>
      </c>
      <c r="D1737" s="1" t="s">
        <v>25</v>
      </c>
      <c r="E1737" s="1" t="s">
        <v>18</v>
      </c>
      <c r="F1737">
        <v>9850.1</v>
      </c>
      <c r="G1737">
        <v>5</v>
      </c>
      <c r="H1737" s="1" t="s">
        <v>37</v>
      </c>
      <c r="I1737">
        <v>2311.25</v>
      </c>
      <c r="J1737">
        <v>2482.34</v>
      </c>
      <c r="K1737" s="1" t="s">
        <v>20</v>
      </c>
      <c r="L1737">
        <v>0.22</v>
      </c>
      <c r="M1737" s="1" t="s">
        <v>27</v>
      </c>
      <c r="N1737" s="1" t="s">
        <v>33</v>
      </c>
      <c r="O1737" s="1" t="s">
        <v>28</v>
      </c>
      <c r="P1737">
        <v>11556.25</v>
      </c>
      <c r="Q1737">
        <v>2023</v>
      </c>
      <c r="R1737">
        <v>9681.1260000000002</v>
      </c>
      <c r="S1737">
        <v>-1875.1239999999998</v>
      </c>
      <c r="T1737" s="1" t="s">
        <v>164</v>
      </c>
      <c r="U1737">
        <v>-0.193688626715529</v>
      </c>
    </row>
    <row r="1738" spans="1:21" x14ac:dyDescent="0.3">
      <c r="A1738" s="1" t="s">
        <v>15</v>
      </c>
      <c r="B1738" s="1" t="s">
        <v>149</v>
      </c>
      <c r="C1738" s="2">
        <v>45045</v>
      </c>
      <c r="D1738" s="1" t="s">
        <v>59</v>
      </c>
      <c r="E1738" s="1" t="s">
        <v>18</v>
      </c>
      <c r="F1738">
        <v>7353.72</v>
      </c>
      <c r="G1738">
        <v>34</v>
      </c>
      <c r="H1738" s="1" t="s">
        <v>57</v>
      </c>
      <c r="I1738">
        <v>4201.1099999999997</v>
      </c>
      <c r="J1738">
        <v>4436.5</v>
      </c>
      <c r="K1738" s="1" t="s">
        <v>26</v>
      </c>
      <c r="L1738">
        <v>0.05</v>
      </c>
      <c r="M1738" s="1" t="s">
        <v>21</v>
      </c>
      <c r="N1738" s="1" t="s">
        <v>22</v>
      </c>
      <c r="O1738" s="1" t="s">
        <v>77</v>
      </c>
      <c r="P1738">
        <v>142837.74</v>
      </c>
      <c r="Q1738">
        <v>2023</v>
      </c>
      <c r="R1738">
        <v>143298.94999999998</v>
      </c>
      <c r="S1738">
        <v>461.20999999999185</v>
      </c>
      <c r="T1738" s="1" t="s">
        <v>164</v>
      </c>
      <c r="U1738">
        <v>3.21851625570175E-3</v>
      </c>
    </row>
    <row r="1739" spans="1:21" x14ac:dyDescent="0.3">
      <c r="A1739" s="1" t="s">
        <v>15</v>
      </c>
      <c r="B1739" s="1" t="s">
        <v>98</v>
      </c>
      <c r="C1739" s="2">
        <v>45045</v>
      </c>
      <c r="D1739" s="1" t="s">
        <v>25</v>
      </c>
      <c r="E1739" s="1" t="s">
        <v>18</v>
      </c>
      <c r="F1739">
        <v>8274.5400000000009</v>
      </c>
      <c r="G1739">
        <v>10</v>
      </c>
      <c r="H1739" s="1" t="s">
        <v>19</v>
      </c>
      <c r="I1739">
        <v>536.80999999999995</v>
      </c>
      <c r="J1739">
        <v>839.92</v>
      </c>
      <c r="K1739" s="1" t="s">
        <v>20</v>
      </c>
      <c r="L1739">
        <v>0.15</v>
      </c>
      <c r="M1739" s="1" t="s">
        <v>32</v>
      </c>
      <c r="N1739" s="1" t="s">
        <v>22</v>
      </c>
      <c r="O1739" s="1" t="s">
        <v>28</v>
      </c>
      <c r="P1739">
        <v>5368.0999999999995</v>
      </c>
      <c r="Q1739">
        <v>2023</v>
      </c>
      <c r="R1739">
        <v>7139.3199999999988</v>
      </c>
      <c r="S1739">
        <v>1771.2199999999993</v>
      </c>
      <c r="T1739" s="1" t="s">
        <v>164</v>
      </c>
      <c r="U1739">
        <v>0.24809365597843999</v>
      </c>
    </row>
    <row r="1740" spans="1:21" x14ac:dyDescent="0.3">
      <c r="A1740" s="1" t="s">
        <v>15</v>
      </c>
      <c r="B1740" s="1" t="s">
        <v>50</v>
      </c>
      <c r="C1740" s="2">
        <v>45046</v>
      </c>
      <c r="D1740" s="1" t="s">
        <v>43</v>
      </c>
      <c r="E1740" s="1" t="s">
        <v>40</v>
      </c>
      <c r="F1740">
        <v>5571.8</v>
      </c>
      <c r="G1740">
        <v>3</v>
      </c>
      <c r="H1740" s="1" t="s">
        <v>57</v>
      </c>
      <c r="I1740">
        <v>1000.18</v>
      </c>
      <c r="J1740">
        <v>1023.64</v>
      </c>
      <c r="K1740" s="1" t="s">
        <v>20</v>
      </c>
      <c r="L1740">
        <v>0.04</v>
      </c>
      <c r="M1740" s="1" t="s">
        <v>27</v>
      </c>
      <c r="N1740" s="1" t="s">
        <v>22</v>
      </c>
      <c r="O1740" s="1" t="s">
        <v>99</v>
      </c>
      <c r="P1740">
        <v>3000.54</v>
      </c>
      <c r="Q1740">
        <v>2023</v>
      </c>
      <c r="R1740">
        <v>2948.0832</v>
      </c>
      <c r="S1740">
        <v>-52.45679999999993</v>
      </c>
      <c r="T1740" s="1" t="s">
        <v>164</v>
      </c>
      <c r="U1740">
        <v>-1.7793527672488998E-2</v>
      </c>
    </row>
    <row r="1741" spans="1:21" x14ac:dyDescent="0.3">
      <c r="A1741" s="1" t="s">
        <v>15</v>
      </c>
      <c r="B1741" s="1" t="s">
        <v>140</v>
      </c>
      <c r="C1741" s="2">
        <v>45046</v>
      </c>
      <c r="D1741" s="1" t="s">
        <v>59</v>
      </c>
      <c r="E1741" s="1" t="s">
        <v>40</v>
      </c>
      <c r="F1741">
        <v>4241.51</v>
      </c>
      <c r="G1741">
        <v>18</v>
      </c>
      <c r="H1741" s="1" t="s">
        <v>37</v>
      </c>
      <c r="I1741">
        <v>2466.1799999999998</v>
      </c>
      <c r="J1741">
        <v>2483.87</v>
      </c>
      <c r="K1741" s="1" t="s">
        <v>20</v>
      </c>
      <c r="L1741">
        <v>0.08</v>
      </c>
      <c r="M1741" s="1" t="s">
        <v>21</v>
      </c>
      <c r="N1741" s="1" t="s">
        <v>22</v>
      </c>
      <c r="O1741" s="1" t="s">
        <v>90</v>
      </c>
      <c r="P1741">
        <v>44391.24</v>
      </c>
      <c r="Q1741">
        <v>2023</v>
      </c>
      <c r="R1741">
        <v>41132.887199999997</v>
      </c>
      <c r="S1741">
        <v>-3258.3528000000006</v>
      </c>
      <c r="T1741" s="1" t="s">
        <v>164</v>
      </c>
      <c r="U1741">
        <v>-7.9215270840506405E-2</v>
      </c>
    </row>
    <row r="1742" spans="1:21" x14ac:dyDescent="0.3">
      <c r="A1742" s="1" t="s">
        <v>15</v>
      </c>
      <c r="B1742" s="1" t="s">
        <v>106</v>
      </c>
      <c r="C1742" s="2">
        <v>45046</v>
      </c>
      <c r="D1742" s="1" t="s">
        <v>17</v>
      </c>
      <c r="E1742" s="1" t="s">
        <v>40</v>
      </c>
      <c r="F1742">
        <v>3279.51</v>
      </c>
      <c r="G1742">
        <v>32</v>
      </c>
      <c r="H1742" s="1" t="s">
        <v>19</v>
      </c>
      <c r="I1742">
        <v>4337.82</v>
      </c>
      <c r="J1742">
        <v>4460.71</v>
      </c>
      <c r="K1742" s="1" t="s">
        <v>20</v>
      </c>
      <c r="L1742">
        <v>0.3</v>
      </c>
      <c r="M1742" s="1" t="s">
        <v>21</v>
      </c>
      <c r="N1742" s="1" t="s">
        <v>33</v>
      </c>
      <c r="O1742" s="1" t="s">
        <v>67</v>
      </c>
      <c r="P1742">
        <v>138810.23999999999</v>
      </c>
      <c r="Q1742">
        <v>2023</v>
      </c>
      <c r="R1742">
        <v>99919.903999999995</v>
      </c>
      <c r="S1742">
        <v>-38890.335999999996</v>
      </c>
      <c r="T1742" s="1" t="s">
        <v>164</v>
      </c>
      <c r="U1742">
        <v>-0.38921510573108598</v>
      </c>
    </row>
    <row r="1743" spans="1:21" x14ac:dyDescent="0.3">
      <c r="A1743" s="1" t="s">
        <v>15</v>
      </c>
      <c r="B1743" s="1" t="s">
        <v>113</v>
      </c>
      <c r="C1743" s="2">
        <v>45046</v>
      </c>
      <c r="D1743" s="1" t="s">
        <v>25</v>
      </c>
      <c r="E1743" s="1" t="s">
        <v>18</v>
      </c>
      <c r="F1743">
        <v>6233.31</v>
      </c>
      <c r="G1743">
        <v>19</v>
      </c>
      <c r="H1743" s="1" t="s">
        <v>19</v>
      </c>
      <c r="I1743">
        <v>2962.41</v>
      </c>
      <c r="J1743">
        <v>3218.9</v>
      </c>
      <c r="K1743" s="1" t="s">
        <v>26</v>
      </c>
      <c r="L1743">
        <v>0.28999999999999998</v>
      </c>
      <c r="M1743" s="1" t="s">
        <v>21</v>
      </c>
      <c r="N1743" s="1" t="s">
        <v>33</v>
      </c>
      <c r="O1743" s="1" t="s">
        <v>28</v>
      </c>
      <c r="P1743">
        <v>56285.789999999994</v>
      </c>
      <c r="Q1743">
        <v>2023</v>
      </c>
      <c r="R1743">
        <v>43422.960999999996</v>
      </c>
      <c r="S1743">
        <v>-12862.828999999998</v>
      </c>
      <c r="T1743" s="1" t="s">
        <v>164</v>
      </c>
      <c r="U1743">
        <v>-0.29622183065774799</v>
      </c>
    </row>
    <row r="1744" spans="1:21" x14ac:dyDescent="0.3">
      <c r="A1744" s="1" t="s">
        <v>15</v>
      </c>
      <c r="B1744" s="1" t="s">
        <v>50</v>
      </c>
      <c r="C1744" s="2">
        <v>45048</v>
      </c>
      <c r="D1744" s="1" t="s">
        <v>59</v>
      </c>
      <c r="E1744" s="1" t="s">
        <v>18</v>
      </c>
      <c r="F1744">
        <v>6833.11</v>
      </c>
      <c r="G1744">
        <v>34</v>
      </c>
      <c r="H1744" s="1" t="s">
        <v>31</v>
      </c>
      <c r="I1744">
        <v>3764.14</v>
      </c>
      <c r="J1744">
        <v>4100.3999999999996</v>
      </c>
      <c r="K1744" s="1" t="s">
        <v>20</v>
      </c>
      <c r="L1744">
        <v>0.05</v>
      </c>
      <c r="M1744" s="1" t="s">
        <v>32</v>
      </c>
      <c r="N1744" s="1" t="s">
        <v>33</v>
      </c>
      <c r="O1744" s="1" t="s">
        <v>77</v>
      </c>
      <c r="P1744">
        <v>127980.76</v>
      </c>
      <c r="Q1744">
        <v>2023</v>
      </c>
      <c r="R1744">
        <v>132442.91999999998</v>
      </c>
      <c r="S1744">
        <v>4462.1599999999889</v>
      </c>
      <c r="T1744" s="1" t="s">
        <v>164</v>
      </c>
      <c r="U1744">
        <v>3.36911931570218E-2</v>
      </c>
    </row>
    <row r="1745" spans="1:21" x14ac:dyDescent="0.3">
      <c r="A1745" s="1" t="s">
        <v>15</v>
      </c>
      <c r="B1745" s="1" t="s">
        <v>117</v>
      </c>
      <c r="C1745" s="2">
        <v>45048</v>
      </c>
      <c r="D1745" s="1" t="s">
        <v>59</v>
      </c>
      <c r="E1745" s="1" t="s">
        <v>44</v>
      </c>
      <c r="F1745">
        <v>4649.88</v>
      </c>
      <c r="G1745">
        <v>32</v>
      </c>
      <c r="H1745" s="1" t="s">
        <v>31</v>
      </c>
      <c r="I1745">
        <v>991.63</v>
      </c>
      <c r="J1745">
        <v>1065.55</v>
      </c>
      <c r="K1745" s="1" t="s">
        <v>20</v>
      </c>
      <c r="L1745">
        <v>0.22</v>
      </c>
      <c r="M1745" s="1" t="s">
        <v>32</v>
      </c>
      <c r="N1745" s="1" t="s">
        <v>33</v>
      </c>
      <c r="O1745" s="1" t="s">
        <v>60</v>
      </c>
      <c r="P1745">
        <v>31732.16</v>
      </c>
      <c r="Q1745">
        <v>2023</v>
      </c>
      <c r="R1745">
        <v>26596.128000000001</v>
      </c>
      <c r="S1745">
        <v>-5136.0319999999992</v>
      </c>
      <c r="T1745" s="1" t="s">
        <v>164</v>
      </c>
      <c r="U1745">
        <v>-0.19311201991507901</v>
      </c>
    </row>
    <row r="1746" spans="1:21" x14ac:dyDescent="0.3">
      <c r="A1746" s="1" t="s">
        <v>15</v>
      </c>
      <c r="B1746" s="1" t="s">
        <v>125</v>
      </c>
      <c r="C1746" s="2">
        <v>45048</v>
      </c>
      <c r="D1746" s="1" t="s">
        <v>36</v>
      </c>
      <c r="E1746" s="1" t="s">
        <v>18</v>
      </c>
      <c r="F1746">
        <v>6650.51</v>
      </c>
      <c r="G1746">
        <v>42</v>
      </c>
      <c r="H1746" s="1" t="s">
        <v>31</v>
      </c>
      <c r="I1746">
        <v>4292.63</v>
      </c>
      <c r="J1746">
        <v>4387.99</v>
      </c>
      <c r="K1746" s="1" t="s">
        <v>26</v>
      </c>
      <c r="L1746">
        <v>7.0000000000000007E-2</v>
      </c>
      <c r="M1746" s="1" t="s">
        <v>27</v>
      </c>
      <c r="N1746" s="1" t="s">
        <v>33</v>
      </c>
      <c r="O1746" s="1" t="s">
        <v>115</v>
      </c>
      <c r="P1746">
        <v>180290.46</v>
      </c>
      <c r="Q1746">
        <v>2023</v>
      </c>
      <c r="R1746">
        <v>171394.88939999999</v>
      </c>
      <c r="S1746">
        <v>-8895.5706000000064</v>
      </c>
      <c r="T1746" s="1" t="s">
        <v>164</v>
      </c>
      <c r="U1746">
        <v>-5.1901025935724397E-2</v>
      </c>
    </row>
    <row r="1747" spans="1:21" x14ac:dyDescent="0.3">
      <c r="A1747" s="1" t="s">
        <v>15</v>
      </c>
      <c r="B1747" s="1" t="s">
        <v>127</v>
      </c>
      <c r="C1747" s="2">
        <v>45049</v>
      </c>
      <c r="D1747" s="1" t="s">
        <v>36</v>
      </c>
      <c r="E1747" s="1" t="s">
        <v>30</v>
      </c>
      <c r="F1747">
        <v>6699.34</v>
      </c>
      <c r="G1747">
        <v>30</v>
      </c>
      <c r="H1747" s="1" t="s">
        <v>57</v>
      </c>
      <c r="I1747">
        <v>2680.22</v>
      </c>
      <c r="J1747">
        <v>3027.92</v>
      </c>
      <c r="K1747" s="1" t="s">
        <v>20</v>
      </c>
      <c r="L1747">
        <v>0.25</v>
      </c>
      <c r="M1747" s="1" t="s">
        <v>32</v>
      </c>
      <c r="N1747" s="1" t="s">
        <v>22</v>
      </c>
      <c r="O1747" s="1" t="s">
        <v>38</v>
      </c>
      <c r="P1747">
        <v>80406.599999999991</v>
      </c>
      <c r="Q1747">
        <v>2023</v>
      </c>
      <c r="R1747">
        <v>68128.200000000012</v>
      </c>
      <c r="S1747">
        <v>-12278.39999999998</v>
      </c>
      <c r="T1747" s="1" t="s">
        <v>164</v>
      </c>
      <c r="U1747">
        <v>-0.18022492888407399</v>
      </c>
    </row>
    <row r="1748" spans="1:21" x14ac:dyDescent="0.3">
      <c r="A1748" s="1" t="s">
        <v>15</v>
      </c>
      <c r="B1748" s="1" t="s">
        <v>100</v>
      </c>
      <c r="C1748" s="2">
        <v>45049</v>
      </c>
      <c r="D1748" s="1" t="s">
        <v>59</v>
      </c>
      <c r="E1748" s="1" t="s">
        <v>40</v>
      </c>
      <c r="F1748">
        <v>7116.78</v>
      </c>
      <c r="G1748">
        <v>37</v>
      </c>
      <c r="H1748" s="1" t="s">
        <v>31</v>
      </c>
      <c r="I1748">
        <v>502.86</v>
      </c>
      <c r="J1748">
        <v>687.6</v>
      </c>
      <c r="K1748" s="1" t="s">
        <v>20</v>
      </c>
      <c r="L1748">
        <v>0.21</v>
      </c>
      <c r="M1748" s="1" t="s">
        <v>21</v>
      </c>
      <c r="N1748" s="1" t="s">
        <v>22</v>
      </c>
      <c r="O1748" s="1" t="s">
        <v>90</v>
      </c>
      <c r="P1748">
        <v>18605.82</v>
      </c>
      <c r="Q1748">
        <v>2023</v>
      </c>
      <c r="R1748">
        <v>20098.548000000003</v>
      </c>
      <c r="S1748">
        <v>1492.7280000000028</v>
      </c>
      <c r="T1748" s="1" t="s">
        <v>164</v>
      </c>
      <c r="U1748">
        <v>7.4270439834758395E-2</v>
      </c>
    </row>
    <row r="1749" spans="1:21" x14ac:dyDescent="0.3">
      <c r="A1749" s="1" t="s">
        <v>15</v>
      </c>
      <c r="B1749" s="1" t="s">
        <v>119</v>
      </c>
      <c r="C1749" s="2">
        <v>45049</v>
      </c>
      <c r="D1749" s="1" t="s">
        <v>43</v>
      </c>
      <c r="E1749" s="1" t="s">
        <v>30</v>
      </c>
      <c r="F1749">
        <v>7277.56</v>
      </c>
      <c r="G1749">
        <v>41</v>
      </c>
      <c r="H1749" s="1" t="s">
        <v>31</v>
      </c>
      <c r="I1749">
        <v>2894.18</v>
      </c>
      <c r="J1749">
        <v>3193.92</v>
      </c>
      <c r="K1749" s="1" t="s">
        <v>26</v>
      </c>
      <c r="L1749">
        <v>0.28000000000000003</v>
      </c>
      <c r="M1749" s="1" t="s">
        <v>32</v>
      </c>
      <c r="N1749" s="1" t="s">
        <v>33</v>
      </c>
      <c r="O1749" s="1" t="s">
        <v>54</v>
      </c>
      <c r="P1749">
        <v>118661.37999999999</v>
      </c>
      <c r="Q1749">
        <v>2023</v>
      </c>
      <c r="R1749">
        <v>94284.518400000001</v>
      </c>
      <c r="S1749">
        <v>-24376.861599999989</v>
      </c>
      <c r="T1749" s="1" t="s">
        <v>164</v>
      </c>
      <c r="U1749">
        <v>-0.25854575081543801</v>
      </c>
    </row>
    <row r="1750" spans="1:21" x14ac:dyDescent="0.3">
      <c r="A1750" s="1" t="s">
        <v>15</v>
      </c>
      <c r="B1750" s="1" t="s">
        <v>53</v>
      </c>
      <c r="C1750" s="2">
        <v>45050</v>
      </c>
      <c r="D1750" s="1" t="s">
        <v>43</v>
      </c>
      <c r="E1750" s="1" t="s">
        <v>40</v>
      </c>
      <c r="F1750">
        <v>7841.4</v>
      </c>
      <c r="G1750">
        <v>25</v>
      </c>
      <c r="H1750" s="1" t="s">
        <v>57</v>
      </c>
      <c r="I1750">
        <v>2248.71</v>
      </c>
      <c r="J1750">
        <v>2626.02</v>
      </c>
      <c r="K1750" s="1" t="s">
        <v>26</v>
      </c>
      <c r="L1750">
        <v>0.08</v>
      </c>
      <c r="M1750" s="1" t="s">
        <v>32</v>
      </c>
      <c r="N1750" s="1" t="s">
        <v>22</v>
      </c>
      <c r="O1750" s="1" t="s">
        <v>99</v>
      </c>
      <c r="P1750">
        <v>56217.75</v>
      </c>
      <c r="Q1750">
        <v>2023</v>
      </c>
      <c r="R1750">
        <v>60398.46</v>
      </c>
      <c r="S1750">
        <v>4180.7099999999991</v>
      </c>
      <c r="T1750" s="1" t="s">
        <v>164</v>
      </c>
      <c r="U1750">
        <v>6.9218817830785706E-2</v>
      </c>
    </row>
    <row r="1751" spans="1:21" x14ac:dyDescent="0.3">
      <c r="A1751" s="1" t="s">
        <v>15</v>
      </c>
      <c r="B1751" s="1" t="s">
        <v>63</v>
      </c>
      <c r="C1751" s="2">
        <v>45051</v>
      </c>
      <c r="D1751" s="1" t="s">
        <v>17</v>
      </c>
      <c r="E1751" s="1" t="s">
        <v>30</v>
      </c>
      <c r="F1751">
        <v>594.79</v>
      </c>
      <c r="G1751">
        <v>26</v>
      </c>
      <c r="H1751" s="1" t="s">
        <v>19</v>
      </c>
      <c r="I1751">
        <v>992.17</v>
      </c>
      <c r="J1751">
        <v>1263.49</v>
      </c>
      <c r="K1751" s="1" t="s">
        <v>20</v>
      </c>
      <c r="L1751">
        <v>0.25</v>
      </c>
      <c r="M1751" s="1" t="s">
        <v>32</v>
      </c>
      <c r="N1751" s="1" t="s">
        <v>33</v>
      </c>
      <c r="O1751" s="1" t="s">
        <v>34</v>
      </c>
      <c r="P1751">
        <v>25796.42</v>
      </c>
      <c r="Q1751">
        <v>2023</v>
      </c>
      <c r="R1751">
        <v>24638.055</v>
      </c>
      <c r="S1751">
        <v>-1158.364999999998</v>
      </c>
      <c r="T1751" s="1" t="s">
        <v>164</v>
      </c>
      <c r="U1751">
        <v>-4.7015277788770203E-2</v>
      </c>
    </row>
    <row r="1752" spans="1:21" x14ac:dyDescent="0.3">
      <c r="A1752" s="1" t="s">
        <v>15</v>
      </c>
      <c r="B1752" s="1" t="s">
        <v>98</v>
      </c>
      <c r="C1752" s="2">
        <v>45053</v>
      </c>
      <c r="D1752" s="1" t="s">
        <v>36</v>
      </c>
      <c r="E1752" s="1" t="s">
        <v>44</v>
      </c>
      <c r="F1752">
        <v>7611.88</v>
      </c>
      <c r="G1752">
        <v>28</v>
      </c>
      <c r="H1752" s="1" t="s">
        <v>19</v>
      </c>
      <c r="I1752">
        <v>1566.03</v>
      </c>
      <c r="J1752">
        <v>1576.34</v>
      </c>
      <c r="K1752" s="1" t="s">
        <v>20</v>
      </c>
      <c r="L1752">
        <v>0.2</v>
      </c>
      <c r="M1752" s="1" t="s">
        <v>32</v>
      </c>
      <c r="N1752" s="1" t="s">
        <v>22</v>
      </c>
      <c r="O1752" s="1" t="s">
        <v>71</v>
      </c>
      <c r="P1752">
        <v>43848.84</v>
      </c>
      <c r="Q1752">
        <v>2023</v>
      </c>
      <c r="R1752">
        <v>35310.015999999996</v>
      </c>
      <c r="S1752">
        <v>-8538.8240000000005</v>
      </c>
      <c r="T1752" s="1" t="s">
        <v>164</v>
      </c>
      <c r="U1752">
        <v>-0.24182441605237501</v>
      </c>
    </row>
    <row r="1753" spans="1:21" x14ac:dyDescent="0.3">
      <c r="A1753" s="1" t="s">
        <v>15</v>
      </c>
      <c r="B1753" s="1" t="s">
        <v>150</v>
      </c>
      <c r="C1753" s="2">
        <v>45053</v>
      </c>
      <c r="D1753" s="1" t="s">
        <v>36</v>
      </c>
      <c r="E1753" s="1" t="s">
        <v>18</v>
      </c>
      <c r="F1753">
        <v>1347.42</v>
      </c>
      <c r="G1753">
        <v>29</v>
      </c>
      <c r="H1753" s="1" t="s">
        <v>19</v>
      </c>
      <c r="I1753">
        <v>2152.6799999999998</v>
      </c>
      <c r="J1753">
        <v>2475.9299999999998</v>
      </c>
      <c r="K1753" s="1" t="s">
        <v>20</v>
      </c>
      <c r="L1753">
        <v>0.22</v>
      </c>
      <c r="M1753" s="1" t="s">
        <v>32</v>
      </c>
      <c r="N1753" s="1" t="s">
        <v>22</v>
      </c>
      <c r="O1753" s="1" t="s">
        <v>115</v>
      </c>
      <c r="P1753">
        <v>62427.719999999994</v>
      </c>
      <c r="Q1753">
        <v>2023</v>
      </c>
      <c r="R1753">
        <v>56005.536599999999</v>
      </c>
      <c r="S1753">
        <v>-6422.1833999999944</v>
      </c>
      <c r="T1753" s="1" t="s">
        <v>164</v>
      </c>
      <c r="U1753">
        <v>-0.114670509201049</v>
      </c>
    </row>
    <row r="1754" spans="1:21" x14ac:dyDescent="0.3">
      <c r="A1754" s="1" t="s">
        <v>15</v>
      </c>
      <c r="B1754" s="1" t="s">
        <v>149</v>
      </c>
      <c r="C1754" s="2">
        <v>45054</v>
      </c>
      <c r="D1754" s="1" t="s">
        <v>43</v>
      </c>
      <c r="E1754" s="1" t="s">
        <v>44</v>
      </c>
      <c r="F1754">
        <v>5272.85</v>
      </c>
      <c r="G1754">
        <v>17</v>
      </c>
      <c r="H1754" s="1" t="s">
        <v>31</v>
      </c>
      <c r="I1754">
        <v>727.38</v>
      </c>
      <c r="J1754">
        <v>764.54</v>
      </c>
      <c r="K1754" s="1" t="s">
        <v>20</v>
      </c>
      <c r="L1754">
        <v>0.17</v>
      </c>
      <c r="M1754" s="1" t="s">
        <v>27</v>
      </c>
      <c r="N1754" s="1" t="s">
        <v>33</v>
      </c>
      <c r="O1754" s="1" t="s">
        <v>45</v>
      </c>
      <c r="P1754">
        <v>12365.46</v>
      </c>
      <c r="Q1754">
        <v>2023</v>
      </c>
      <c r="R1754">
        <v>10787.6594</v>
      </c>
      <c r="S1754">
        <v>-1577.8005999999987</v>
      </c>
      <c r="T1754" s="1" t="s">
        <v>164</v>
      </c>
      <c r="U1754">
        <v>-0.146259771605321</v>
      </c>
    </row>
    <row r="1755" spans="1:21" x14ac:dyDescent="0.3">
      <c r="A1755" s="1" t="s">
        <v>15</v>
      </c>
      <c r="B1755" s="1" t="s">
        <v>73</v>
      </c>
      <c r="C1755" s="2">
        <v>45054</v>
      </c>
      <c r="D1755" s="1" t="s">
        <v>25</v>
      </c>
      <c r="E1755" s="1" t="s">
        <v>18</v>
      </c>
      <c r="F1755">
        <v>2850.74</v>
      </c>
      <c r="G1755">
        <v>32</v>
      </c>
      <c r="H1755" s="1" t="s">
        <v>57</v>
      </c>
      <c r="I1755">
        <v>2171.79</v>
      </c>
      <c r="J1755">
        <v>2307.64</v>
      </c>
      <c r="K1755" s="1" t="s">
        <v>20</v>
      </c>
      <c r="L1755">
        <v>0.22</v>
      </c>
      <c r="M1755" s="1" t="s">
        <v>32</v>
      </c>
      <c r="N1755" s="1" t="s">
        <v>22</v>
      </c>
      <c r="O1755" s="1" t="s">
        <v>28</v>
      </c>
      <c r="P1755">
        <v>69497.279999999999</v>
      </c>
      <c r="Q1755">
        <v>2023</v>
      </c>
      <c r="R1755">
        <v>57598.6944</v>
      </c>
      <c r="S1755">
        <v>-11898.585599999999</v>
      </c>
      <c r="T1755" s="1" t="s">
        <v>164</v>
      </c>
      <c r="U1755">
        <v>-0.20657734908657899</v>
      </c>
    </row>
    <row r="1756" spans="1:21" x14ac:dyDescent="0.3">
      <c r="A1756" s="1" t="s">
        <v>15</v>
      </c>
      <c r="B1756" s="1" t="s">
        <v>120</v>
      </c>
      <c r="C1756" s="2">
        <v>45054</v>
      </c>
      <c r="D1756" s="1" t="s">
        <v>25</v>
      </c>
      <c r="E1756" s="1" t="s">
        <v>40</v>
      </c>
      <c r="F1756">
        <v>9519.09</v>
      </c>
      <c r="G1756">
        <v>20</v>
      </c>
      <c r="H1756" s="1" t="s">
        <v>19</v>
      </c>
      <c r="I1756">
        <v>2985.63</v>
      </c>
      <c r="J1756">
        <v>3452.14</v>
      </c>
      <c r="K1756" s="1" t="s">
        <v>26</v>
      </c>
      <c r="L1756">
        <v>0.17</v>
      </c>
      <c r="M1756" s="1" t="s">
        <v>27</v>
      </c>
      <c r="N1756" s="1" t="s">
        <v>33</v>
      </c>
      <c r="O1756" s="1" t="s">
        <v>83</v>
      </c>
      <c r="P1756">
        <v>59712.600000000006</v>
      </c>
      <c r="Q1756">
        <v>2023</v>
      </c>
      <c r="R1756">
        <v>57305.523999999998</v>
      </c>
      <c r="S1756">
        <v>-2407.0760000000082</v>
      </c>
      <c r="T1756" s="1" t="s">
        <v>164</v>
      </c>
      <c r="U1756">
        <v>-4.20042577396205E-2</v>
      </c>
    </row>
    <row r="1757" spans="1:21" x14ac:dyDescent="0.3">
      <c r="A1757" s="1" t="s">
        <v>15</v>
      </c>
      <c r="B1757" s="1" t="s">
        <v>94</v>
      </c>
      <c r="C1757" s="2">
        <v>45055</v>
      </c>
      <c r="D1757" s="1" t="s">
        <v>36</v>
      </c>
      <c r="E1757" s="1" t="s">
        <v>40</v>
      </c>
      <c r="F1757">
        <v>8070.39</v>
      </c>
      <c r="G1757">
        <v>13</v>
      </c>
      <c r="H1757" s="1" t="s">
        <v>57</v>
      </c>
      <c r="I1757">
        <v>1311.01</v>
      </c>
      <c r="J1757">
        <v>1538.79</v>
      </c>
      <c r="K1757" s="1" t="s">
        <v>20</v>
      </c>
      <c r="L1757">
        <v>0.09</v>
      </c>
      <c r="M1757" s="1" t="s">
        <v>32</v>
      </c>
      <c r="N1757" s="1" t="s">
        <v>33</v>
      </c>
      <c r="O1757" s="1" t="s">
        <v>41</v>
      </c>
      <c r="P1757">
        <v>17043.13</v>
      </c>
      <c r="Q1757">
        <v>2023</v>
      </c>
      <c r="R1757">
        <v>18203.885700000003</v>
      </c>
      <c r="S1757">
        <v>1160.7557000000015</v>
      </c>
      <c r="T1757" s="1" t="s">
        <v>164</v>
      </c>
      <c r="U1757">
        <v>6.3764172063550201E-2</v>
      </c>
    </row>
    <row r="1758" spans="1:21" x14ac:dyDescent="0.3">
      <c r="A1758" s="1" t="s">
        <v>15</v>
      </c>
      <c r="B1758" s="1" t="s">
        <v>69</v>
      </c>
      <c r="C1758" s="2">
        <v>45056</v>
      </c>
      <c r="D1758" s="1" t="s">
        <v>17</v>
      </c>
      <c r="E1758" s="1" t="s">
        <v>44</v>
      </c>
      <c r="F1758">
        <v>4892.3599999999997</v>
      </c>
      <c r="G1758">
        <v>19</v>
      </c>
      <c r="H1758" s="1" t="s">
        <v>19</v>
      </c>
      <c r="I1758">
        <v>1922.21</v>
      </c>
      <c r="J1758">
        <v>2180.83</v>
      </c>
      <c r="K1758" s="1" t="s">
        <v>20</v>
      </c>
      <c r="L1758">
        <v>0.17</v>
      </c>
      <c r="M1758" s="1" t="s">
        <v>27</v>
      </c>
      <c r="N1758" s="1" t="s">
        <v>33</v>
      </c>
      <c r="O1758" s="1" t="s">
        <v>49</v>
      </c>
      <c r="P1758">
        <v>36521.99</v>
      </c>
      <c r="Q1758">
        <v>2023</v>
      </c>
      <c r="R1758">
        <v>34391.689099999996</v>
      </c>
      <c r="S1758">
        <v>-2130.300900000002</v>
      </c>
      <c r="T1758" s="1" t="s">
        <v>164</v>
      </c>
      <c r="U1758">
        <v>-6.1942316755823498E-2</v>
      </c>
    </row>
    <row r="1759" spans="1:21" x14ac:dyDescent="0.3">
      <c r="A1759" s="1" t="s">
        <v>15</v>
      </c>
      <c r="B1759" s="1" t="s">
        <v>124</v>
      </c>
      <c r="C1759" s="2">
        <v>45056</v>
      </c>
      <c r="D1759" s="1" t="s">
        <v>43</v>
      </c>
      <c r="E1759" s="1" t="s">
        <v>30</v>
      </c>
      <c r="F1759">
        <v>1273.18</v>
      </c>
      <c r="G1759">
        <v>43</v>
      </c>
      <c r="H1759" s="1" t="s">
        <v>19</v>
      </c>
      <c r="I1759">
        <v>4696.6400000000003</v>
      </c>
      <c r="J1759">
        <v>4713.68</v>
      </c>
      <c r="K1759" s="1" t="s">
        <v>20</v>
      </c>
      <c r="L1759">
        <v>0.24</v>
      </c>
      <c r="M1759" s="1" t="s">
        <v>32</v>
      </c>
      <c r="N1759" s="1" t="s">
        <v>22</v>
      </c>
      <c r="O1759" s="1" t="s">
        <v>54</v>
      </c>
      <c r="P1759">
        <v>201955.52000000002</v>
      </c>
      <c r="Q1759">
        <v>2023</v>
      </c>
      <c r="R1759">
        <v>154043.06240000002</v>
      </c>
      <c r="S1759">
        <v>-47912.457599999994</v>
      </c>
      <c r="T1759" s="1" t="s">
        <v>164</v>
      </c>
      <c r="U1759">
        <v>-0.311032881672963</v>
      </c>
    </row>
    <row r="1760" spans="1:21" x14ac:dyDescent="0.3">
      <c r="A1760" s="1" t="s">
        <v>15</v>
      </c>
      <c r="B1760" s="1" t="s">
        <v>144</v>
      </c>
      <c r="C1760" s="2">
        <v>45056</v>
      </c>
      <c r="D1760" s="1" t="s">
        <v>36</v>
      </c>
      <c r="E1760" s="1" t="s">
        <v>44</v>
      </c>
      <c r="F1760">
        <v>5870.97</v>
      </c>
      <c r="G1760">
        <v>47</v>
      </c>
      <c r="H1760" s="1" t="s">
        <v>37</v>
      </c>
      <c r="I1760">
        <v>4291.33</v>
      </c>
      <c r="J1760">
        <v>4658.6400000000003</v>
      </c>
      <c r="K1760" s="1" t="s">
        <v>26</v>
      </c>
      <c r="L1760">
        <v>0.24</v>
      </c>
      <c r="M1760" s="1" t="s">
        <v>27</v>
      </c>
      <c r="N1760" s="1" t="s">
        <v>33</v>
      </c>
      <c r="O1760" s="1" t="s">
        <v>71</v>
      </c>
      <c r="P1760">
        <v>201692.51</v>
      </c>
      <c r="Q1760">
        <v>2023</v>
      </c>
      <c r="R1760">
        <v>166406.6208</v>
      </c>
      <c r="S1760">
        <v>-35285.889200000005</v>
      </c>
      <c r="T1760" s="1" t="s">
        <v>164</v>
      </c>
      <c r="U1760">
        <v>-0.21204618560465399</v>
      </c>
    </row>
    <row r="1761" spans="1:21" x14ac:dyDescent="0.3">
      <c r="A1761" s="1" t="s">
        <v>15</v>
      </c>
      <c r="B1761" s="1" t="s">
        <v>134</v>
      </c>
      <c r="C1761" s="2">
        <v>45056</v>
      </c>
      <c r="D1761" s="1" t="s">
        <v>36</v>
      </c>
      <c r="E1761" s="1" t="s">
        <v>44</v>
      </c>
      <c r="F1761">
        <v>3793.91</v>
      </c>
      <c r="G1761">
        <v>47</v>
      </c>
      <c r="H1761" s="1" t="s">
        <v>57</v>
      </c>
      <c r="I1761">
        <v>4865.33</v>
      </c>
      <c r="J1761">
        <v>5316.13</v>
      </c>
      <c r="K1761" s="1" t="s">
        <v>26</v>
      </c>
      <c r="L1761">
        <v>0.06</v>
      </c>
      <c r="M1761" s="1" t="s">
        <v>32</v>
      </c>
      <c r="N1761" s="1" t="s">
        <v>22</v>
      </c>
      <c r="O1761" s="1" t="s">
        <v>71</v>
      </c>
      <c r="P1761">
        <v>228670.51</v>
      </c>
      <c r="Q1761">
        <v>2023</v>
      </c>
      <c r="R1761">
        <v>234866.62340000001</v>
      </c>
      <c r="S1761">
        <v>6196.113400000002</v>
      </c>
      <c r="T1761" s="1" t="s">
        <v>164</v>
      </c>
      <c r="U1761">
        <v>2.6381413034782E-2</v>
      </c>
    </row>
    <row r="1762" spans="1:21" x14ac:dyDescent="0.3">
      <c r="A1762" s="1" t="s">
        <v>15</v>
      </c>
      <c r="B1762" s="1" t="s">
        <v>42</v>
      </c>
      <c r="C1762" s="2">
        <v>45057</v>
      </c>
      <c r="D1762" s="1" t="s">
        <v>59</v>
      </c>
      <c r="E1762" s="1" t="s">
        <v>30</v>
      </c>
      <c r="F1762">
        <v>3518.89</v>
      </c>
      <c r="G1762">
        <v>48</v>
      </c>
      <c r="H1762" s="1" t="s">
        <v>57</v>
      </c>
      <c r="I1762">
        <v>3441.61</v>
      </c>
      <c r="J1762">
        <v>3693.45</v>
      </c>
      <c r="K1762" s="1" t="s">
        <v>20</v>
      </c>
      <c r="L1762">
        <v>0.19</v>
      </c>
      <c r="M1762" s="1" t="s">
        <v>32</v>
      </c>
      <c r="N1762" s="1" t="s">
        <v>22</v>
      </c>
      <c r="O1762" s="1" t="s">
        <v>86</v>
      </c>
      <c r="P1762">
        <v>165197.28</v>
      </c>
      <c r="Q1762">
        <v>2023</v>
      </c>
      <c r="R1762">
        <v>143601.33599999998</v>
      </c>
      <c r="S1762">
        <v>-21595.944000000018</v>
      </c>
      <c r="T1762" s="1" t="s">
        <v>164</v>
      </c>
      <c r="U1762">
        <v>-0.15038818301801901</v>
      </c>
    </row>
    <row r="1763" spans="1:21" x14ac:dyDescent="0.3">
      <c r="A1763" s="1" t="s">
        <v>15</v>
      </c>
      <c r="B1763" s="1" t="s">
        <v>134</v>
      </c>
      <c r="C1763" s="2">
        <v>45057</v>
      </c>
      <c r="D1763" s="1" t="s">
        <v>17</v>
      </c>
      <c r="E1763" s="1" t="s">
        <v>44</v>
      </c>
      <c r="F1763">
        <v>5262.35</v>
      </c>
      <c r="G1763">
        <v>8</v>
      </c>
      <c r="H1763" s="1" t="s">
        <v>19</v>
      </c>
      <c r="I1763">
        <v>442.11</v>
      </c>
      <c r="J1763">
        <v>803.87</v>
      </c>
      <c r="K1763" s="1" t="s">
        <v>26</v>
      </c>
      <c r="L1763">
        <v>0.18</v>
      </c>
      <c r="M1763" s="1" t="s">
        <v>21</v>
      </c>
      <c r="N1763" s="1" t="s">
        <v>33</v>
      </c>
      <c r="O1763" s="1" t="s">
        <v>49</v>
      </c>
      <c r="P1763">
        <v>3536.88</v>
      </c>
      <c r="Q1763">
        <v>2023</v>
      </c>
      <c r="R1763">
        <v>5273.3872000000001</v>
      </c>
      <c r="S1763">
        <v>1736.5072</v>
      </c>
      <c r="T1763" s="1" t="s">
        <v>164</v>
      </c>
      <c r="U1763">
        <v>0.32929635813581098</v>
      </c>
    </row>
    <row r="1764" spans="1:21" x14ac:dyDescent="0.3">
      <c r="A1764" s="1" t="s">
        <v>15</v>
      </c>
      <c r="B1764" s="1" t="s">
        <v>50</v>
      </c>
      <c r="C1764" s="2">
        <v>45057</v>
      </c>
      <c r="D1764" s="1" t="s">
        <v>43</v>
      </c>
      <c r="E1764" s="1" t="s">
        <v>18</v>
      </c>
      <c r="F1764">
        <v>5578.37</v>
      </c>
      <c r="G1764">
        <v>36</v>
      </c>
      <c r="H1764" s="1" t="s">
        <v>57</v>
      </c>
      <c r="I1764">
        <v>4418.95</v>
      </c>
      <c r="J1764">
        <v>4647.87</v>
      </c>
      <c r="K1764" s="1" t="s">
        <v>26</v>
      </c>
      <c r="L1764">
        <v>0.04</v>
      </c>
      <c r="M1764" s="1" t="s">
        <v>32</v>
      </c>
      <c r="N1764" s="1" t="s">
        <v>22</v>
      </c>
      <c r="O1764" s="1" t="s">
        <v>62</v>
      </c>
      <c r="P1764">
        <v>159082.19999999998</v>
      </c>
      <c r="Q1764">
        <v>2023</v>
      </c>
      <c r="R1764">
        <v>160630.3872</v>
      </c>
      <c r="S1764">
        <v>1548.1872000000149</v>
      </c>
      <c r="T1764" s="1" t="s">
        <v>164</v>
      </c>
      <c r="U1764">
        <v>9.6381962777215696E-3</v>
      </c>
    </row>
    <row r="1765" spans="1:21" x14ac:dyDescent="0.3">
      <c r="A1765" s="1" t="s">
        <v>15</v>
      </c>
      <c r="B1765" s="1" t="s">
        <v>111</v>
      </c>
      <c r="C1765" s="2">
        <v>45057</v>
      </c>
      <c r="D1765" s="1" t="s">
        <v>25</v>
      </c>
      <c r="E1765" s="1" t="s">
        <v>18</v>
      </c>
      <c r="F1765">
        <v>6760.37</v>
      </c>
      <c r="G1765">
        <v>26</v>
      </c>
      <c r="H1765" s="1" t="s">
        <v>37</v>
      </c>
      <c r="I1765">
        <v>3418.78</v>
      </c>
      <c r="J1765">
        <v>3824.1</v>
      </c>
      <c r="K1765" s="1" t="s">
        <v>26</v>
      </c>
      <c r="L1765">
        <v>0.19</v>
      </c>
      <c r="M1765" s="1" t="s">
        <v>27</v>
      </c>
      <c r="N1765" s="1" t="s">
        <v>22</v>
      </c>
      <c r="O1765" s="1" t="s">
        <v>28</v>
      </c>
      <c r="P1765">
        <v>88888.28</v>
      </c>
      <c r="Q1765">
        <v>2023</v>
      </c>
      <c r="R1765">
        <v>80535.546000000002</v>
      </c>
      <c r="S1765">
        <v>-8352.7339999999967</v>
      </c>
      <c r="T1765" s="1" t="s">
        <v>164</v>
      </c>
      <c r="U1765">
        <v>-0.103714873926601</v>
      </c>
    </row>
    <row r="1766" spans="1:21" x14ac:dyDescent="0.3">
      <c r="A1766" s="1" t="s">
        <v>15</v>
      </c>
      <c r="B1766" s="1" t="s">
        <v>95</v>
      </c>
      <c r="C1766" s="2">
        <v>45058</v>
      </c>
      <c r="D1766" s="1" t="s">
        <v>43</v>
      </c>
      <c r="E1766" s="1" t="s">
        <v>18</v>
      </c>
      <c r="F1766">
        <v>5055.9799999999996</v>
      </c>
      <c r="G1766">
        <v>16</v>
      </c>
      <c r="H1766" s="1" t="s">
        <v>31</v>
      </c>
      <c r="I1766">
        <v>2915.88</v>
      </c>
      <c r="J1766">
        <v>3397.36</v>
      </c>
      <c r="K1766" s="1" t="s">
        <v>26</v>
      </c>
      <c r="L1766">
        <v>0.2</v>
      </c>
      <c r="M1766" s="1" t="s">
        <v>32</v>
      </c>
      <c r="N1766" s="1" t="s">
        <v>33</v>
      </c>
      <c r="O1766" s="1" t="s">
        <v>62</v>
      </c>
      <c r="P1766">
        <v>46654.080000000002</v>
      </c>
      <c r="Q1766">
        <v>2023</v>
      </c>
      <c r="R1766">
        <v>43486.208000000006</v>
      </c>
      <c r="S1766">
        <v>-3167.8719999999958</v>
      </c>
      <c r="T1766" s="1" t="s">
        <v>164</v>
      </c>
      <c r="U1766">
        <v>-7.2847740598582303E-2</v>
      </c>
    </row>
    <row r="1767" spans="1:21" x14ac:dyDescent="0.3">
      <c r="A1767" s="1" t="s">
        <v>15</v>
      </c>
      <c r="B1767" s="1" t="s">
        <v>123</v>
      </c>
      <c r="C1767" s="2">
        <v>45058</v>
      </c>
      <c r="D1767" s="1" t="s">
        <v>43</v>
      </c>
      <c r="E1767" s="1" t="s">
        <v>30</v>
      </c>
      <c r="F1767">
        <v>8630.74</v>
      </c>
      <c r="G1767">
        <v>20</v>
      </c>
      <c r="H1767" s="1" t="s">
        <v>19</v>
      </c>
      <c r="I1767">
        <v>2607.31</v>
      </c>
      <c r="J1767">
        <v>2774.86</v>
      </c>
      <c r="K1767" s="1" t="s">
        <v>26</v>
      </c>
      <c r="L1767">
        <v>0.27</v>
      </c>
      <c r="M1767" s="1" t="s">
        <v>27</v>
      </c>
      <c r="N1767" s="1" t="s">
        <v>33</v>
      </c>
      <c r="O1767" s="1" t="s">
        <v>54</v>
      </c>
      <c r="P1767">
        <v>52146.2</v>
      </c>
      <c r="Q1767">
        <v>2023</v>
      </c>
      <c r="R1767">
        <v>40512.956000000006</v>
      </c>
      <c r="S1767">
        <v>-11633.243999999992</v>
      </c>
      <c r="T1767" s="1" t="s">
        <v>164</v>
      </c>
      <c r="U1767">
        <v>-0.287148733358286</v>
      </c>
    </row>
    <row r="1768" spans="1:21" x14ac:dyDescent="0.3">
      <c r="A1768" s="1" t="s">
        <v>15</v>
      </c>
      <c r="B1768" s="1" t="s">
        <v>82</v>
      </c>
      <c r="C1768" s="2">
        <v>45059</v>
      </c>
      <c r="D1768" s="1" t="s">
        <v>25</v>
      </c>
      <c r="E1768" s="1" t="s">
        <v>40</v>
      </c>
      <c r="F1768">
        <v>5260.83</v>
      </c>
      <c r="G1768">
        <v>31</v>
      </c>
      <c r="H1768" s="1" t="s">
        <v>37</v>
      </c>
      <c r="I1768">
        <v>3161.4</v>
      </c>
      <c r="J1768">
        <v>3339.66</v>
      </c>
      <c r="K1768" s="1" t="s">
        <v>20</v>
      </c>
      <c r="L1768">
        <v>0.02</v>
      </c>
      <c r="M1768" s="1" t="s">
        <v>32</v>
      </c>
      <c r="N1768" s="1" t="s">
        <v>22</v>
      </c>
      <c r="O1768" s="1" t="s">
        <v>83</v>
      </c>
      <c r="P1768">
        <v>98003.400000000009</v>
      </c>
      <c r="Q1768">
        <v>2023</v>
      </c>
      <c r="R1768">
        <v>101458.87079999999</v>
      </c>
      <c r="S1768">
        <v>3455.470799999981</v>
      </c>
      <c r="T1768" s="1" t="s">
        <v>164</v>
      </c>
      <c r="U1768">
        <v>3.40578480004134E-2</v>
      </c>
    </row>
    <row r="1769" spans="1:21" x14ac:dyDescent="0.3">
      <c r="A1769" s="1" t="s">
        <v>15</v>
      </c>
      <c r="B1769" s="1" t="s">
        <v>72</v>
      </c>
      <c r="C1769" s="2">
        <v>45059</v>
      </c>
      <c r="D1769" s="1" t="s">
        <v>17</v>
      </c>
      <c r="E1769" s="1" t="s">
        <v>40</v>
      </c>
      <c r="F1769">
        <v>4422.4799999999996</v>
      </c>
      <c r="G1769">
        <v>40</v>
      </c>
      <c r="H1769" s="1" t="s">
        <v>31</v>
      </c>
      <c r="I1769">
        <v>3536.46</v>
      </c>
      <c r="J1769">
        <v>3945.82</v>
      </c>
      <c r="K1769" s="1" t="s">
        <v>26</v>
      </c>
      <c r="L1769">
        <v>0.24</v>
      </c>
      <c r="M1769" s="1" t="s">
        <v>32</v>
      </c>
      <c r="N1769" s="1" t="s">
        <v>22</v>
      </c>
      <c r="O1769" s="1" t="s">
        <v>67</v>
      </c>
      <c r="P1769">
        <v>141458.4</v>
      </c>
      <c r="Q1769">
        <v>2023</v>
      </c>
      <c r="R1769">
        <v>119952.92800000001</v>
      </c>
      <c r="S1769">
        <v>-21505.47199999998</v>
      </c>
      <c r="T1769" s="1" t="s">
        <v>164</v>
      </c>
      <c r="U1769">
        <v>-0.17928259325191301</v>
      </c>
    </row>
    <row r="1770" spans="1:21" x14ac:dyDescent="0.3">
      <c r="A1770" s="1" t="s">
        <v>15</v>
      </c>
      <c r="B1770" s="1" t="s">
        <v>39</v>
      </c>
      <c r="C1770" s="2">
        <v>45059</v>
      </c>
      <c r="D1770" s="1" t="s">
        <v>43</v>
      </c>
      <c r="E1770" s="1" t="s">
        <v>44</v>
      </c>
      <c r="F1770">
        <v>6653.49</v>
      </c>
      <c r="G1770">
        <v>36</v>
      </c>
      <c r="H1770" s="1" t="s">
        <v>19</v>
      </c>
      <c r="I1770">
        <v>4337.6099999999997</v>
      </c>
      <c r="J1770">
        <v>4386.82</v>
      </c>
      <c r="K1770" s="1" t="s">
        <v>20</v>
      </c>
      <c r="L1770">
        <v>0.23</v>
      </c>
      <c r="M1770" s="1" t="s">
        <v>27</v>
      </c>
      <c r="N1770" s="1" t="s">
        <v>22</v>
      </c>
      <c r="O1770" s="1" t="s">
        <v>45</v>
      </c>
      <c r="P1770">
        <v>156153.96</v>
      </c>
      <c r="Q1770">
        <v>2023</v>
      </c>
      <c r="R1770">
        <v>121602.6504</v>
      </c>
      <c r="S1770">
        <v>-34551.309599999993</v>
      </c>
      <c r="T1770" s="1" t="s">
        <v>164</v>
      </c>
      <c r="U1770">
        <v>-0.28413286623561901</v>
      </c>
    </row>
    <row r="1771" spans="1:21" x14ac:dyDescent="0.3">
      <c r="A1771" s="1" t="s">
        <v>15</v>
      </c>
      <c r="B1771" s="1" t="s">
        <v>35</v>
      </c>
      <c r="C1771" s="2">
        <v>45060</v>
      </c>
      <c r="D1771" s="1" t="s">
        <v>43</v>
      </c>
      <c r="E1771" s="1" t="s">
        <v>30</v>
      </c>
      <c r="F1771">
        <v>5356.28</v>
      </c>
      <c r="G1771">
        <v>8</v>
      </c>
      <c r="H1771" s="1" t="s">
        <v>37</v>
      </c>
      <c r="I1771">
        <v>4271.99</v>
      </c>
      <c r="J1771">
        <v>4417.79</v>
      </c>
      <c r="K1771" s="1" t="s">
        <v>20</v>
      </c>
      <c r="L1771">
        <v>0.04</v>
      </c>
      <c r="M1771" s="1" t="s">
        <v>21</v>
      </c>
      <c r="N1771" s="1" t="s">
        <v>22</v>
      </c>
      <c r="O1771" s="1" t="s">
        <v>54</v>
      </c>
      <c r="P1771">
        <v>34175.919999999998</v>
      </c>
      <c r="Q1771">
        <v>2023</v>
      </c>
      <c r="R1771">
        <v>33928.627199999995</v>
      </c>
      <c r="S1771">
        <v>-247.2928000000029</v>
      </c>
      <c r="T1771" s="1" t="s">
        <v>164</v>
      </c>
      <c r="U1771">
        <v>-7.28861791378352E-3</v>
      </c>
    </row>
    <row r="1772" spans="1:21" x14ac:dyDescent="0.3">
      <c r="A1772" s="1" t="s">
        <v>15</v>
      </c>
      <c r="B1772" s="1" t="s">
        <v>134</v>
      </c>
      <c r="C1772" s="2">
        <v>45060</v>
      </c>
      <c r="D1772" s="1" t="s">
        <v>17</v>
      </c>
      <c r="E1772" s="1" t="s">
        <v>30</v>
      </c>
      <c r="F1772">
        <v>2669.46</v>
      </c>
      <c r="G1772">
        <v>35</v>
      </c>
      <c r="H1772" s="1" t="s">
        <v>37</v>
      </c>
      <c r="I1772">
        <v>2745.75</v>
      </c>
      <c r="J1772">
        <v>3244.76</v>
      </c>
      <c r="K1772" s="1" t="s">
        <v>26</v>
      </c>
      <c r="L1772">
        <v>0.05</v>
      </c>
      <c r="M1772" s="1" t="s">
        <v>32</v>
      </c>
      <c r="N1772" s="1" t="s">
        <v>22</v>
      </c>
      <c r="O1772" s="1" t="s">
        <v>34</v>
      </c>
      <c r="P1772">
        <v>96101.25</v>
      </c>
      <c r="Q1772">
        <v>2023</v>
      </c>
      <c r="R1772">
        <v>107888.27</v>
      </c>
      <c r="S1772">
        <v>11787.020000000004</v>
      </c>
      <c r="T1772" s="1" t="s">
        <v>164</v>
      </c>
      <c r="U1772">
        <v>0.109252099417295</v>
      </c>
    </row>
    <row r="1773" spans="1:21" x14ac:dyDescent="0.3">
      <c r="A1773" s="1" t="s">
        <v>15</v>
      </c>
      <c r="B1773" s="1" t="s">
        <v>104</v>
      </c>
      <c r="C1773" s="2">
        <v>45060</v>
      </c>
      <c r="D1773" s="1" t="s">
        <v>36</v>
      </c>
      <c r="E1773" s="1" t="s">
        <v>40</v>
      </c>
      <c r="F1773">
        <v>2584.91</v>
      </c>
      <c r="G1773">
        <v>40</v>
      </c>
      <c r="H1773" s="1" t="s">
        <v>31</v>
      </c>
      <c r="I1773">
        <v>2799.71</v>
      </c>
      <c r="J1773">
        <v>3231.08</v>
      </c>
      <c r="K1773" s="1" t="s">
        <v>20</v>
      </c>
      <c r="L1773">
        <v>0.28999999999999998</v>
      </c>
      <c r="M1773" s="1" t="s">
        <v>27</v>
      </c>
      <c r="N1773" s="1" t="s">
        <v>33</v>
      </c>
      <c r="O1773" s="1" t="s">
        <v>41</v>
      </c>
      <c r="P1773">
        <v>111988.4</v>
      </c>
      <c r="Q1773">
        <v>2023</v>
      </c>
      <c r="R1773">
        <v>91762.671999999991</v>
      </c>
      <c r="S1773">
        <v>-20225.728000000003</v>
      </c>
      <c r="T1773" s="1" t="s">
        <v>164</v>
      </c>
      <c r="U1773">
        <v>-0.22041345962549999</v>
      </c>
    </row>
    <row r="1774" spans="1:21" x14ac:dyDescent="0.3">
      <c r="A1774" s="1" t="s">
        <v>15</v>
      </c>
      <c r="B1774" s="1" t="s">
        <v>46</v>
      </c>
      <c r="C1774" s="2">
        <v>45060</v>
      </c>
      <c r="D1774" s="1" t="s">
        <v>25</v>
      </c>
      <c r="E1774" s="1" t="s">
        <v>40</v>
      </c>
      <c r="F1774">
        <v>9472.66</v>
      </c>
      <c r="G1774">
        <v>10</v>
      </c>
      <c r="H1774" s="1" t="s">
        <v>37</v>
      </c>
      <c r="I1774">
        <v>3988.52</v>
      </c>
      <c r="J1774">
        <v>4240.2299999999996</v>
      </c>
      <c r="K1774" s="1" t="s">
        <v>26</v>
      </c>
      <c r="L1774">
        <v>0.05</v>
      </c>
      <c r="M1774" s="1" t="s">
        <v>27</v>
      </c>
      <c r="N1774" s="1" t="s">
        <v>22</v>
      </c>
      <c r="O1774" s="1" t="s">
        <v>83</v>
      </c>
      <c r="P1774">
        <v>39885.199999999997</v>
      </c>
      <c r="Q1774">
        <v>2023</v>
      </c>
      <c r="R1774">
        <v>40282.18499999999</v>
      </c>
      <c r="S1774">
        <v>396.98499999999331</v>
      </c>
      <c r="T1774" s="1" t="s">
        <v>164</v>
      </c>
      <c r="U1774">
        <v>9.8551009584011799E-3</v>
      </c>
    </row>
    <row r="1775" spans="1:21" x14ac:dyDescent="0.3">
      <c r="A1775" s="1" t="s">
        <v>15</v>
      </c>
      <c r="B1775" s="1" t="s">
        <v>135</v>
      </c>
      <c r="C1775" s="2">
        <v>45060</v>
      </c>
      <c r="D1775" s="1" t="s">
        <v>17</v>
      </c>
      <c r="E1775" s="1" t="s">
        <v>30</v>
      </c>
      <c r="F1775">
        <v>9298.48</v>
      </c>
      <c r="G1775">
        <v>22</v>
      </c>
      <c r="H1775" s="1" t="s">
        <v>37</v>
      </c>
      <c r="I1775">
        <v>4573.6899999999996</v>
      </c>
      <c r="J1775">
        <v>4820.3</v>
      </c>
      <c r="K1775" s="1" t="s">
        <v>26</v>
      </c>
      <c r="L1775">
        <v>0.04</v>
      </c>
      <c r="M1775" s="1" t="s">
        <v>21</v>
      </c>
      <c r="N1775" s="1" t="s">
        <v>22</v>
      </c>
      <c r="O1775" s="1" t="s">
        <v>34</v>
      </c>
      <c r="P1775">
        <v>100621.18</v>
      </c>
      <c r="Q1775">
        <v>2023</v>
      </c>
      <c r="R1775">
        <v>101804.736</v>
      </c>
      <c r="S1775">
        <v>1183.5560000000114</v>
      </c>
      <c r="T1775" s="1" t="s">
        <v>164</v>
      </c>
      <c r="U1775">
        <v>1.16257459770831E-2</v>
      </c>
    </row>
    <row r="1776" spans="1:21" x14ac:dyDescent="0.3">
      <c r="A1776" s="1" t="s">
        <v>15</v>
      </c>
      <c r="B1776" s="1" t="s">
        <v>63</v>
      </c>
      <c r="C1776" s="2">
        <v>45062</v>
      </c>
      <c r="D1776" s="1" t="s">
        <v>25</v>
      </c>
      <c r="E1776" s="1" t="s">
        <v>18</v>
      </c>
      <c r="F1776">
        <v>8495.6200000000008</v>
      </c>
      <c r="G1776">
        <v>46</v>
      </c>
      <c r="H1776" s="1" t="s">
        <v>31</v>
      </c>
      <c r="I1776">
        <v>159.32</v>
      </c>
      <c r="J1776">
        <v>303.36</v>
      </c>
      <c r="K1776" s="1" t="s">
        <v>26</v>
      </c>
      <c r="L1776">
        <v>0.03</v>
      </c>
      <c r="M1776" s="1" t="s">
        <v>21</v>
      </c>
      <c r="N1776" s="1" t="s">
        <v>33</v>
      </c>
      <c r="O1776" s="1" t="s">
        <v>28</v>
      </c>
      <c r="P1776">
        <v>7328.7199999999993</v>
      </c>
      <c r="Q1776">
        <v>2023</v>
      </c>
      <c r="R1776">
        <v>13535.923200000001</v>
      </c>
      <c r="S1776">
        <v>6207.2032000000017</v>
      </c>
      <c r="T1776" s="1" t="s">
        <v>164</v>
      </c>
      <c r="U1776">
        <v>0.45857257818956898</v>
      </c>
    </row>
    <row r="1777" spans="1:21" x14ac:dyDescent="0.3">
      <c r="A1777" s="1" t="s">
        <v>15</v>
      </c>
      <c r="B1777" s="1" t="s">
        <v>135</v>
      </c>
      <c r="C1777" s="2">
        <v>45063</v>
      </c>
      <c r="D1777" s="1" t="s">
        <v>59</v>
      </c>
      <c r="E1777" s="1" t="s">
        <v>40</v>
      </c>
      <c r="F1777">
        <v>3741.08</v>
      </c>
      <c r="G1777">
        <v>1</v>
      </c>
      <c r="H1777" s="1" t="s">
        <v>31</v>
      </c>
      <c r="I1777">
        <v>3290.89</v>
      </c>
      <c r="J1777">
        <v>3317.75</v>
      </c>
      <c r="K1777" s="1" t="s">
        <v>20</v>
      </c>
      <c r="L1777">
        <v>0.17</v>
      </c>
      <c r="M1777" s="1" t="s">
        <v>32</v>
      </c>
      <c r="N1777" s="1" t="s">
        <v>22</v>
      </c>
      <c r="O1777" s="1" t="s">
        <v>90</v>
      </c>
      <c r="P1777">
        <v>3290.89</v>
      </c>
      <c r="Q1777">
        <v>2023</v>
      </c>
      <c r="R1777">
        <v>2753.7325000000001</v>
      </c>
      <c r="S1777">
        <v>-537.1574999999998</v>
      </c>
      <c r="T1777" s="1" t="s">
        <v>164</v>
      </c>
      <c r="U1777">
        <v>-0.19506524326527699</v>
      </c>
    </row>
    <row r="1778" spans="1:21" x14ac:dyDescent="0.3">
      <c r="A1778" s="1" t="s">
        <v>15</v>
      </c>
      <c r="B1778" s="1" t="s">
        <v>110</v>
      </c>
      <c r="C1778" s="2">
        <v>45063</v>
      </c>
      <c r="D1778" s="1" t="s">
        <v>43</v>
      </c>
      <c r="E1778" s="1" t="s">
        <v>30</v>
      </c>
      <c r="F1778">
        <v>7835.09</v>
      </c>
      <c r="G1778">
        <v>36</v>
      </c>
      <c r="H1778" s="1" t="s">
        <v>19</v>
      </c>
      <c r="I1778">
        <v>4252.17</v>
      </c>
      <c r="J1778">
        <v>4720.2700000000004</v>
      </c>
      <c r="K1778" s="1" t="s">
        <v>26</v>
      </c>
      <c r="L1778">
        <v>0.09</v>
      </c>
      <c r="M1778" s="1" t="s">
        <v>21</v>
      </c>
      <c r="N1778" s="1" t="s">
        <v>33</v>
      </c>
      <c r="O1778" s="1" t="s">
        <v>54</v>
      </c>
      <c r="P1778">
        <v>153078.12</v>
      </c>
      <c r="Q1778">
        <v>2023</v>
      </c>
      <c r="R1778">
        <v>154636.04520000002</v>
      </c>
      <c r="S1778">
        <v>1557.925200000027</v>
      </c>
      <c r="T1778" s="1" t="s">
        <v>164</v>
      </c>
      <c r="U1778">
        <v>1.0074786884164501E-2</v>
      </c>
    </row>
    <row r="1779" spans="1:21" x14ac:dyDescent="0.3">
      <c r="A1779" s="1" t="s">
        <v>15</v>
      </c>
      <c r="B1779" s="1" t="s">
        <v>98</v>
      </c>
      <c r="C1779" s="2">
        <v>45063</v>
      </c>
      <c r="D1779" s="1" t="s">
        <v>36</v>
      </c>
      <c r="E1779" s="1" t="s">
        <v>40</v>
      </c>
      <c r="F1779">
        <v>8374.68</v>
      </c>
      <c r="G1779">
        <v>47</v>
      </c>
      <c r="H1779" s="1" t="s">
        <v>31</v>
      </c>
      <c r="I1779">
        <v>2461.6999999999998</v>
      </c>
      <c r="J1779">
        <v>2529.02</v>
      </c>
      <c r="K1779" s="1" t="s">
        <v>20</v>
      </c>
      <c r="L1779">
        <v>0.22</v>
      </c>
      <c r="M1779" s="1" t="s">
        <v>21</v>
      </c>
      <c r="N1779" s="1" t="s">
        <v>33</v>
      </c>
      <c r="O1779" s="1" t="s">
        <v>41</v>
      </c>
      <c r="P1779">
        <v>115699.9</v>
      </c>
      <c r="Q1779">
        <v>2023</v>
      </c>
      <c r="R1779">
        <v>92713.873200000002</v>
      </c>
      <c r="S1779">
        <v>-22986.026799999992</v>
      </c>
      <c r="T1779" s="1" t="s">
        <v>164</v>
      </c>
      <c r="U1779">
        <v>-0.24792435054908299</v>
      </c>
    </row>
    <row r="1780" spans="1:21" x14ac:dyDescent="0.3">
      <c r="A1780" s="1" t="s">
        <v>15</v>
      </c>
      <c r="B1780" s="1" t="s">
        <v>146</v>
      </c>
      <c r="C1780" s="2">
        <v>45063</v>
      </c>
      <c r="D1780" s="1" t="s">
        <v>59</v>
      </c>
      <c r="E1780" s="1" t="s">
        <v>18</v>
      </c>
      <c r="F1780">
        <v>5198.5600000000004</v>
      </c>
      <c r="G1780">
        <v>36</v>
      </c>
      <c r="H1780" s="1" t="s">
        <v>57</v>
      </c>
      <c r="I1780">
        <v>3981.2</v>
      </c>
      <c r="J1780">
        <v>4432.3500000000004</v>
      </c>
      <c r="K1780" s="1" t="s">
        <v>26</v>
      </c>
      <c r="L1780">
        <v>0.14000000000000001</v>
      </c>
      <c r="M1780" s="1" t="s">
        <v>21</v>
      </c>
      <c r="N1780" s="1" t="s">
        <v>22</v>
      </c>
      <c r="O1780" s="1" t="s">
        <v>77</v>
      </c>
      <c r="P1780">
        <v>143323.19999999998</v>
      </c>
      <c r="Q1780">
        <v>2023</v>
      </c>
      <c r="R1780">
        <v>137225.55600000001</v>
      </c>
      <c r="S1780">
        <v>-6097.6439999999711</v>
      </c>
      <c r="T1780" s="1" t="s">
        <v>164</v>
      </c>
      <c r="U1780">
        <v>-4.4435192523468198E-2</v>
      </c>
    </row>
    <row r="1781" spans="1:21" x14ac:dyDescent="0.3">
      <c r="A1781" s="1" t="s">
        <v>15</v>
      </c>
      <c r="B1781" s="1" t="s">
        <v>131</v>
      </c>
      <c r="C1781" s="2">
        <v>45063</v>
      </c>
      <c r="D1781" s="1" t="s">
        <v>43</v>
      </c>
      <c r="E1781" s="1" t="s">
        <v>18</v>
      </c>
      <c r="F1781">
        <v>2254.91</v>
      </c>
      <c r="G1781">
        <v>45</v>
      </c>
      <c r="H1781" s="1" t="s">
        <v>31</v>
      </c>
      <c r="I1781">
        <v>112.35</v>
      </c>
      <c r="J1781">
        <v>586.17999999999995</v>
      </c>
      <c r="K1781" s="1" t="s">
        <v>20</v>
      </c>
      <c r="L1781">
        <v>0.28000000000000003</v>
      </c>
      <c r="M1781" s="1" t="s">
        <v>27</v>
      </c>
      <c r="N1781" s="1" t="s">
        <v>33</v>
      </c>
      <c r="O1781" s="1" t="s">
        <v>62</v>
      </c>
      <c r="P1781">
        <v>5055.75</v>
      </c>
      <c r="Q1781">
        <v>2023</v>
      </c>
      <c r="R1781">
        <v>18992.232</v>
      </c>
      <c r="S1781">
        <v>13936.482</v>
      </c>
      <c r="T1781" s="1" t="s">
        <v>164</v>
      </c>
      <c r="U1781">
        <v>0.73379906058434796</v>
      </c>
    </row>
    <row r="1782" spans="1:21" x14ac:dyDescent="0.3">
      <c r="A1782" s="1" t="s">
        <v>15</v>
      </c>
      <c r="B1782" s="1" t="s">
        <v>144</v>
      </c>
      <c r="C1782" s="2">
        <v>45064</v>
      </c>
      <c r="D1782" s="1" t="s">
        <v>43</v>
      </c>
      <c r="E1782" s="1" t="s">
        <v>40</v>
      </c>
      <c r="F1782">
        <v>3098.87</v>
      </c>
      <c r="G1782">
        <v>39</v>
      </c>
      <c r="H1782" s="1" t="s">
        <v>57</v>
      </c>
      <c r="I1782">
        <v>3577.69</v>
      </c>
      <c r="J1782">
        <v>3931.25</v>
      </c>
      <c r="K1782" s="1" t="s">
        <v>20</v>
      </c>
      <c r="L1782">
        <v>0.21</v>
      </c>
      <c r="M1782" s="1" t="s">
        <v>21</v>
      </c>
      <c r="N1782" s="1" t="s">
        <v>33</v>
      </c>
      <c r="O1782" s="1" t="s">
        <v>99</v>
      </c>
      <c r="P1782">
        <v>139529.91</v>
      </c>
      <c r="Q1782">
        <v>2023</v>
      </c>
      <c r="R1782">
        <v>121121.8125</v>
      </c>
      <c r="S1782">
        <v>-18408.097500000003</v>
      </c>
      <c r="T1782" s="1" t="s">
        <v>164</v>
      </c>
      <c r="U1782">
        <v>-0.15198003662635101</v>
      </c>
    </row>
    <row r="1783" spans="1:21" x14ac:dyDescent="0.3">
      <c r="A1783" s="1" t="s">
        <v>15</v>
      </c>
      <c r="B1783" s="1" t="s">
        <v>131</v>
      </c>
      <c r="C1783" s="2">
        <v>45065</v>
      </c>
      <c r="D1783" s="1" t="s">
        <v>25</v>
      </c>
      <c r="E1783" s="1" t="s">
        <v>44</v>
      </c>
      <c r="F1783">
        <v>9744.52</v>
      </c>
      <c r="G1783">
        <v>35</v>
      </c>
      <c r="H1783" s="1" t="s">
        <v>19</v>
      </c>
      <c r="I1783">
        <v>2158.69</v>
      </c>
      <c r="J1783">
        <v>2384.38</v>
      </c>
      <c r="K1783" s="1" t="s">
        <v>20</v>
      </c>
      <c r="L1783">
        <v>0.09</v>
      </c>
      <c r="M1783" s="1" t="s">
        <v>32</v>
      </c>
      <c r="N1783" s="1" t="s">
        <v>33</v>
      </c>
      <c r="O1783" s="1" t="s">
        <v>47</v>
      </c>
      <c r="P1783">
        <v>75554.150000000009</v>
      </c>
      <c r="Q1783">
        <v>2023</v>
      </c>
      <c r="R1783">
        <v>75942.503000000012</v>
      </c>
      <c r="S1783">
        <v>388.35300000000279</v>
      </c>
      <c r="T1783" s="1" t="s">
        <v>164</v>
      </c>
      <c r="U1783">
        <v>5.1137766686463098E-3</v>
      </c>
    </row>
    <row r="1784" spans="1:21" x14ac:dyDescent="0.3">
      <c r="A1784" s="1" t="s">
        <v>15</v>
      </c>
      <c r="B1784" s="1" t="s">
        <v>151</v>
      </c>
      <c r="C1784" s="2">
        <v>45066</v>
      </c>
      <c r="D1784" s="1" t="s">
        <v>17</v>
      </c>
      <c r="E1784" s="1" t="s">
        <v>40</v>
      </c>
      <c r="F1784">
        <v>3003.76</v>
      </c>
      <c r="G1784">
        <v>6</v>
      </c>
      <c r="H1784" s="1" t="s">
        <v>31</v>
      </c>
      <c r="I1784">
        <v>2831.23</v>
      </c>
      <c r="J1784">
        <v>3206.98</v>
      </c>
      <c r="K1784" s="1" t="s">
        <v>20</v>
      </c>
      <c r="L1784">
        <v>0.06</v>
      </c>
      <c r="M1784" s="1" t="s">
        <v>32</v>
      </c>
      <c r="N1784" s="1" t="s">
        <v>33</v>
      </c>
      <c r="O1784" s="1" t="s">
        <v>67</v>
      </c>
      <c r="P1784">
        <v>16987.38</v>
      </c>
      <c r="Q1784">
        <v>2023</v>
      </c>
      <c r="R1784">
        <v>18087.367200000001</v>
      </c>
      <c r="S1784">
        <v>1099.9871999999996</v>
      </c>
      <c r="T1784" s="1" t="s">
        <v>164</v>
      </c>
      <c r="U1784">
        <v>6.08152191436684E-2</v>
      </c>
    </row>
    <row r="1785" spans="1:21" x14ac:dyDescent="0.3">
      <c r="A1785" s="1" t="s">
        <v>15</v>
      </c>
      <c r="B1785" s="1" t="s">
        <v>94</v>
      </c>
      <c r="C1785" s="2">
        <v>45066</v>
      </c>
      <c r="D1785" s="1" t="s">
        <v>43</v>
      </c>
      <c r="E1785" s="1" t="s">
        <v>18</v>
      </c>
      <c r="F1785">
        <v>5371.79</v>
      </c>
      <c r="G1785">
        <v>16</v>
      </c>
      <c r="H1785" s="1" t="s">
        <v>57</v>
      </c>
      <c r="I1785">
        <v>3466.11</v>
      </c>
      <c r="J1785">
        <v>3799.67</v>
      </c>
      <c r="K1785" s="1" t="s">
        <v>20</v>
      </c>
      <c r="L1785">
        <v>0.01</v>
      </c>
      <c r="M1785" s="1" t="s">
        <v>21</v>
      </c>
      <c r="N1785" s="1" t="s">
        <v>33</v>
      </c>
      <c r="O1785" s="1" t="s">
        <v>62</v>
      </c>
      <c r="P1785">
        <v>55457.760000000002</v>
      </c>
      <c r="Q1785">
        <v>2023</v>
      </c>
      <c r="R1785">
        <v>60186.772799999999</v>
      </c>
      <c r="S1785">
        <v>4729.0127999999968</v>
      </c>
      <c r="T1785" s="1" t="s">
        <v>164</v>
      </c>
      <c r="U1785">
        <v>7.8572293877833502E-2</v>
      </c>
    </row>
    <row r="1786" spans="1:21" x14ac:dyDescent="0.3">
      <c r="A1786" s="1" t="s">
        <v>15</v>
      </c>
      <c r="B1786" s="1" t="s">
        <v>147</v>
      </c>
      <c r="C1786" s="2">
        <v>45067</v>
      </c>
      <c r="D1786" s="1" t="s">
        <v>59</v>
      </c>
      <c r="E1786" s="1" t="s">
        <v>18</v>
      </c>
      <c r="F1786">
        <v>5108.9799999999996</v>
      </c>
      <c r="G1786">
        <v>37</v>
      </c>
      <c r="H1786" s="1" t="s">
        <v>37</v>
      </c>
      <c r="I1786">
        <v>4146.99</v>
      </c>
      <c r="J1786">
        <v>4172.3500000000004</v>
      </c>
      <c r="K1786" s="1" t="s">
        <v>20</v>
      </c>
      <c r="L1786">
        <v>0.06</v>
      </c>
      <c r="M1786" s="1" t="s">
        <v>21</v>
      </c>
      <c r="N1786" s="1" t="s">
        <v>33</v>
      </c>
      <c r="O1786" s="1" t="s">
        <v>77</v>
      </c>
      <c r="P1786">
        <v>153438.63</v>
      </c>
      <c r="Q1786">
        <v>2023</v>
      </c>
      <c r="R1786">
        <v>145114.33300000001</v>
      </c>
      <c r="S1786">
        <v>-8324.2969999999914</v>
      </c>
      <c r="T1786" s="1" t="s">
        <v>164</v>
      </c>
      <c r="U1786">
        <v>-5.7363713341810202E-2</v>
      </c>
    </row>
    <row r="1787" spans="1:21" x14ac:dyDescent="0.3">
      <c r="A1787" s="1" t="s">
        <v>15</v>
      </c>
      <c r="B1787" s="1" t="s">
        <v>51</v>
      </c>
      <c r="C1787" s="2">
        <v>45067</v>
      </c>
      <c r="D1787" s="1" t="s">
        <v>25</v>
      </c>
      <c r="E1787" s="1" t="s">
        <v>40</v>
      </c>
      <c r="F1787">
        <v>7828.25</v>
      </c>
      <c r="G1787">
        <v>26</v>
      </c>
      <c r="H1787" s="1" t="s">
        <v>19</v>
      </c>
      <c r="I1787">
        <v>2041.42</v>
      </c>
      <c r="J1787">
        <v>2291.17</v>
      </c>
      <c r="K1787" s="1" t="s">
        <v>20</v>
      </c>
      <c r="L1787">
        <v>0.28000000000000003</v>
      </c>
      <c r="M1787" s="1" t="s">
        <v>21</v>
      </c>
      <c r="N1787" s="1" t="s">
        <v>22</v>
      </c>
      <c r="O1787" s="1" t="s">
        <v>83</v>
      </c>
      <c r="P1787">
        <v>53076.92</v>
      </c>
      <c r="Q1787">
        <v>2023</v>
      </c>
      <c r="R1787">
        <v>42890.702399999995</v>
      </c>
      <c r="S1787">
        <v>-10186.217600000004</v>
      </c>
      <c r="T1787" s="1" t="s">
        <v>164</v>
      </c>
      <c r="U1787">
        <v>-0.23749244078595499</v>
      </c>
    </row>
    <row r="1788" spans="1:21" x14ac:dyDescent="0.3">
      <c r="A1788" s="1" t="s">
        <v>15</v>
      </c>
      <c r="B1788" s="1" t="s">
        <v>16</v>
      </c>
      <c r="C1788" s="2">
        <v>45067</v>
      </c>
      <c r="D1788" s="1" t="s">
        <v>36</v>
      </c>
      <c r="E1788" s="1" t="s">
        <v>44</v>
      </c>
      <c r="F1788">
        <v>5197.84</v>
      </c>
      <c r="G1788">
        <v>37</v>
      </c>
      <c r="H1788" s="1" t="s">
        <v>31</v>
      </c>
      <c r="I1788">
        <v>1712.43</v>
      </c>
      <c r="J1788">
        <v>1980.06</v>
      </c>
      <c r="K1788" s="1" t="s">
        <v>26</v>
      </c>
      <c r="L1788">
        <v>0.26</v>
      </c>
      <c r="M1788" s="1" t="s">
        <v>21</v>
      </c>
      <c r="N1788" s="1" t="s">
        <v>22</v>
      </c>
      <c r="O1788" s="1" t="s">
        <v>71</v>
      </c>
      <c r="P1788">
        <v>63359.91</v>
      </c>
      <c r="Q1788">
        <v>2023</v>
      </c>
      <c r="R1788">
        <v>54214.042800000003</v>
      </c>
      <c r="S1788">
        <v>-9145.8672000000006</v>
      </c>
      <c r="T1788" s="1" t="s">
        <v>164</v>
      </c>
      <c r="U1788">
        <v>-0.16869922860650399</v>
      </c>
    </row>
    <row r="1789" spans="1:21" x14ac:dyDescent="0.3">
      <c r="A1789" s="1" t="s">
        <v>15</v>
      </c>
      <c r="B1789" s="1" t="s">
        <v>112</v>
      </c>
      <c r="C1789" s="2">
        <v>45068</v>
      </c>
      <c r="D1789" s="1" t="s">
        <v>59</v>
      </c>
      <c r="E1789" s="1" t="s">
        <v>30</v>
      </c>
      <c r="F1789">
        <v>3780.22</v>
      </c>
      <c r="G1789">
        <v>45</v>
      </c>
      <c r="H1789" s="1" t="s">
        <v>57</v>
      </c>
      <c r="I1789">
        <v>4132.79</v>
      </c>
      <c r="J1789">
        <v>4624.1000000000004</v>
      </c>
      <c r="K1789" s="1" t="s">
        <v>26</v>
      </c>
      <c r="L1789">
        <v>0.15</v>
      </c>
      <c r="M1789" s="1" t="s">
        <v>27</v>
      </c>
      <c r="N1789" s="1" t="s">
        <v>33</v>
      </c>
      <c r="O1789" s="1" t="s">
        <v>86</v>
      </c>
      <c r="P1789">
        <v>185975.55</v>
      </c>
      <c r="Q1789">
        <v>2023</v>
      </c>
      <c r="R1789">
        <v>176871.82500000001</v>
      </c>
      <c r="S1789">
        <v>-9103.7249999999767</v>
      </c>
      <c r="T1789" s="1" t="s">
        <v>164</v>
      </c>
      <c r="U1789">
        <v>-5.1470747248749102E-2</v>
      </c>
    </row>
    <row r="1790" spans="1:21" x14ac:dyDescent="0.3">
      <c r="A1790" s="1" t="s">
        <v>15</v>
      </c>
      <c r="B1790" s="1" t="s">
        <v>135</v>
      </c>
      <c r="C1790" s="2">
        <v>45068</v>
      </c>
      <c r="D1790" s="1" t="s">
        <v>43</v>
      </c>
      <c r="E1790" s="1" t="s">
        <v>44</v>
      </c>
      <c r="F1790">
        <v>4216.17</v>
      </c>
      <c r="G1790">
        <v>19</v>
      </c>
      <c r="H1790" s="1" t="s">
        <v>19</v>
      </c>
      <c r="I1790">
        <v>3316.97</v>
      </c>
      <c r="J1790">
        <v>3544.02</v>
      </c>
      <c r="K1790" s="1" t="s">
        <v>20</v>
      </c>
      <c r="L1790">
        <v>0.14000000000000001</v>
      </c>
      <c r="M1790" s="1" t="s">
        <v>21</v>
      </c>
      <c r="N1790" s="1" t="s">
        <v>22</v>
      </c>
      <c r="O1790" s="1" t="s">
        <v>45</v>
      </c>
      <c r="P1790">
        <v>63022.429999999993</v>
      </c>
      <c r="Q1790">
        <v>2023</v>
      </c>
      <c r="R1790">
        <v>57909.286800000002</v>
      </c>
      <c r="S1790">
        <v>-5113.1431999999913</v>
      </c>
      <c r="T1790" s="1" t="s">
        <v>164</v>
      </c>
      <c r="U1790">
        <v>-8.82957377399438E-2</v>
      </c>
    </row>
    <row r="1791" spans="1:21" x14ac:dyDescent="0.3">
      <c r="A1791" s="1" t="s">
        <v>15</v>
      </c>
      <c r="B1791" s="1" t="s">
        <v>81</v>
      </c>
      <c r="C1791" s="2">
        <v>45069</v>
      </c>
      <c r="D1791" s="1" t="s">
        <v>43</v>
      </c>
      <c r="E1791" s="1" t="s">
        <v>40</v>
      </c>
      <c r="F1791">
        <v>8552.4699999999993</v>
      </c>
      <c r="G1791">
        <v>19</v>
      </c>
      <c r="H1791" s="1" t="s">
        <v>57</v>
      </c>
      <c r="I1791">
        <v>2182.75</v>
      </c>
      <c r="J1791">
        <v>2504.0300000000002</v>
      </c>
      <c r="K1791" s="1" t="s">
        <v>26</v>
      </c>
      <c r="L1791">
        <v>0.01</v>
      </c>
      <c r="M1791" s="1" t="s">
        <v>32</v>
      </c>
      <c r="N1791" s="1" t="s">
        <v>22</v>
      </c>
      <c r="O1791" s="1" t="s">
        <v>99</v>
      </c>
      <c r="P1791">
        <v>41472.25</v>
      </c>
      <c r="Q1791">
        <v>2023</v>
      </c>
      <c r="R1791">
        <v>47100.804300000003</v>
      </c>
      <c r="S1791">
        <v>5628.5543000000034</v>
      </c>
      <c r="T1791" s="1" t="s">
        <v>164</v>
      </c>
      <c r="U1791">
        <v>0.119500173800642</v>
      </c>
    </row>
    <row r="1792" spans="1:21" x14ac:dyDescent="0.3">
      <c r="A1792" s="1" t="s">
        <v>15</v>
      </c>
      <c r="B1792" s="1" t="s">
        <v>136</v>
      </c>
      <c r="C1792" s="2">
        <v>45069</v>
      </c>
      <c r="D1792" s="1" t="s">
        <v>43</v>
      </c>
      <c r="E1792" s="1" t="s">
        <v>40</v>
      </c>
      <c r="F1792">
        <v>7667.96</v>
      </c>
      <c r="G1792">
        <v>29</v>
      </c>
      <c r="H1792" s="1" t="s">
        <v>57</v>
      </c>
      <c r="I1792">
        <v>3559.56</v>
      </c>
      <c r="J1792">
        <v>3607.15</v>
      </c>
      <c r="K1792" s="1" t="s">
        <v>20</v>
      </c>
      <c r="L1792">
        <v>0.21</v>
      </c>
      <c r="M1792" s="1" t="s">
        <v>21</v>
      </c>
      <c r="N1792" s="1" t="s">
        <v>33</v>
      </c>
      <c r="O1792" s="1" t="s">
        <v>99</v>
      </c>
      <c r="P1792">
        <v>103227.24</v>
      </c>
      <c r="Q1792">
        <v>2023</v>
      </c>
      <c r="R1792">
        <v>82639.806500000006</v>
      </c>
      <c r="S1792">
        <v>-20587.433499999999</v>
      </c>
      <c r="T1792" s="1" t="s">
        <v>164</v>
      </c>
      <c r="U1792">
        <v>-0.24912247949176899</v>
      </c>
    </row>
    <row r="1793" spans="1:21" x14ac:dyDescent="0.3">
      <c r="A1793" s="1" t="s">
        <v>15</v>
      </c>
      <c r="B1793" s="1" t="s">
        <v>73</v>
      </c>
      <c r="C1793" s="2">
        <v>45069</v>
      </c>
      <c r="D1793" s="1" t="s">
        <v>43</v>
      </c>
      <c r="E1793" s="1" t="s">
        <v>18</v>
      </c>
      <c r="F1793">
        <v>3133.99</v>
      </c>
      <c r="G1793">
        <v>49</v>
      </c>
      <c r="H1793" s="1" t="s">
        <v>31</v>
      </c>
      <c r="I1793">
        <v>2628.38</v>
      </c>
      <c r="J1793">
        <v>2644.54</v>
      </c>
      <c r="K1793" s="1" t="s">
        <v>20</v>
      </c>
      <c r="L1793">
        <v>0.11</v>
      </c>
      <c r="M1793" s="1" t="s">
        <v>21</v>
      </c>
      <c r="N1793" s="1" t="s">
        <v>22</v>
      </c>
      <c r="O1793" s="1" t="s">
        <v>62</v>
      </c>
      <c r="P1793">
        <v>128790.62000000001</v>
      </c>
      <c r="Q1793">
        <v>2023</v>
      </c>
      <c r="R1793">
        <v>115328.3894</v>
      </c>
      <c r="S1793">
        <v>-13462.23060000001</v>
      </c>
      <c r="T1793" s="1" t="s">
        <v>164</v>
      </c>
      <c r="U1793">
        <v>-0.116729546558638</v>
      </c>
    </row>
    <row r="1794" spans="1:21" x14ac:dyDescent="0.3">
      <c r="A1794" s="1" t="s">
        <v>15</v>
      </c>
      <c r="B1794" s="1" t="s">
        <v>152</v>
      </c>
      <c r="C1794" s="2">
        <v>45070</v>
      </c>
      <c r="D1794" s="1" t="s">
        <v>17</v>
      </c>
      <c r="E1794" s="1" t="s">
        <v>30</v>
      </c>
      <c r="F1794">
        <v>1114.9100000000001</v>
      </c>
      <c r="G1794">
        <v>13</v>
      </c>
      <c r="H1794" s="1" t="s">
        <v>57</v>
      </c>
      <c r="I1794">
        <v>3102.73</v>
      </c>
      <c r="J1794">
        <v>3202.68</v>
      </c>
      <c r="K1794" s="1" t="s">
        <v>26</v>
      </c>
      <c r="L1794">
        <v>0.09</v>
      </c>
      <c r="M1794" s="1" t="s">
        <v>21</v>
      </c>
      <c r="N1794" s="1" t="s">
        <v>22</v>
      </c>
      <c r="O1794" s="1" t="s">
        <v>34</v>
      </c>
      <c r="P1794">
        <v>40335.49</v>
      </c>
      <c r="Q1794">
        <v>2023</v>
      </c>
      <c r="R1794">
        <v>37887.704399999995</v>
      </c>
      <c r="S1794">
        <v>-2447.7856000000029</v>
      </c>
      <c r="T1794" s="1" t="s">
        <v>164</v>
      </c>
      <c r="U1794">
        <v>-6.4606331757592603E-2</v>
      </c>
    </row>
    <row r="1795" spans="1:21" x14ac:dyDescent="0.3">
      <c r="A1795" s="1" t="s">
        <v>15</v>
      </c>
      <c r="B1795" s="1" t="s">
        <v>148</v>
      </c>
      <c r="C1795" s="2">
        <v>45071</v>
      </c>
      <c r="D1795" s="1" t="s">
        <v>59</v>
      </c>
      <c r="E1795" s="1" t="s">
        <v>18</v>
      </c>
      <c r="F1795">
        <v>9610.2099999999991</v>
      </c>
      <c r="G1795">
        <v>24</v>
      </c>
      <c r="H1795" s="1" t="s">
        <v>19</v>
      </c>
      <c r="I1795">
        <v>3639.3</v>
      </c>
      <c r="J1795">
        <v>3750.63</v>
      </c>
      <c r="K1795" s="1" t="s">
        <v>26</v>
      </c>
      <c r="L1795">
        <v>0.23</v>
      </c>
      <c r="M1795" s="1" t="s">
        <v>32</v>
      </c>
      <c r="N1795" s="1" t="s">
        <v>33</v>
      </c>
      <c r="O1795" s="1" t="s">
        <v>77</v>
      </c>
      <c r="P1795">
        <v>87343.200000000012</v>
      </c>
      <c r="Q1795">
        <v>2023</v>
      </c>
      <c r="R1795">
        <v>69311.642399999997</v>
      </c>
      <c r="S1795">
        <v>-18031.557600000015</v>
      </c>
      <c r="T1795" s="1" t="s">
        <v>164</v>
      </c>
      <c r="U1795">
        <v>-0.26015193083925597</v>
      </c>
    </row>
    <row r="1796" spans="1:21" x14ac:dyDescent="0.3">
      <c r="A1796" s="1" t="s">
        <v>15</v>
      </c>
      <c r="B1796" s="1" t="s">
        <v>139</v>
      </c>
      <c r="C1796" s="2">
        <v>45071</v>
      </c>
      <c r="D1796" s="1" t="s">
        <v>17</v>
      </c>
      <c r="E1796" s="1" t="s">
        <v>18</v>
      </c>
      <c r="F1796">
        <v>833.64</v>
      </c>
      <c r="G1796">
        <v>2</v>
      </c>
      <c r="H1796" s="1" t="s">
        <v>19</v>
      </c>
      <c r="I1796">
        <v>1392.15</v>
      </c>
      <c r="J1796">
        <v>1448.54</v>
      </c>
      <c r="K1796" s="1" t="s">
        <v>20</v>
      </c>
      <c r="L1796">
        <v>0.02</v>
      </c>
      <c r="M1796" s="1" t="s">
        <v>32</v>
      </c>
      <c r="N1796" s="1" t="s">
        <v>33</v>
      </c>
      <c r="O1796" s="1" t="s">
        <v>23</v>
      </c>
      <c r="P1796">
        <v>2784.3</v>
      </c>
      <c r="Q1796">
        <v>2023</v>
      </c>
      <c r="R1796">
        <v>2839.1383999999998</v>
      </c>
      <c r="S1796">
        <v>54.838399999999638</v>
      </c>
      <c r="T1796" s="1" t="s">
        <v>164</v>
      </c>
      <c r="U1796">
        <v>1.9315155611998199E-2</v>
      </c>
    </row>
    <row r="1797" spans="1:21" x14ac:dyDescent="0.3">
      <c r="A1797" s="1" t="s">
        <v>15</v>
      </c>
      <c r="B1797" s="1" t="s">
        <v>108</v>
      </c>
      <c r="C1797" s="2">
        <v>45071</v>
      </c>
      <c r="D1797" s="1" t="s">
        <v>43</v>
      </c>
      <c r="E1797" s="1" t="s">
        <v>44</v>
      </c>
      <c r="F1797">
        <v>9220.94</v>
      </c>
      <c r="G1797">
        <v>20</v>
      </c>
      <c r="H1797" s="1" t="s">
        <v>57</v>
      </c>
      <c r="I1797">
        <v>668.11</v>
      </c>
      <c r="J1797">
        <v>803.49</v>
      </c>
      <c r="K1797" s="1" t="s">
        <v>26</v>
      </c>
      <c r="L1797">
        <v>0.21</v>
      </c>
      <c r="M1797" s="1" t="s">
        <v>32</v>
      </c>
      <c r="N1797" s="1" t="s">
        <v>22</v>
      </c>
      <c r="O1797" s="1" t="s">
        <v>45</v>
      </c>
      <c r="P1797">
        <v>13362.2</v>
      </c>
      <c r="Q1797">
        <v>2023</v>
      </c>
      <c r="R1797">
        <v>12695.142</v>
      </c>
      <c r="S1797">
        <v>-667.0580000000009</v>
      </c>
      <c r="T1797" s="1" t="s">
        <v>164</v>
      </c>
      <c r="U1797">
        <v>-5.2544351217182199E-2</v>
      </c>
    </row>
    <row r="1798" spans="1:21" x14ac:dyDescent="0.3">
      <c r="A1798" s="1" t="s">
        <v>15</v>
      </c>
      <c r="B1798" s="1" t="s">
        <v>100</v>
      </c>
      <c r="C1798" s="2">
        <v>45072</v>
      </c>
      <c r="D1798" s="1" t="s">
        <v>43</v>
      </c>
      <c r="E1798" s="1" t="s">
        <v>44</v>
      </c>
      <c r="F1798">
        <v>848.28</v>
      </c>
      <c r="G1798">
        <v>1</v>
      </c>
      <c r="H1798" s="1" t="s">
        <v>37</v>
      </c>
      <c r="I1798">
        <v>1406.24</v>
      </c>
      <c r="J1798">
        <v>1535.57</v>
      </c>
      <c r="K1798" s="1" t="s">
        <v>26</v>
      </c>
      <c r="L1798">
        <v>0.08</v>
      </c>
      <c r="M1798" s="1" t="s">
        <v>27</v>
      </c>
      <c r="N1798" s="1" t="s">
        <v>33</v>
      </c>
      <c r="O1798" s="1" t="s">
        <v>45</v>
      </c>
      <c r="P1798">
        <v>1406.24</v>
      </c>
      <c r="Q1798">
        <v>2023</v>
      </c>
      <c r="R1798">
        <v>1412.7244000000001</v>
      </c>
      <c r="S1798">
        <v>6.4844000000000506</v>
      </c>
      <c r="T1798" s="1" t="s">
        <v>164</v>
      </c>
      <c r="U1798">
        <v>4.5899964635707103E-3</v>
      </c>
    </row>
    <row r="1799" spans="1:21" x14ac:dyDescent="0.3">
      <c r="A1799" s="1" t="s">
        <v>15</v>
      </c>
      <c r="B1799" s="1" t="s">
        <v>153</v>
      </c>
      <c r="C1799" s="2">
        <v>45072</v>
      </c>
      <c r="D1799" s="1" t="s">
        <v>36</v>
      </c>
      <c r="E1799" s="1" t="s">
        <v>30</v>
      </c>
      <c r="F1799">
        <v>6994.66</v>
      </c>
      <c r="G1799">
        <v>2</v>
      </c>
      <c r="H1799" s="1" t="s">
        <v>31</v>
      </c>
      <c r="I1799">
        <v>1349.3</v>
      </c>
      <c r="J1799">
        <v>1576.69</v>
      </c>
      <c r="K1799" s="1" t="s">
        <v>20</v>
      </c>
      <c r="L1799">
        <v>0.12</v>
      </c>
      <c r="M1799" s="1" t="s">
        <v>27</v>
      </c>
      <c r="N1799" s="1" t="s">
        <v>22</v>
      </c>
      <c r="O1799" s="1" t="s">
        <v>38</v>
      </c>
      <c r="P1799">
        <v>2698.6</v>
      </c>
      <c r="Q1799">
        <v>2023</v>
      </c>
      <c r="R1799">
        <v>2774.9744000000001</v>
      </c>
      <c r="S1799">
        <v>76.374400000000151</v>
      </c>
      <c r="T1799" s="1" t="s">
        <v>164</v>
      </c>
      <c r="U1799">
        <v>2.75225602081231E-2</v>
      </c>
    </row>
    <row r="1800" spans="1:21" x14ac:dyDescent="0.3">
      <c r="A1800" s="1" t="s">
        <v>15</v>
      </c>
      <c r="B1800" s="1" t="s">
        <v>65</v>
      </c>
      <c r="C1800" s="2">
        <v>45073</v>
      </c>
      <c r="D1800" s="1" t="s">
        <v>25</v>
      </c>
      <c r="E1800" s="1" t="s">
        <v>40</v>
      </c>
      <c r="F1800">
        <v>5760.29</v>
      </c>
      <c r="G1800">
        <v>44</v>
      </c>
      <c r="H1800" s="1" t="s">
        <v>37</v>
      </c>
      <c r="I1800">
        <v>1084.73</v>
      </c>
      <c r="J1800">
        <v>1420.9</v>
      </c>
      <c r="K1800" s="1" t="s">
        <v>20</v>
      </c>
      <c r="L1800">
        <v>0.05</v>
      </c>
      <c r="M1800" s="1" t="s">
        <v>27</v>
      </c>
      <c r="N1800" s="1" t="s">
        <v>22</v>
      </c>
      <c r="O1800" s="1" t="s">
        <v>83</v>
      </c>
      <c r="P1800">
        <v>47728.12</v>
      </c>
      <c r="Q1800">
        <v>2023</v>
      </c>
      <c r="R1800">
        <v>59393.62</v>
      </c>
      <c r="S1800">
        <v>11665.5</v>
      </c>
      <c r="T1800" s="1" t="s">
        <v>164</v>
      </c>
      <c r="U1800">
        <v>0.19640998477614299</v>
      </c>
    </row>
    <row r="1801" spans="1:21" x14ac:dyDescent="0.3">
      <c r="A1801" s="1" t="s">
        <v>15</v>
      </c>
      <c r="B1801" s="1" t="s">
        <v>111</v>
      </c>
      <c r="C1801" s="2">
        <v>45073</v>
      </c>
      <c r="D1801" s="1" t="s">
        <v>17</v>
      </c>
      <c r="E1801" s="1" t="s">
        <v>44</v>
      </c>
      <c r="F1801">
        <v>5119.8900000000003</v>
      </c>
      <c r="G1801">
        <v>39</v>
      </c>
      <c r="H1801" s="1" t="s">
        <v>19</v>
      </c>
      <c r="I1801">
        <v>310.95999999999998</v>
      </c>
      <c r="J1801">
        <v>457.84</v>
      </c>
      <c r="K1801" s="1" t="s">
        <v>26</v>
      </c>
      <c r="L1801">
        <v>0.03</v>
      </c>
      <c r="M1801" s="1" t="s">
        <v>27</v>
      </c>
      <c r="N1801" s="1" t="s">
        <v>22</v>
      </c>
      <c r="O1801" s="1" t="s">
        <v>49</v>
      </c>
      <c r="P1801">
        <v>12127.439999999999</v>
      </c>
      <c r="Q1801">
        <v>2023</v>
      </c>
      <c r="R1801">
        <v>17320.087199999998</v>
      </c>
      <c r="S1801">
        <v>5192.6471999999994</v>
      </c>
      <c r="T1801" s="1" t="s">
        <v>164</v>
      </c>
      <c r="U1801">
        <v>0.29980491091292</v>
      </c>
    </row>
    <row r="1802" spans="1:21" x14ac:dyDescent="0.3">
      <c r="A1802" s="1" t="s">
        <v>15</v>
      </c>
      <c r="B1802" s="1" t="s">
        <v>52</v>
      </c>
      <c r="C1802" s="2">
        <v>45073</v>
      </c>
      <c r="D1802" s="1" t="s">
        <v>17</v>
      </c>
      <c r="E1802" s="1" t="s">
        <v>40</v>
      </c>
      <c r="F1802">
        <v>6710.83</v>
      </c>
      <c r="G1802">
        <v>2</v>
      </c>
      <c r="H1802" s="1" t="s">
        <v>57</v>
      </c>
      <c r="I1802">
        <v>3173.69</v>
      </c>
      <c r="J1802">
        <v>3503.11</v>
      </c>
      <c r="K1802" s="1" t="s">
        <v>26</v>
      </c>
      <c r="L1802">
        <v>0.2</v>
      </c>
      <c r="M1802" s="1" t="s">
        <v>32</v>
      </c>
      <c r="N1802" s="1" t="s">
        <v>33</v>
      </c>
      <c r="O1802" s="1" t="s">
        <v>67</v>
      </c>
      <c r="P1802">
        <v>6347.38</v>
      </c>
      <c r="Q1802">
        <v>2023</v>
      </c>
      <c r="R1802">
        <v>5604.9760000000006</v>
      </c>
      <c r="S1802">
        <v>-742.40399999999954</v>
      </c>
      <c r="T1802" s="1" t="s">
        <v>164</v>
      </c>
      <c r="U1802">
        <v>-0.13245444761940101</v>
      </c>
    </row>
    <row r="1803" spans="1:21" x14ac:dyDescent="0.3">
      <c r="A1803" s="1" t="s">
        <v>15</v>
      </c>
      <c r="B1803" s="1" t="s">
        <v>134</v>
      </c>
      <c r="C1803" s="2">
        <v>45073</v>
      </c>
      <c r="D1803" s="1" t="s">
        <v>59</v>
      </c>
      <c r="E1803" s="1" t="s">
        <v>30</v>
      </c>
      <c r="F1803">
        <v>1498.11</v>
      </c>
      <c r="G1803">
        <v>7</v>
      </c>
      <c r="H1803" s="1" t="s">
        <v>37</v>
      </c>
      <c r="I1803">
        <v>4094.68</v>
      </c>
      <c r="J1803">
        <v>4576.5</v>
      </c>
      <c r="K1803" s="1" t="s">
        <v>26</v>
      </c>
      <c r="L1803">
        <v>0.3</v>
      </c>
      <c r="M1803" s="1" t="s">
        <v>21</v>
      </c>
      <c r="N1803" s="1" t="s">
        <v>33</v>
      </c>
      <c r="O1803" s="1" t="s">
        <v>86</v>
      </c>
      <c r="P1803">
        <v>28662.76</v>
      </c>
      <c r="Q1803">
        <v>2023</v>
      </c>
      <c r="R1803">
        <v>22424.85</v>
      </c>
      <c r="S1803">
        <v>-6237.91</v>
      </c>
      <c r="T1803" s="1" t="s">
        <v>164</v>
      </c>
      <c r="U1803">
        <v>-0.27816953067690497</v>
      </c>
    </row>
    <row r="1804" spans="1:21" x14ac:dyDescent="0.3">
      <c r="A1804" s="1" t="s">
        <v>15</v>
      </c>
      <c r="B1804" s="1" t="s">
        <v>63</v>
      </c>
      <c r="C1804" s="2">
        <v>45074</v>
      </c>
      <c r="D1804" s="1" t="s">
        <v>43</v>
      </c>
      <c r="E1804" s="1" t="s">
        <v>30</v>
      </c>
      <c r="F1804">
        <v>7567.22</v>
      </c>
      <c r="G1804">
        <v>28</v>
      </c>
      <c r="H1804" s="1" t="s">
        <v>37</v>
      </c>
      <c r="I1804">
        <v>933.16</v>
      </c>
      <c r="J1804">
        <v>1004.7</v>
      </c>
      <c r="K1804" s="1" t="s">
        <v>20</v>
      </c>
      <c r="L1804">
        <v>0.18</v>
      </c>
      <c r="M1804" s="1" t="s">
        <v>32</v>
      </c>
      <c r="N1804" s="1" t="s">
        <v>22</v>
      </c>
      <c r="O1804" s="1" t="s">
        <v>54</v>
      </c>
      <c r="P1804">
        <v>26128.48</v>
      </c>
      <c r="Q1804">
        <v>2023</v>
      </c>
      <c r="R1804">
        <v>23067.912000000004</v>
      </c>
      <c r="S1804">
        <v>-3060.5679999999957</v>
      </c>
      <c r="T1804" s="1" t="s">
        <v>164</v>
      </c>
      <c r="U1804">
        <v>-0.13267642082213599</v>
      </c>
    </row>
    <row r="1805" spans="1:21" x14ac:dyDescent="0.3">
      <c r="A1805" s="1" t="s">
        <v>15</v>
      </c>
      <c r="B1805" s="1" t="s">
        <v>131</v>
      </c>
      <c r="C1805" s="2">
        <v>45074</v>
      </c>
      <c r="D1805" s="1" t="s">
        <v>59</v>
      </c>
      <c r="E1805" s="1" t="s">
        <v>18</v>
      </c>
      <c r="F1805">
        <v>8086.27</v>
      </c>
      <c r="G1805">
        <v>6</v>
      </c>
      <c r="H1805" s="1" t="s">
        <v>31</v>
      </c>
      <c r="I1805">
        <v>3763.26</v>
      </c>
      <c r="J1805">
        <v>4102.72</v>
      </c>
      <c r="K1805" s="1" t="s">
        <v>26</v>
      </c>
      <c r="L1805">
        <v>0.11</v>
      </c>
      <c r="M1805" s="1" t="s">
        <v>27</v>
      </c>
      <c r="N1805" s="1" t="s">
        <v>33</v>
      </c>
      <c r="O1805" s="1" t="s">
        <v>77</v>
      </c>
      <c r="P1805">
        <v>22579.56</v>
      </c>
      <c r="Q1805">
        <v>2023</v>
      </c>
      <c r="R1805">
        <v>21908.524799999999</v>
      </c>
      <c r="S1805">
        <v>-671.03520000000208</v>
      </c>
      <c r="T1805" s="1" t="s">
        <v>164</v>
      </c>
      <c r="U1805">
        <v>-3.0628954077273202E-2</v>
      </c>
    </row>
    <row r="1806" spans="1:21" x14ac:dyDescent="0.3">
      <c r="A1806" s="1" t="s">
        <v>15</v>
      </c>
      <c r="B1806" s="1" t="s">
        <v>102</v>
      </c>
      <c r="C1806" s="2">
        <v>45074</v>
      </c>
      <c r="D1806" s="1" t="s">
        <v>36</v>
      </c>
      <c r="E1806" s="1" t="s">
        <v>44</v>
      </c>
      <c r="F1806">
        <v>2222.62</v>
      </c>
      <c r="G1806">
        <v>35</v>
      </c>
      <c r="H1806" s="1" t="s">
        <v>37</v>
      </c>
      <c r="I1806">
        <v>4867.6400000000003</v>
      </c>
      <c r="J1806">
        <v>5287.05</v>
      </c>
      <c r="K1806" s="1" t="s">
        <v>20</v>
      </c>
      <c r="L1806">
        <v>0.28000000000000003</v>
      </c>
      <c r="M1806" s="1" t="s">
        <v>27</v>
      </c>
      <c r="N1806" s="1" t="s">
        <v>22</v>
      </c>
      <c r="O1806" s="1" t="s">
        <v>71</v>
      </c>
      <c r="P1806">
        <v>170367.40000000002</v>
      </c>
      <c r="Q1806">
        <v>2023</v>
      </c>
      <c r="R1806">
        <v>133233.66</v>
      </c>
      <c r="S1806">
        <v>-37133.74000000002</v>
      </c>
      <c r="T1806" s="1" t="s">
        <v>164</v>
      </c>
      <c r="U1806">
        <v>-0.27871140070759898</v>
      </c>
    </row>
    <row r="1807" spans="1:21" x14ac:dyDescent="0.3">
      <c r="A1807" s="1" t="s">
        <v>15</v>
      </c>
      <c r="B1807" s="1" t="s">
        <v>152</v>
      </c>
      <c r="C1807" s="2">
        <v>45074</v>
      </c>
      <c r="D1807" s="1" t="s">
        <v>59</v>
      </c>
      <c r="E1807" s="1" t="s">
        <v>44</v>
      </c>
      <c r="F1807">
        <v>6917.45</v>
      </c>
      <c r="G1807">
        <v>28</v>
      </c>
      <c r="H1807" s="1" t="s">
        <v>31</v>
      </c>
      <c r="I1807">
        <v>3907.86</v>
      </c>
      <c r="J1807">
        <v>4205.37</v>
      </c>
      <c r="K1807" s="1" t="s">
        <v>26</v>
      </c>
      <c r="L1807">
        <v>0.09</v>
      </c>
      <c r="M1807" s="1" t="s">
        <v>27</v>
      </c>
      <c r="N1807" s="1" t="s">
        <v>22</v>
      </c>
      <c r="O1807" s="1" t="s">
        <v>60</v>
      </c>
      <c r="P1807">
        <v>109420.08</v>
      </c>
      <c r="Q1807">
        <v>2023</v>
      </c>
      <c r="R1807">
        <v>107152.8276</v>
      </c>
      <c r="S1807">
        <v>-2267.2523999999976</v>
      </c>
      <c r="T1807" s="1" t="s">
        <v>164</v>
      </c>
      <c r="U1807">
        <v>-2.1159053389273302E-2</v>
      </c>
    </row>
    <row r="1808" spans="1:21" x14ac:dyDescent="0.3">
      <c r="A1808" s="1" t="s">
        <v>15</v>
      </c>
      <c r="B1808" s="1" t="s">
        <v>113</v>
      </c>
      <c r="C1808" s="2">
        <v>45074</v>
      </c>
      <c r="D1808" s="1" t="s">
        <v>43</v>
      </c>
      <c r="E1808" s="1" t="s">
        <v>18</v>
      </c>
      <c r="F1808">
        <v>8109.33</v>
      </c>
      <c r="G1808">
        <v>11</v>
      </c>
      <c r="H1808" s="1" t="s">
        <v>57</v>
      </c>
      <c r="I1808">
        <v>4562.58</v>
      </c>
      <c r="J1808">
        <v>4925.17</v>
      </c>
      <c r="K1808" s="1" t="s">
        <v>26</v>
      </c>
      <c r="L1808">
        <v>0.23</v>
      </c>
      <c r="M1808" s="1" t="s">
        <v>21</v>
      </c>
      <c r="N1808" s="1" t="s">
        <v>33</v>
      </c>
      <c r="O1808" s="1" t="s">
        <v>62</v>
      </c>
      <c r="P1808">
        <v>50188.38</v>
      </c>
      <c r="Q1808">
        <v>2023</v>
      </c>
      <c r="R1808">
        <v>41716.189900000005</v>
      </c>
      <c r="S1808">
        <v>-8472.1900999999925</v>
      </c>
      <c r="T1808" s="1" t="s">
        <v>164</v>
      </c>
      <c r="U1808">
        <v>-0.20309117683827599</v>
      </c>
    </row>
    <row r="1809" spans="1:21" x14ac:dyDescent="0.3">
      <c r="A1809" s="1" t="s">
        <v>15</v>
      </c>
      <c r="B1809" s="1" t="s">
        <v>143</v>
      </c>
      <c r="C1809" s="2">
        <v>45075</v>
      </c>
      <c r="D1809" s="1" t="s">
        <v>17</v>
      </c>
      <c r="E1809" s="1" t="s">
        <v>18</v>
      </c>
      <c r="F1809">
        <v>4153.18</v>
      </c>
      <c r="G1809">
        <v>40</v>
      </c>
      <c r="H1809" s="1" t="s">
        <v>31</v>
      </c>
      <c r="I1809">
        <v>959.73</v>
      </c>
      <c r="J1809">
        <v>1111.4100000000001</v>
      </c>
      <c r="K1809" s="1" t="s">
        <v>26</v>
      </c>
      <c r="L1809">
        <v>0.23</v>
      </c>
      <c r="M1809" s="1" t="s">
        <v>32</v>
      </c>
      <c r="N1809" s="1" t="s">
        <v>22</v>
      </c>
      <c r="O1809" s="1" t="s">
        <v>23</v>
      </c>
      <c r="P1809">
        <v>38389.199999999997</v>
      </c>
      <c r="Q1809">
        <v>2023</v>
      </c>
      <c r="R1809">
        <v>34231.428</v>
      </c>
      <c r="S1809">
        <v>-4157.7719999999972</v>
      </c>
      <c r="T1809" s="1" t="s">
        <v>164</v>
      </c>
      <c r="U1809">
        <v>-0.121460664743522</v>
      </c>
    </row>
    <row r="1810" spans="1:21" x14ac:dyDescent="0.3">
      <c r="A1810" s="1" t="s">
        <v>15</v>
      </c>
      <c r="B1810" s="1" t="s">
        <v>29</v>
      </c>
      <c r="C1810" s="2">
        <v>45075</v>
      </c>
      <c r="D1810" s="1" t="s">
        <v>25</v>
      </c>
      <c r="E1810" s="1" t="s">
        <v>30</v>
      </c>
      <c r="F1810">
        <v>1108.74</v>
      </c>
      <c r="G1810">
        <v>14</v>
      </c>
      <c r="H1810" s="1" t="s">
        <v>31</v>
      </c>
      <c r="I1810">
        <v>3796.79</v>
      </c>
      <c r="J1810">
        <v>3947.5</v>
      </c>
      <c r="K1810" s="1" t="s">
        <v>20</v>
      </c>
      <c r="L1810">
        <v>0.24</v>
      </c>
      <c r="M1810" s="1" t="s">
        <v>32</v>
      </c>
      <c r="N1810" s="1" t="s">
        <v>22</v>
      </c>
      <c r="O1810" s="1" t="s">
        <v>92</v>
      </c>
      <c r="P1810">
        <v>53155.06</v>
      </c>
      <c r="Q1810">
        <v>2023</v>
      </c>
      <c r="R1810">
        <v>42001.4</v>
      </c>
      <c r="S1810">
        <v>-11153.659999999996</v>
      </c>
      <c r="T1810" s="1" t="s">
        <v>164</v>
      </c>
      <c r="U1810">
        <v>-0.265554481517283</v>
      </c>
    </row>
    <row r="1811" spans="1:21" x14ac:dyDescent="0.3">
      <c r="A1811" s="1" t="s">
        <v>15</v>
      </c>
      <c r="B1811" s="1" t="s">
        <v>65</v>
      </c>
      <c r="C1811" s="2">
        <v>45075</v>
      </c>
      <c r="D1811" s="1" t="s">
        <v>59</v>
      </c>
      <c r="E1811" s="1" t="s">
        <v>18</v>
      </c>
      <c r="F1811">
        <v>4494.8</v>
      </c>
      <c r="G1811">
        <v>30</v>
      </c>
      <c r="H1811" s="1" t="s">
        <v>37</v>
      </c>
      <c r="I1811">
        <v>300.01</v>
      </c>
      <c r="J1811">
        <v>477.68</v>
      </c>
      <c r="K1811" s="1" t="s">
        <v>26</v>
      </c>
      <c r="L1811">
        <v>0.11</v>
      </c>
      <c r="M1811" s="1" t="s">
        <v>32</v>
      </c>
      <c r="N1811" s="1" t="s">
        <v>33</v>
      </c>
      <c r="O1811" s="1" t="s">
        <v>77</v>
      </c>
      <c r="P1811">
        <v>9000.2999999999993</v>
      </c>
      <c r="Q1811">
        <v>2023</v>
      </c>
      <c r="R1811">
        <v>12754.056</v>
      </c>
      <c r="S1811">
        <v>3753.7560000000012</v>
      </c>
      <c r="T1811" s="1" t="s">
        <v>164</v>
      </c>
      <c r="U1811">
        <v>0.29431860735126197</v>
      </c>
    </row>
    <row r="1812" spans="1:21" x14ac:dyDescent="0.3">
      <c r="A1812" s="1" t="s">
        <v>15</v>
      </c>
      <c r="B1812" s="1" t="s">
        <v>51</v>
      </c>
      <c r="C1812" s="2">
        <v>45076</v>
      </c>
      <c r="D1812" s="1" t="s">
        <v>36</v>
      </c>
      <c r="E1812" s="1" t="s">
        <v>18</v>
      </c>
      <c r="F1812">
        <v>6810.35</v>
      </c>
      <c r="G1812">
        <v>17</v>
      </c>
      <c r="H1812" s="1" t="s">
        <v>31</v>
      </c>
      <c r="I1812">
        <v>4024.76</v>
      </c>
      <c r="J1812">
        <v>4420.1499999999996</v>
      </c>
      <c r="K1812" s="1" t="s">
        <v>20</v>
      </c>
      <c r="L1812">
        <v>0.04</v>
      </c>
      <c r="M1812" s="1" t="s">
        <v>21</v>
      </c>
      <c r="N1812" s="1" t="s">
        <v>22</v>
      </c>
      <c r="O1812" s="1" t="s">
        <v>115</v>
      </c>
      <c r="P1812">
        <v>68420.92</v>
      </c>
      <c r="Q1812">
        <v>2023</v>
      </c>
      <c r="R1812">
        <v>72136.847999999984</v>
      </c>
      <c r="S1812">
        <v>3715.9279999999853</v>
      </c>
      <c r="T1812" s="1" t="s">
        <v>164</v>
      </c>
      <c r="U1812">
        <v>5.1512203582834502E-2</v>
      </c>
    </row>
    <row r="1813" spans="1:21" x14ac:dyDescent="0.3">
      <c r="A1813" s="1" t="s">
        <v>15</v>
      </c>
      <c r="B1813" s="1" t="s">
        <v>101</v>
      </c>
      <c r="C1813" s="2">
        <v>45076</v>
      </c>
      <c r="D1813" s="1" t="s">
        <v>59</v>
      </c>
      <c r="E1813" s="1" t="s">
        <v>30</v>
      </c>
      <c r="F1813">
        <v>4284.03</v>
      </c>
      <c r="G1813">
        <v>47</v>
      </c>
      <c r="H1813" s="1" t="s">
        <v>19</v>
      </c>
      <c r="I1813">
        <v>1656.82</v>
      </c>
      <c r="J1813">
        <v>1750.38</v>
      </c>
      <c r="K1813" s="1" t="s">
        <v>26</v>
      </c>
      <c r="L1813">
        <v>0.21</v>
      </c>
      <c r="M1813" s="1" t="s">
        <v>27</v>
      </c>
      <c r="N1813" s="1" t="s">
        <v>22</v>
      </c>
      <c r="O1813" s="1" t="s">
        <v>86</v>
      </c>
      <c r="P1813">
        <v>77870.539999999994</v>
      </c>
      <c r="Q1813">
        <v>2023</v>
      </c>
      <c r="R1813">
        <v>64991.609400000001</v>
      </c>
      <c r="S1813">
        <v>-12878.930599999992</v>
      </c>
      <c r="T1813" s="1" t="s">
        <v>164</v>
      </c>
      <c r="U1813">
        <v>-0.19816297394229501</v>
      </c>
    </row>
    <row r="1814" spans="1:21" x14ac:dyDescent="0.3">
      <c r="A1814" s="1" t="s">
        <v>15</v>
      </c>
      <c r="B1814" s="1" t="s">
        <v>51</v>
      </c>
      <c r="C1814" s="2">
        <v>45076</v>
      </c>
      <c r="D1814" s="1" t="s">
        <v>17</v>
      </c>
      <c r="E1814" s="1" t="s">
        <v>18</v>
      </c>
      <c r="F1814">
        <v>3737.17</v>
      </c>
      <c r="G1814">
        <v>44</v>
      </c>
      <c r="H1814" s="1" t="s">
        <v>31</v>
      </c>
      <c r="I1814">
        <v>1393.58</v>
      </c>
      <c r="J1814">
        <v>1533.09</v>
      </c>
      <c r="K1814" s="1" t="s">
        <v>20</v>
      </c>
      <c r="L1814">
        <v>0.24</v>
      </c>
      <c r="M1814" s="1" t="s">
        <v>27</v>
      </c>
      <c r="N1814" s="1" t="s">
        <v>33</v>
      </c>
      <c r="O1814" s="1" t="s">
        <v>23</v>
      </c>
      <c r="P1814">
        <v>61317.52</v>
      </c>
      <c r="Q1814">
        <v>2023</v>
      </c>
      <c r="R1814">
        <v>51266.529599999994</v>
      </c>
      <c r="S1814">
        <v>-10050.990400000002</v>
      </c>
      <c r="T1814" s="1" t="s">
        <v>164</v>
      </c>
      <c r="U1814">
        <v>-0.196053652908076</v>
      </c>
    </row>
    <row r="1815" spans="1:21" x14ac:dyDescent="0.3">
      <c r="A1815" s="1" t="s">
        <v>15</v>
      </c>
      <c r="B1815" s="1" t="s">
        <v>35</v>
      </c>
      <c r="C1815" s="2">
        <v>45077</v>
      </c>
      <c r="D1815" s="1" t="s">
        <v>36</v>
      </c>
      <c r="E1815" s="1" t="s">
        <v>30</v>
      </c>
      <c r="F1815">
        <v>2579.63</v>
      </c>
      <c r="G1815">
        <v>8</v>
      </c>
      <c r="H1815" s="1" t="s">
        <v>19</v>
      </c>
      <c r="I1815">
        <v>816.54</v>
      </c>
      <c r="J1815">
        <v>1191.9000000000001</v>
      </c>
      <c r="K1815" s="1" t="s">
        <v>26</v>
      </c>
      <c r="L1815">
        <v>0.03</v>
      </c>
      <c r="M1815" s="1" t="s">
        <v>21</v>
      </c>
      <c r="N1815" s="1" t="s">
        <v>33</v>
      </c>
      <c r="O1815" s="1" t="s">
        <v>38</v>
      </c>
      <c r="P1815">
        <v>6532.32</v>
      </c>
      <c r="Q1815">
        <v>2023</v>
      </c>
      <c r="R1815">
        <v>9249.1440000000002</v>
      </c>
      <c r="S1815">
        <v>2716.8240000000005</v>
      </c>
      <c r="T1815" s="1" t="s">
        <v>164</v>
      </c>
      <c r="U1815">
        <v>0.29373788536539203</v>
      </c>
    </row>
    <row r="1816" spans="1:21" x14ac:dyDescent="0.3">
      <c r="A1816" s="1" t="s">
        <v>15</v>
      </c>
      <c r="B1816" s="1" t="s">
        <v>87</v>
      </c>
      <c r="C1816" s="2">
        <v>45078</v>
      </c>
      <c r="D1816" s="1" t="s">
        <v>36</v>
      </c>
      <c r="E1816" s="1" t="s">
        <v>44</v>
      </c>
      <c r="F1816">
        <v>8913.1299999999992</v>
      </c>
      <c r="G1816">
        <v>9</v>
      </c>
      <c r="H1816" s="1" t="s">
        <v>37</v>
      </c>
      <c r="I1816">
        <v>2263.65</v>
      </c>
      <c r="J1816">
        <v>2558.9499999999998</v>
      </c>
      <c r="K1816" s="1" t="s">
        <v>26</v>
      </c>
      <c r="L1816">
        <v>0.03</v>
      </c>
      <c r="M1816" s="1" t="s">
        <v>21</v>
      </c>
      <c r="N1816" s="1" t="s">
        <v>22</v>
      </c>
      <c r="O1816" s="1" t="s">
        <v>71</v>
      </c>
      <c r="P1816">
        <v>20372.850000000002</v>
      </c>
      <c r="Q1816">
        <v>2023</v>
      </c>
      <c r="R1816">
        <v>22339.6335</v>
      </c>
      <c r="S1816">
        <v>1966.7834999999977</v>
      </c>
      <c r="T1816" s="1" t="s">
        <v>164</v>
      </c>
      <c r="U1816">
        <v>8.8040096987267003E-2</v>
      </c>
    </row>
    <row r="1817" spans="1:21" x14ac:dyDescent="0.3">
      <c r="A1817" s="1" t="s">
        <v>15</v>
      </c>
      <c r="B1817" s="1" t="s">
        <v>152</v>
      </c>
      <c r="C1817" s="2">
        <v>45078</v>
      </c>
      <c r="D1817" s="1" t="s">
        <v>43</v>
      </c>
      <c r="E1817" s="1" t="s">
        <v>44</v>
      </c>
      <c r="F1817">
        <v>3109.03</v>
      </c>
      <c r="G1817">
        <v>38</v>
      </c>
      <c r="H1817" s="1" t="s">
        <v>19</v>
      </c>
      <c r="I1817">
        <v>3637.25</v>
      </c>
      <c r="J1817">
        <v>4096.96</v>
      </c>
      <c r="K1817" s="1" t="s">
        <v>20</v>
      </c>
      <c r="L1817">
        <v>0.09</v>
      </c>
      <c r="M1817" s="1" t="s">
        <v>32</v>
      </c>
      <c r="N1817" s="1" t="s">
        <v>22</v>
      </c>
      <c r="O1817" s="1" t="s">
        <v>45</v>
      </c>
      <c r="P1817">
        <v>138215.5</v>
      </c>
      <c r="Q1817">
        <v>2023</v>
      </c>
      <c r="R1817">
        <v>141672.87680000003</v>
      </c>
      <c r="S1817">
        <v>3457.3768000000273</v>
      </c>
      <c r="T1817" s="1" t="s">
        <v>164</v>
      </c>
      <c r="U1817">
        <v>2.4403942928898199E-2</v>
      </c>
    </row>
    <row r="1818" spans="1:21" x14ac:dyDescent="0.3">
      <c r="A1818" s="1" t="s">
        <v>15</v>
      </c>
      <c r="B1818" s="1" t="s">
        <v>42</v>
      </c>
      <c r="C1818" s="2">
        <v>45078</v>
      </c>
      <c r="D1818" s="1" t="s">
        <v>59</v>
      </c>
      <c r="E1818" s="1" t="s">
        <v>30</v>
      </c>
      <c r="F1818">
        <v>2496.02</v>
      </c>
      <c r="G1818">
        <v>2</v>
      </c>
      <c r="H1818" s="1" t="s">
        <v>37</v>
      </c>
      <c r="I1818">
        <v>2038.4</v>
      </c>
      <c r="J1818">
        <v>2073.3200000000002</v>
      </c>
      <c r="K1818" s="1" t="s">
        <v>26</v>
      </c>
      <c r="L1818">
        <v>0.16</v>
      </c>
      <c r="M1818" s="1" t="s">
        <v>21</v>
      </c>
      <c r="N1818" s="1" t="s">
        <v>33</v>
      </c>
      <c r="O1818" s="1" t="s">
        <v>86</v>
      </c>
      <c r="P1818">
        <v>4076.8</v>
      </c>
      <c r="Q1818">
        <v>2023</v>
      </c>
      <c r="R1818">
        <v>3483.1776</v>
      </c>
      <c r="S1818">
        <v>-593.6224000000002</v>
      </c>
      <c r="T1818" s="1" t="s">
        <v>164</v>
      </c>
      <c r="U1818">
        <v>-0.170425533283172</v>
      </c>
    </row>
    <row r="1819" spans="1:21" x14ac:dyDescent="0.3">
      <c r="A1819" s="1" t="s">
        <v>15</v>
      </c>
      <c r="B1819" s="1" t="s">
        <v>131</v>
      </c>
      <c r="C1819" s="2">
        <v>45078</v>
      </c>
      <c r="D1819" s="1" t="s">
        <v>43</v>
      </c>
      <c r="E1819" s="1" t="s">
        <v>30</v>
      </c>
      <c r="F1819">
        <v>5105.78</v>
      </c>
      <c r="G1819">
        <v>23</v>
      </c>
      <c r="H1819" s="1" t="s">
        <v>31</v>
      </c>
      <c r="I1819">
        <v>3756.06</v>
      </c>
      <c r="J1819">
        <v>4255.7299999999996</v>
      </c>
      <c r="K1819" s="1" t="s">
        <v>20</v>
      </c>
      <c r="L1819">
        <v>0.04</v>
      </c>
      <c r="M1819" s="1" t="s">
        <v>21</v>
      </c>
      <c r="N1819" s="1" t="s">
        <v>22</v>
      </c>
      <c r="O1819" s="1" t="s">
        <v>54</v>
      </c>
      <c r="P1819">
        <v>86389.38</v>
      </c>
      <c r="Q1819">
        <v>2023</v>
      </c>
      <c r="R1819">
        <v>93966.518399999986</v>
      </c>
      <c r="S1819">
        <v>7577.1383999999816</v>
      </c>
      <c r="T1819" s="1" t="s">
        <v>164</v>
      </c>
      <c r="U1819">
        <v>8.0636577038486798E-2</v>
      </c>
    </row>
    <row r="1820" spans="1:21" x14ac:dyDescent="0.3">
      <c r="A1820" s="1" t="s">
        <v>15</v>
      </c>
      <c r="B1820" s="1" t="s">
        <v>89</v>
      </c>
      <c r="C1820" s="2">
        <v>45078</v>
      </c>
      <c r="D1820" s="1" t="s">
        <v>25</v>
      </c>
      <c r="E1820" s="1" t="s">
        <v>44</v>
      </c>
      <c r="F1820">
        <v>2985.46</v>
      </c>
      <c r="G1820">
        <v>16</v>
      </c>
      <c r="H1820" s="1" t="s">
        <v>31</v>
      </c>
      <c r="I1820">
        <v>1222.1500000000001</v>
      </c>
      <c r="J1820">
        <v>1284.3599999999999</v>
      </c>
      <c r="K1820" s="1" t="s">
        <v>20</v>
      </c>
      <c r="L1820">
        <v>0.03</v>
      </c>
      <c r="M1820" s="1" t="s">
        <v>27</v>
      </c>
      <c r="N1820" s="1" t="s">
        <v>33</v>
      </c>
      <c r="O1820" s="1" t="s">
        <v>47</v>
      </c>
      <c r="P1820">
        <v>19554.400000000001</v>
      </c>
      <c r="Q1820">
        <v>2023</v>
      </c>
      <c r="R1820">
        <v>19933.267199999998</v>
      </c>
      <c r="S1820">
        <v>378.86719999999696</v>
      </c>
      <c r="T1820" s="1" t="s">
        <v>164</v>
      </c>
      <c r="U1820">
        <v>1.9006778778342798E-2</v>
      </c>
    </row>
    <row r="1821" spans="1:21" x14ac:dyDescent="0.3">
      <c r="A1821" s="1" t="s">
        <v>15</v>
      </c>
      <c r="B1821" s="1" t="s">
        <v>53</v>
      </c>
      <c r="C1821" s="2">
        <v>45079</v>
      </c>
      <c r="D1821" s="1" t="s">
        <v>43</v>
      </c>
      <c r="E1821" s="1" t="s">
        <v>44</v>
      </c>
      <c r="F1821">
        <v>2495.5700000000002</v>
      </c>
      <c r="G1821">
        <v>3</v>
      </c>
      <c r="H1821" s="1" t="s">
        <v>37</v>
      </c>
      <c r="I1821">
        <v>1595.35</v>
      </c>
      <c r="J1821">
        <v>1625.71</v>
      </c>
      <c r="K1821" s="1" t="s">
        <v>26</v>
      </c>
      <c r="L1821">
        <v>0.27</v>
      </c>
      <c r="M1821" s="1" t="s">
        <v>21</v>
      </c>
      <c r="N1821" s="1" t="s">
        <v>22</v>
      </c>
      <c r="O1821" s="1" t="s">
        <v>45</v>
      </c>
      <c r="P1821">
        <v>4786.0499999999993</v>
      </c>
      <c r="Q1821">
        <v>2023</v>
      </c>
      <c r="R1821">
        <v>3560.3049000000001</v>
      </c>
      <c r="S1821">
        <v>-1225.7450999999992</v>
      </c>
      <c r="T1821" s="1" t="s">
        <v>164</v>
      </c>
      <c r="U1821">
        <v>-0.34428093504014201</v>
      </c>
    </row>
    <row r="1822" spans="1:21" x14ac:dyDescent="0.3">
      <c r="A1822" s="1" t="s">
        <v>15</v>
      </c>
      <c r="B1822" s="1" t="s">
        <v>74</v>
      </c>
      <c r="C1822" s="2">
        <v>45079</v>
      </c>
      <c r="D1822" s="1" t="s">
        <v>43</v>
      </c>
      <c r="E1822" s="1" t="s">
        <v>30</v>
      </c>
      <c r="F1822">
        <v>9653.65</v>
      </c>
      <c r="G1822">
        <v>12</v>
      </c>
      <c r="H1822" s="1" t="s">
        <v>37</v>
      </c>
      <c r="I1822">
        <v>1878.3</v>
      </c>
      <c r="J1822">
        <v>2087.4499999999998</v>
      </c>
      <c r="K1822" s="1" t="s">
        <v>26</v>
      </c>
      <c r="L1822">
        <v>0.05</v>
      </c>
      <c r="M1822" s="1" t="s">
        <v>32</v>
      </c>
      <c r="N1822" s="1" t="s">
        <v>33</v>
      </c>
      <c r="O1822" s="1" t="s">
        <v>54</v>
      </c>
      <c r="P1822">
        <v>22539.599999999999</v>
      </c>
      <c r="Q1822">
        <v>2023</v>
      </c>
      <c r="R1822">
        <v>23796.929999999997</v>
      </c>
      <c r="S1822">
        <v>1257.3299999999981</v>
      </c>
      <c r="T1822" s="1" t="s">
        <v>164</v>
      </c>
      <c r="U1822">
        <v>5.2835806971739598E-2</v>
      </c>
    </row>
    <row r="1823" spans="1:21" x14ac:dyDescent="0.3">
      <c r="A1823" s="1" t="s">
        <v>15</v>
      </c>
      <c r="B1823" s="1" t="s">
        <v>97</v>
      </c>
      <c r="C1823" s="2">
        <v>45079</v>
      </c>
      <c r="D1823" s="1" t="s">
        <v>59</v>
      </c>
      <c r="E1823" s="1" t="s">
        <v>40</v>
      </c>
      <c r="F1823">
        <v>1799.77</v>
      </c>
      <c r="G1823">
        <v>2</v>
      </c>
      <c r="H1823" s="1" t="s">
        <v>31</v>
      </c>
      <c r="I1823">
        <v>3604.93</v>
      </c>
      <c r="J1823">
        <v>3830.71</v>
      </c>
      <c r="K1823" s="1" t="s">
        <v>20</v>
      </c>
      <c r="L1823">
        <v>0.12</v>
      </c>
      <c r="M1823" s="1" t="s">
        <v>27</v>
      </c>
      <c r="N1823" s="1" t="s">
        <v>22</v>
      </c>
      <c r="O1823" s="1" t="s">
        <v>90</v>
      </c>
      <c r="P1823">
        <v>7209.86</v>
      </c>
      <c r="Q1823">
        <v>2023</v>
      </c>
      <c r="R1823">
        <v>6742.0496000000003</v>
      </c>
      <c r="S1823">
        <v>-467.81039999999939</v>
      </c>
      <c r="T1823" s="1" t="s">
        <v>164</v>
      </c>
      <c r="U1823">
        <v>-6.9386970988762703E-2</v>
      </c>
    </row>
    <row r="1824" spans="1:21" x14ac:dyDescent="0.3">
      <c r="A1824" s="1" t="s">
        <v>15</v>
      </c>
      <c r="B1824" s="1" t="s">
        <v>147</v>
      </c>
      <c r="C1824" s="2">
        <v>45079</v>
      </c>
      <c r="D1824" s="1" t="s">
        <v>43</v>
      </c>
      <c r="E1824" s="1" t="s">
        <v>40</v>
      </c>
      <c r="F1824">
        <v>279.43</v>
      </c>
      <c r="G1824">
        <v>47</v>
      </c>
      <c r="H1824" s="1" t="s">
        <v>31</v>
      </c>
      <c r="I1824">
        <v>287.17</v>
      </c>
      <c r="J1824">
        <v>657.44</v>
      </c>
      <c r="K1824" s="1" t="s">
        <v>20</v>
      </c>
      <c r="L1824">
        <v>0.14000000000000001</v>
      </c>
      <c r="M1824" s="1" t="s">
        <v>27</v>
      </c>
      <c r="N1824" s="1" t="s">
        <v>33</v>
      </c>
      <c r="O1824" s="1" t="s">
        <v>99</v>
      </c>
      <c r="P1824">
        <v>13496.990000000002</v>
      </c>
      <c r="Q1824">
        <v>2023</v>
      </c>
      <c r="R1824">
        <v>26573.724800000004</v>
      </c>
      <c r="S1824">
        <v>13076.734800000002</v>
      </c>
      <c r="T1824" s="1" t="s">
        <v>164</v>
      </c>
      <c r="U1824">
        <v>0.49209265537362701</v>
      </c>
    </row>
    <row r="1825" spans="1:21" x14ac:dyDescent="0.3">
      <c r="A1825" s="1" t="s">
        <v>15</v>
      </c>
      <c r="B1825" s="1" t="s">
        <v>74</v>
      </c>
      <c r="C1825" s="2">
        <v>45079</v>
      </c>
      <c r="D1825" s="1" t="s">
        <v>17</v>
      </c>
      <c r="E1825" s="1" t="s">
        <v>44</v>
      </c>
      <c r="F1825">
        <v>2046.87</v>
      </c>
      <c r="G1825">
        <v>22</v>
      </c>
      <c r="H1825" s="1" t="s">
        <v>57</v>
      </c>
      <c r="I1825">
        <v>3462.61</v>
      </c>
      <c r="J1825">
        <v>3672.89</v>
      </c>
      <c r="K1825" s="1" t="s">
        <v>20</v>
      </c>
      <c r="L1825">
        <v>0.27</v>
      </c>
      <c r="M1825" s="1" t="s">
        <v>27</v>
      </c>
      <c r="N1825" s="1" t="s">
        <v>22</v>
      </c>
      <c r="O1825" s="1" t="s">
        <v>49</v>
      </c>
      <c r="P1825">
        <v>76177.42</v>
      </c>
      <c r="Q1825">
        <v>2023</v>
      </c>
      <c r="R1825">
        <v>58986.613400000002</v>
      </c>
      <c r="S1825">
        <v>-17190.806599999996</v>
      </c>
      <c r="T1825" s="1" t="s">
        <v>164</v>
      </c>
      <c r="U1825">
        <v>-0.29143572768664799</v>
      </c>
    </row>
    <row r="1826" spans="1:21" x14ac:dyDescent="0.3">
      <c r="A1826" s="1" t="s">
        <v>15</v>
      </c>
      <c r="B1826" s="1" t="s">
        <v>65</v>
      </c>
      <c r="C1826" s="2">
        <v>45080</v>
      </c>
      <c r="D1826" s="1" t="s">
        <v>36</v>
      </c>
      <c r="E1826" s="1" t="s">
        <v>40</v>
      </c>
      <c r="F1826">
        <v>6581.04</v>
      </c>
      <c r="G1826">
        <v>42</v>
      </c>
      <c r="H1826" s="1" t="s">
        <v>19</v>
      </c>
      <c r="I1826">
        <v>1434.2</v>
      </c>
      <c r="J1826">
        <v>1482.88</v>
      </c>
      <c r="K1826" s="1" t="s">
        <v>26</v>
      </c>
      <c r="L1826">
        <v>0.28000000000000003</v>
      </c>
      <c r="M1826" s="1" t="s">
        <v>27</v>
      </c>
      <c r="N1826" s="1" t="s">
        <v>33</v>
      </c>
      <c r="O1826" s="1" t="s">
        <v>41</v>
      </c>
      <c r="P1826">
        <v>60236.4</v>
      </c>
      <c r="Q1826">
        <v>2023</v>
      </c>
      <c r="R1826">
        <v>44842.2912</v>
      </c>
      <c r="S1826">
        <v>-15394.108800000002</v>
      </c>
      <c r="T1826" s="1" t="s">
        <v>164</v>
      </c>
      <c r="U1826">
        <v>-0.34329443005802501</v>
      </c>
    </row>
    <row r="1827" spans="1:21" x14ac:dyDescent="0.3">
      <c r="A1827" s="1" t="s">
        <v>15</v>
      </c>
      <c r="B1827" s="1" t="s">
        <v>72</v>
      </c>
      <c r="C1827" s="2">
        <v>45080</v>
      </c>
      <c r="D1827" s="1" t="s">
        <v>43</v>
      </c>
      <c r="E1827" s="1" t="s">
        <v>30</v>
      </c>
      <c r="F1827">
        <v>3099.02</v>
      </c>
      <c r="G1827">
        <v>8</v>
      </c>
      <c r="H1827" s="1" t="s">
        <v>19</v>
      </c>
      <c r="I1827">
        <v>3380.14</v>
      </c>
      <c r="J1827">
        <v>3609.34</v>
      </c>
      <c r="K1827" s="1" t="s">
        <v>20</v>
      </c>
      <c r="L1827">
        <v>0.09</v>
      </c>
      <c r="M1827" s="1" t="s">
        <v>27</v>
      </c>
      <c r="N1827" s="1" t="s">
        <v>22</v>
      </c>
      <c r="O1827" s="1" t="s">
        <v>54</v>
      </c>
      <c r="P1827">
        <v>27041.119999999999</v>
      </c>
      <c r="Q1827">
        <v>2023</v>
      </c>
      <c r="R1827">
        <v>26275.995200000001</v>
      </c>
      <c r="S1827">
        <v>-765.12479999999778</v>
      </c>
      <c r="T1827" s="1" t="s">
        <v>164</v>
      </c>
      <c r="U1827">
        <v>-2.91187752995174E-2</v>
      </c>
    </row>
    <row r="1828" spans="1:21" x14ac:dyDescent="0.3">
      <c r="A1828" s="1" t="s">
        <v>15</v>
      </c>
      <c r="B1828" s="1" t="s">
        <v>55</v>
      </c>
      <c r="C1828" s="2">
        <v>45080</v>
      </c>
      <c r="D1828" s="1" t="s">
        <v>17</v>
      </c>
      <c r="E1828" s="1" t="s">
        <v>18</v>
      </c>
      <c r="F1828">
        <v>2132.8000000000002</v>
      </c>
      <c r="G1828">
        <v>41</v>
      </c>
      <c r="H1828" s="1" t="s">
        <v>31</v>
      </c>
      <c r="I1828">
        <v>2055.4899999999998</v>
      </c>
      <c r="J1828">
        <v>2441.46</v>
      </c>
      <c r="K1828" s="1" t="s">
        <v>26</v>
      </c>
      <c r="L1828">
        <v>0.24</v>
      </c>
      <c r="M1828" s="1" t="s">
        <v>27</v>
      </c>
      <c r="N1828" s="1" t="s">
        <v>22</v>
      </c>
      <c r="O1828" s="1" t="s">
        <v>23</v>
      </c>
      <c r="P1828">
        <v>84275.09</v>
      </c>
      <c r="Q1828">
        <v>2023</v>
      </c>
      <c r="R1828">
        <v>76075.893599999996</v>
      </c>
      <c r="S1828">
        <v>-8199.1964000000007</v>
      </c>
      <c r="T1828" s="1" t="s">
        <v>164</v>
      </c>
      <c r="U1828">
        <v>-0.10777653750754</v>
      </c>
    </row>
    <row r="1829" spans="1:21" x14ac:dyDescent="0.3">
      <c r="A1829" s="1" t="s">
        <v>15</v>
      </c>
      <c r="B1829" s="1" t="s">
        <v>55</v>
      </c>
      <c r="C1829" s="2">
        <v>45080</v>
      </c>
      <c r="D1829" s="1" t="s">
        <v>36</v>
      </c>
      <c r="E1829" s="1" t="s">
        <v>30</v>
      </c>
      <c r="F1829">
        <v>6106.64</v>
      </c>
      <c r="G1829">
        <v>47</v>
      </c>
      <c r="H1829" s="1" t="s">
        <v>31</v>
      </c>
      <c r="I1829">
        <v>85.35</v>
      </c>
      <c r="J1829">
        <v>360.54</v>
      </c>
      <c r="K1829" s="1" t="s">
        <v>26</v>
      </c>
      <c r="L1829">
        <v>0.28000000000000003</v>
      </c>
      <c r="M1829" s="1" t="s">
        <v>21</v>
      </c>
      <c r="N1829" s="1" t="s">
        <v>22</v>
      </c>
      <c r="O1829" s="1" t="s">
        <v>38</v>
      </c>
      <c r="P1829">
        <v>4011.45</v>
      </c>
      <c r="Q1829">
        <v>2023</v>
      </c>
      <c r="R1829">
        <v>12200.6736</v>
      </c>
      <c r="S1829">
        <v>8189.2236000000003</v>
      </c>
      <c r="T1829" s="1" t="s">
        <v>164</v>
      </c>
      <c r="U1829">
        <v>0.67121077642795102</v>
      </c>
    </row>
    <row r="1830" spans="1:21" x14ac:dyDescent="0.3">
      <c r="A1830" s="1" t="s">
        <v>15</v>
      </c>
      <c r="B1830" s="1" t="s">
        <v>105</v>
      </c>
      <c r="C1830" s="2">
        <v>45080</v>
      </c>
      <c r="D1830" s="1" t="s">
        <v>36</v>
      </c>
      <c r="E1830" s="1" t="s">
        <v>40</v>
      </c>
      <c r="F1830">
        <v>5848.92</v>
      </c>
      <c r="G1830">
        <v>46</v>
      </c>
      <c r="H1830" s="1" t="s">
        <v>19</v>
      </c>
      <c r="I1830">
        <v>1023.5</v>
      </c>
      <c r="J1830">
        <v>1164.4100000000001</v>
      </c>
      <c r="K1830" s="1" t="s">
        <v>20</v>
      </c>
      <c r="L1830">
        <v>0.28000000000000003</v>
      </c>
      <c r="M1830" s="1" t="s">
        <v>27</v>
      </c>
      <c r="N1830" s="1" t="s">
        <v>33</v>
      </c>
      <c r="O1830" s="1" t="s">
        <v>41</v>
      </c>
      <c r="P1830">
        <v>47081</v>
      </c>
      <c r="Q1830">
        <v>2023</v>
      </c>
      <c r="R1830">
        <v>38565.2592</v>
      </c>
      <c r="S1830">
        <v>-8515.7407999999996</v>
      </c>
      <c r="T1830" s="1" t="s">
        <v>164</v>
      </c>
      <c r="U1830">
        <v>-0.220813783613828</v>
      </c>
    </row>
    <row r="1831" spans="1:21" x14ac:dyDescent="0.3">
      <c r="A1831" s="1" t="s">
        <v>15</v>
      </c>
      <c r="B1831" s="1" t="s">
        <v>64</v>
      </c>
      <c r="C1831" s="2">
        <v>45081</v>
      </c>
      <c r="D1831" s="1" t="s">
        <v>17</v>
      </c>
      <c r="E1831" s="1" t="s">
        <v>18</v>
      </c>
      <c r="F1831">
        <v>2265.2800000000002</v>
      </c>
      <c r="G1831">
        <v>22</v>
      </c>
      <c r="H1831" s="1" t="s">
        <v>37</v>
      </c>
      <c r="I1831">
        <v>1296.44</v>
      </c>
      <c r="J1831">
        <v>1751.24</v>
      </c>
      <c r="K1831" s="1" t="s">
        <v>26</v>
      </c>
      <c r="L1831">
        <v>0.22</v>
      </c>
      <c r="M1831" s="1" t="s">
        <v>21</v>
      </c>
      <c r="N1831" s="1" t="s">
        <v>22</v>
      </c>
      <c r="O1831" s="1" t="s">
        <v>23</v>
      </c>
      <c r="P1831">
        <v>28521.68</v>
      </c>
      <c r="Q1831">
        <v>2023</v>
      </c>
      <c r="R1831">
        <v>30051.278399999999</v>
      </c>
      <c r="S1831">
        <v>1529.5983999999989</v>
      </c>
      <c r="T1831" s="1" t="s">
        <v>164</v>
      </c>
      <c r="U1831">
        <v>5.0899611645140501E-2</v>
      </c>
    </row>
    <row r="1832" spans="1:21" x14ac:dyDescent="0.3">
      <c r="A1832" s="1" t="s">
        <v>15</v>
      </c>
      <c r="B1832" s="1" t="s">
        <v>117</v>
      </c>
      <c r="C1832" s="2">
        <v>45081</v>
      </c>
      <c r="D1832" s="1" t="s">
        <v>43</v>
      </c>
      <c r="E1832" s="1" t="s">
        <v>30</v>
      </c>
      <c r="F1832">
        <v>9019.51</v>
      </c>
      <c r="G1832">
        <v>14</v>
      </c>
      <c r="H1832" s="1" t="s">
        <v>31</v>
      </c>
      <c r="I1832">
        <v>2251.9499999999998</v>
      </c>
      <c r="J1832">
        <v>2626.32</v>
      </c>
      <c r="K1832" s="1" t="s">
        <v>20</v>
      </c>
      <c r="L1832">
        <v>0.21</v>
      </c>
      <c r="M1832" s="1" t="s">
        <v>27</v>
      </c>
      <c r="N1832" s="1" t="s">
        <v>22</v>
      </c>
      <c r="O1832" s="1" t="s">
        <v>54</v>
      </c>
      <c r="P1832">
        <v>31527.299999999996</v>
      </c>
      <c r="Q1832">
        <v>2023</v>
      </c>
      <c r="R1832">
        <v>29047.099200000004</v>
      </c>
      <c r="S1832">
        <v>-2480.2007999999914</v>
      </c>
      <c r="T1832" s="1" t="s">
        <v>164</v>
      </c>
      <c r="U1832">
        <v>-8.5385490059537203E-2</v>
      </c>
    </row>
    <row r="1833" spans="1:21" x14ac:dyDescent="0.3">
      <c r="A1833" s="1" t="s">
        <v>15</v>
      </c>
      <c r="B1833" s="1" t="s">
        <v>153</v>
      </c>
      <c r="C1833" s="2">
        <v>45082</v>
      </c>
      <c r="D1833" s="1" t="s">
        <v>25</v>
      </c>
      <c r="E1833" s="1" t="s">
        <v>44</v>
      </c>
      <c r="F1833">
        <v>3320.42</v>
      </c>
      <c r="G1833">
        <v>15</v>
      </c>
      <c r="H1833" s="1" t="s">
        <v>19</v>
      </c>
      <c r="I1833">
        <v>1719.47</v>
      </c>
      <c r="J1833">
        <v>1832.6</v>
      </c>
      <c r="K1833" s="1" t="s">
        <v>20</v>
      </c>
      <c r="L1833">
        <v>0.12</v>
      </c>
      <c r="M1833" s="1" t="s">
        <v>27</v>
      </c>
      <c r="N1833" s="1" t="s">
        <v>22</v>
      </c>
      <c r="O1833" s="1" t="s">
        <v>47</v>
      </c>
      <c r="P1833">
        <v>25792.05</v>
      </c>
      <c r="Q1833">
        <v>2023</v>
      </c>
      <c r="R1833">
        <v>24190.32</v>
      </c>
      <c r="S1833">
        <v>-1601.7299999999996</v>
      </c>
      <c r="T1833" s="1" t="s">
        <v>164</v>
      </c>
      <c r="U1833">
        <v>-6.6213675552865794E-2</v>
      </c>
    </row>
    <row r="1834" spans="1:21" x14ac:dyDescent="0.3">
      <c r="A1834" s="1" t="s">
        <v>15</v>
      </c>
      <c r="B1834" s="1" t="s">
        <v>154</v>
      </c>
      <c r="C1834" s="2">
        <v>45083</v>
      </c>
      <c r="D1834" s="1" t="s">
        <v>36</v>
      </c>
      <c r="E1834" s="1" t="s">
        <v>30</v>
      </c>
      <c r="F1834">
        <v>1982.07</v>
      </c>
      <c r="G1834">
        <v>34</v>
      </c>
      <c r="H1834" s="1" t="s">
        <v>31</v>
      </c>
      <c r="I1834">
        <v>1967.96</v>
      </c>
      <c r="J1834">
        <v>1993.4</v>
      </c>
      <c r="K1834" s="1" t="s">
        <v>20</v>
      </c>
      <c r="L1834">
        <v>0.15</v>
      </c>
      <c r="M1834" s="1" t="s">
        <v>27</v>
      </c>
      <c r="N1834" s="1" t="s">
        <v>22</v>
      </c>
      <c r="O1834" s="1" t="s">
        <v>38</v>
      </c>
      <c r="P1834">
        <v>66910.64</v>
      </c>
      <c r="Q1834">
        <v>2023</v>
      </c>
      <c r="R1834">
        <v>57609.26</v>
      </c>
      <c r="S1834">
        <v>-9301.3799999999974</v>
      </c>
      <c r="T1834" s="1" t="s">
        <v>164</v>
      </c>
      <c r="U1834">
        <v>-0.16145633531831499</v>
      </c>
    </row>
    <row r="1835" spans="1:21" x14ac:dyDescent="0.3">
      <c r="A1835" s="1" t="s">
        <v>15</v>
      </c>
      <c r="B1835" s="1" t="s">
        <v>100</v>
      </c>
      <c r="C1835" s="2">
        <v>45083</v>
      </c>
      <c r="D1835" s="1" t="s">
        <v>43</v>
      </c>
      <c r="E1835" s="1" t="s">
        <v>18</v>
      </c>
      <c r="F1835">
        <v>9442.65</v>
      </c>
      <c r="G1835">
        <v>20</v>
      </c>
      <c r="H1835" s="1" t="s">
        <v>57</v>
      </c>
      <c r="I1835">
        <v>3115.06</v>
      </c>
      <c r="J1835">
        <v>3565.58</v>
      </c>
      <c r="K1835" s="1" t="s">
        <v>20</v>
      </c>
      <c r="L1835">
        <v>0.3</v>
      </c>
      <c r="M1835" s="1" t="s">
        <v>27</v>
      </c>
      <c r="N1835" s="1" t="s">
        <v>33</v>
      </c>
      <c r="O1835" s="1" t="s">
        <v>62</v>
      </c>
      <c r="P1835">
        <v>62301.2</v>
      </c>
      <c r="Q1835">
        <v>2023</v>
      </c>
      <c r="R1835">
        <v>49918.12</v>
      </c>
      <c r="S1835">
        <v>-12383.079999999994</v>
      </c>
      <c r="T1835" s="1" t="s">
        <v>164</v>
      </c>
      <c r="U1835">
        <v>-0.24806783588805001</v>
      </c>
    </row>
    <row r="1836" spans="1:21" x14ac:dyDescent="0.3">
      <c r="A1836" s="1" t="s">
        <v>15</v>
      </c>
      <c r="B1836" s="1" t="s">
        <v>91</v>
      </c>
      <c r="C1836" s="2">
        <v>45083</v>
      </c>
      <c r="D1836" s="1" t="s">
        <v>43</v>
      </c>
      <c r="E1836" s="1" t="s">
        <v>30</v>
      </c>
      <c r="F1836">
        <v>3284.53</v>
      </c>
      <c r="G1836">
        <v>15</v>
      </c>
      <c r="H1836" s="1" t="s">
        <v>37</v>
      </c>
      <c r="I1836">
        <v>316.22000000000003</v>
      </c>
      <c r="J1836">
        <v>799.04</v>
      </c>
      <c r="K1836" s="1" t="s">
        <v>26</v>
      </c>
      <c r="L1836">
        <v>0</v>
      </c>
      <c r="M1836" s="1" t="s">
        <v>32</v>
      </c>
      <c r="N1836" s="1" t="s">
        <v>22</v>
      </c>
      <c r="O1836" s="1" t="s">
        <v>54</v>
      </c>
      <c r="P1836">
        <v>4743.3</v>
      </c>
      <c r="Q1836">
        <v>2023</v>
      </c>
      <c r="R1836">
        <v>11985.599999999999</v>
      </c>
      <c r="S1836">
        <v>7242.2999999999984</v>
      </c>
      <c r="T1836" s="1" t="s">
        <v>164</v>
      </c>
      <c r="U1836">
        <v>0.60425010012014402</v>
      </c>
    </row>
    <row r="1837" spans="1:21" x14ac:dyDescent="0.3">
      <c r="A1837" s="1" t="s">
        <v>15</v>
      </c>
      <c r="B1837" s="1" t="s">
        <v>113</v>
      </c>
      <c r="C1837" s="2">
        <v>45083</v>
      </c>
      <c r="D1837" s="1" t="s">
        <v>43</v>
      </c>
      <c r="E1837" s="1" t="s">
        <v>44</v>
      </c>
      <c r="F1837">
        <v>1044.45</v>
      </c>
      <c r="G1837">
        <v>21</v>
      </c>
      <c r="H1837" s="1" t="s">
        <v>37</v>
      </c>
      <c r="I1837">
        <v>1701.62</v>
      </c>
      <c r="J1837">
        <v>2193.2199999999998</v>
      </c>
      <c r="K1837" s="1" t="s">
        <v>26</v>
      </c>
      <c r="L1837">
        <v>0.22</v>
      </c>
      <c r="M1837" s="1" t="s">
        <v>32</v>
      </c>
      <c r="N1837" s="1" t="s">
        <v>33</v>
      </c>
      <c r="O1837" s="1" t="s">
        <v>45</v>
      </c>
      <c r="P1837">
        <v>35734.019999999997</v>
      </c>
      <c r="Q1837">
        <v>2023</v>
      </c>
      <c r="R1837">
        <v>35924.943599999999</v>
      </c>
      <c r="S1837">
        <v>190.9236000000019</v>
      </c>
      <c r="T1837" s="1" t="s">
        <v>164</v>
      </c>
      <c r="U1837">
        <v>5.3145135626601796E-3</v>
      </c>
    </row>
    <row r="1838" spans="1:21" x14ac:dyDescent="0.3">
      <c r="A1838" s="1" t="s">
        <v>15</v>
      </c>
      <c r="B1838" s="1" t="s">
        <v>95</v>
      </c>
      <c r="C1838" s="2">
        <v>45083</v>
      </c>
      <c r="D1838" s="1" t="s">
        <v>59</v>
      </c>
      <c r="E1838" s="1" t="s">
        <v>44</v>
      </c>
      <c r="F1838">
        <v>4602.17</v>
      </c>
      <c r="G1838">
        <v>32</v>
      </c>
      <c r="H1838" s="1" t="s">
        <v>57</v>
      </c>
      <c r="I1838">
        <v>108.99</v>
      </c>
      <c r="J1838">
        <v>351.6</v>
      </c>
      <c r="K1838" s="1" t="s">
        <v>20</v>
      </c>
      <c r="L1838">
        <v>0.27</v>
      </c>
      <c r="M1838" s="1" t="s">
        <v>27</v>
      </c>
      <c r="N1838" s="1" t="s">
        <v>33</v>
      </c>
      <c r="O1838" s="1" t="s">
        <v>60</v>
      </c>
      <c r="P1838">
        <v>3487.68</v>
      </c>
      <c r="Q1838">
        <v>2023</v>
      </c>
      <c r="R1838">
        <v>8213.3760000000002</v>
      </c>
      <c r="S1838">
        <v>4725.6959999999999</v>
      </c>
      <c r="T1838" s="1" t="s">
        <v>164</v>
      </c>
      <c r="U1838">
        <v>0.57536584225536502</v>
      </c>
    </row>
    <row r="1839" spans="1:21" x14ac:dyDescent="0.3">
      <c r="A1839" s="1" t="s">
        <v>15</v>
      </c>
      <c r="B1839" s="1" t="s">
        <v>75</v>
      </c>
      <c r="C1839" s="2">
        <v>45084</v>
      </c>
      <c r="D1839" s="1" t="s">
        <v>59</v>
      </c>
      <c r="E1839" s="1" t="s">
        <v>30</v>
      </c>
      <c r="F1839">
        <v>6055.38</v>
      </c>
      <c r="G1839">
        <v>4</v>
      </c>
      <c r="H1839" s="1" t="s">
        <v>57</v>
      </c>
      <c r="I1839">
        <v>4721.7</v>
      </c>
      <c r="J1839">
        <v>5017.58</v>
      </c>
      <c r="K1839" s="1" t="s">
        <v>26</v>
      </c>
      <c r="L1839">
        <v>0.24</v>
      </c>
      <c r="M1839" s="1" t="s">
        <v>21</v>
      </c>
      <c r="N1839" s="1" t="s">
        <v>33</v>
      </c>
      <c r="O1839" s="1" t="s">
        <v>86</v>
      </c>
      <c r="P1839">
        <v>18886.8</v>
      </c>
      <c r="Q1839">
        <v>2023</v>
      </c>
      <c r="R1839">
        <v>15253.4432</v>
      </c>
      <c r="S1839">
        <v>-3633.3567999999996</v>
      </c>
      <c r="T1839" s="1" t="s">
        <v>164</v>
      </c>
      <c r="U1839">
        <v>-0.238199123460859</v>
      </c>
    </row>
    <row r="1840" spans="1:21" x14ac:dyDescent="0.3">
      <c r="A1840" s="1" t="s">
        <v>15</v>
      </c>
      <c r="B1840" s="1" t="s">
        <v>66</v>
      </c>
      <c r="C1840" s="2">
        <v>45084</v>
      </c>
      <c r="D1840" s="1" t="s">
        <v>25</v>
      </c>
      <c r="E1840" s="1" t="s">
        <v>44</v>
      </c>
      <c r="F1840">
        <v>2070.02</v>
      </c>
      <c r="G1840">
        <v>42</v>
      </c>
      <c r="H1840" s="1" t="s">
        <v>19</v>
      </c>
      <c r="I1840">
        <v>2254.11</v>
      </c>
      <c r="J1840">
        <v>2382.23</v>
      </c>
      <c r="K1840" s="1" t="s">
        <v>20</v>
      </c>
      <c r="L1840">
        <v>0.15</v>
      </c>
      <c r="M1840" s="1" t="s">
        <v>27</v>
      </c>
      <c r="N1840" s="1" t="s">
        <v>33</v>
      </c>
      <c r="O1840" s="1" t="s">
        <v>47</v>
      </c>
      <c r="P1840">
        <v>94672.62000000001</v>
      </c>
      <c r="Q1840">
        <v>2023</v>
      </c>
      <c r="R1840">
        <v>85045.611000000004</v>
      </c>
      <c r="S1840">
        <v>-9627.0090000000055</v>
      </c>
      <c r="T1840" s="1" t="s">
        <v>164</v>
      </c>
      <c r="U1840">
        <v>-0.113198187264479</v>
      </c>
    </row>
    <row r="1841" spans="1:21" x14ac:dyDescent="0.3">
      <c r="A1841" s="1" t="s">
        <v>15</v>
      </c>
      <c r="B1841" s="1" t="s">
        <v>42</v>
      </c>
      <c r="C1841" s="2">
        <v>45084</v>
      </c>
      <c r="D1841" s="1" t="s">
        <v>25</v>
      </c>
      <c r="E1841" s="1" t="s">
        <v>44</v>
      </c>
      <c r="F1841">
        <v>4346.55</v>
      </c>
      <c r="G1841">
        <v>31</v>
      </c>
      <c r="H1841" s="1" t="s">
        <v>57</v>
      </c>
      <c r="I1841">
        <v>1974.4</v>
      </c>
      <c r="J1841">
        <v>2259.5</v>
      </c>
      <c r="K1841" s="1" t="s">
        <v>26</v>
      </c>
      <c r="L1841">
        <v>0.27</v>
      </c>
      <c r="M1841" s="1" t="s">
        <v>21</v>
      </c>
      <c r="N1841" s="1" t="s">
        <v>33</v>
      </c>
      <c r="O1841" s="1" t="s">
        <v>47</v>
      </c>
      <c r="P1841">
        <v>61206.400000000001</v>
      </c>
      <c r="Q1841">
        <v>2023</v>
      </c>
      <c r="R1841">
        <v>51132.485000000001</v>
      </c>
      <c r="S1841">
        <v>-10073.915000000001</v>
      </c>
      <c r="T1841" s="1" t="s">
        <v>164</v>
      </c>
      <c r="U1841">
        <v>-0.19701594788518501</v>
      </c>
    </row>
    <row r="1842" spans="1:21" x14ac:dyDescent="0.3">
      <c r="A1842" s="1" t="s">
        <v>15</v>
      </c>
      <c r="B1842" s="1" t="s">
        <v>130</v>
      </c>
      <c r="C1842" s="2">
        <v>45084</v>
      </c>
      <c r="D1842" s="1" t="s">
        <v>59</v>
      </c>
      <c r="E1842" s="1" t="s">
        <v>18</v>
      </c>
      <c r="F1842">
        <v>408.38</v>
      </c>
      <c r="G1842">
        <v>3</v>
      </c>
      <c r="H1842" s="1" t="s">
        <v>37</v>
      </c>
      <c r="I1842">
        <v>2468.29</v>
      </c>
      <c r="J1842">
        <v>2723.13</v>
      </c>
      <c r="K1842" s="1" t="s">
        <v>20</v>
      </c>
      <c r="L1842">
        <v>0.08</v>
      </c>
      <c r="M1842" s="1" t="s">
        <v>21</v>
      </c>
      <c r="N1842" s="1" t="s">
        <v>33</v>
      </c>
      <c r="O1842" s="1" t="s">
        <v>77</v>
      </c>
      <c r="P1842">
        <v>7404.87</v>
      </c>
      <c r="Q1842">
        <v>2023</v>
      </c>
      <c r="R1842">
        <v>7515.8388000000004</v>
      </c>
      <c r="S1842">
        <v>110.96880000000056</v>
      </c>
      <c r="T1842" s="1" t="s">
        <v>164</v>
      </c>
      <c r="U1842">
        <v>1.47646594016892E-2</v>
      </c>
    </row>
    <row r="1843" spans="1:21" x14ac:dyDescent="0.3">
      <c r="A1843" s="1" t="s">
        <v>15</v>
      </c>
      <c r="B1843" s="1" t="s">
        <v>140</v>
      </c>
      <c r="C1843" s="2">
        <v>45085</v>
      </c>
      <c r="D1843" s="1" t="s">
        <v>17</v>
      </c>
      <c r="E1843" s="1" t="s">
        <v>40</v>
      </c>
      <c r="F1843">
        <v>219.82</v>
      </c>
      <c r="G1843">
        <v>49</v>
      </c>
      <c r="H1843" s="1" t="s">
        <v>37</v>
      </c>
      <c r="I1843">
        <v>4812.41</v>
      </c>
      <c r="J1843">
        <v>5088</v>
      </c>
      <c r="K1843" s="1" t="s">
        <v>20</v>
      </c>
      <c r="L1843">
        <v>0.09</v>
      </c>
      <c r="M1843" s="1" t="s">
        <v>27</v>
      </c>
      <c r="N1843" s="1" t="s">
        <v>22</v>
      </c>
      <c r="O1843" s="1" t="s">
        <v>67</v>
      </c>
      <c r="P1843">
        <v>235808.09</v>
      </c>
      <c r="Q1843">
        <v>2023</v>
      </c>
      <c r="R1843">
        <v>226873.92</v>
      </c>
      <c r="S1843">
        <v>-8934.1699999999837</v>
      </c>
      <c r="T1843" s="1" t="s">
        <v>164</v>
      </c>
      <c r="U1843">
        <v>-3.9379449167184902E-2</v>
      </c>
    </row>
    <row r="1844" spans="1:21" x14ac:dyDescent="0.3">
      <c r="A1844" s="1" t="s">
        <v>15</v>
      </c>
      <c r="B1844" s="1" t="s">
        <v>94</v>
      </c>
      <c r="C1844" s="2">
        <v>45085</v>
      </c>
      <c r="D1844" s="1" t="s">
        <v>43</v>
      </c>
      <c r="E1844" s="1" t="s">
        <v>44</v>
      </c>
      <c r="F1844">
        <v>3608.81</v>
      </c>
      <c r="G1844">
        <v>19</v>
      </c>
      <c r="H1844" s="1" t="s">
        <v>31</v>
      </c>
      <c r="I1844">
        <v>3457.28</v>
      </c>
      <c r="J1844">
        <v>3598.72</v>
      </c>
      <c r="K1844" s="1" t="s">
        <v>26</v>
      </c>
      <c r="L1844">
        <v>0.27</v>
      </c>
      <c r="M1844" s="1" t="s">
        <v>32</v>
      </c>
      <c r="N1844" s="1" t="s">
        <v>22</v>
      </c>
      <c r="O1844" s="1" t="s">
        <v>45</v>
      </c>
      <c r="P1844">
        <v>65688.320000000007</v>
      </c>
      <c r="Q1844">
        <v>2023</v>
      </c>
      <c r="R1844">
        <v>49914.246399999996</v>
      </c>
      <c r="S1844">
        <v>-15774.073600000011</v>
      </c>
      <c r="T1844" s="1" t="s">
        <v>164</v>
      </c>
      <c r="U1844">
        <v>-0.316023475013338</v>
      </c>
    </row>
    <row r="1845" spans="1:21" x14ac:dyDescent="0.3">
      <c r="A1845" s="1" t="s">
        <v>15</v>
      </c>
      <c r="B1845" s="1" t="s">
        <v>74</v>
      </c>
      <c r="C1845" s="2">
        <v>45085</v>
      </c>
      <c r="D1845" s="1" t="s">
        <v>25</v>
      </c>
      <c r="E1845" s="1" t="s">
        <v>44</v>
      </c>
      <c r="F1845">
        <v>1605.28</v>
      </c>
      <c r="G1845">
        <v>43</v>
      </c>
      <c r="H1845" s="1" t="s">
        <v>31</v>
      </c>
      <c r="I1845">
        <v>4567.3900000000003</v>
      </c>
      <c r="J1845">
        <v>4958.78</v>
      </c>
      <c r="K1845" s="1" t="s">
        <v>26</v>
      </c>
      <c r="L1845">
        <v>0.04</v>
      </c>
      <c r="M1845" s="1" t="s">
        <v>21</v>
      </c>
      <c r="N1845" s="1" t="s">
        <v>33</v>
      </c>
      <c r="O1845" s="1" t="s">
        <v>47</v>
      </c>
      <c r="P1845">
        <v>196397.77000000002</v>
      </c>
      <c r="Q1845">
        <v>2023</v>
      </c>
      <c r="R1845">
        <v>204698.43839999998</v>
      </c>
      <c r="S1845">
        <v>8300.6683999999659</v>
      </c>
      <c r="T1845" s="1" t="s">
        <v>164</v>
      </c>
      <c r="U1845">
        <v>4.0550716775765903E-2</v>
      </c>
    </row>
    <row r="1846" spans="1:21" x14ac:dyDescent="0.3">
      <c r="A1846" s="1" t="s">
        <v>15</v>
      </c>
      <c r="B1846" s="1" t="s">
        <v>149</v>
      </c>
      <c r="C1846" s="2">
        <v>45086</v>
      </c>
      <c r="D1846" s="1" t="s">
        <v>43</v>
      </c>
      <c r="E1846" s="1" t="s">
        <v>30</v>
      </c>
      <c r="F1846">
        <v>4391.38</v>
      </c>
      <c r="G1846">
        <v>38</v>
      </c>
      <c r="H1846" s="1" t="s">
        <v>57</v>
      </c>
      <c r="I1846">
        <v>86.59</v>
      </c>
      <c r="J1846">
        <v>390.89</v>
      </c>
      <c r="K1846" s="1" t="s">
        <v>20</v>
      </c>
      <c r="L1846">
        <v>0.25</v>
      </c>
      <c r="M1846" s="1" t="s">
        <v>27</v>
      </c>
      <c r="N1846" s="1" t="s">
        <v>22</v>
      </c>
      <c r="O1846" s="1" t="s">
        <v>54</v>
      </c>
      <c r="P1846">
        <v>3290.42</v>
      </c>
      <c r="Q1846">
        <v>2023</v>
      </c>
      <c r="R1846">
        <v>11140.365</v>
      </c>
      <c r="S1846">
        <v>7849.9449999999997</v>
      </c>
      <c r="T1846" s="1" t="s">
        <v>164</v>
      </c>
      <c r="U1846">
        <v>0.70463983899988902</v>
      </c>
    </row>
    <row r="1847" spans="1:21" x14ac:dyDescent="0.3">
      <c r="A1847" s="1" t="s">
        <v>15</v>
      </c>
      <c r="B1847" s="1" t="s">
        <v>145</v>
      </c>
      <c r="C1847" s="2">
        <v>45086</v>
      </c>
      <c r="D1847" s="1" t="s">
        <v>36</v>
      </c>
      <c r="E1847" s="1" t="s">
        <v>44</v>
      </c>
      <c r="F1847">
        <v>3746.64</v>
      </c>
      <c r="G1847">
        <v>18</v>
      </c>
      <c r="H1847" s="1" t="s">
        <v>19</v>
      </c>
      <c r="I1847">
        <v>560.91999999999996</v>
      </c>
      <c r="J1847">
        <v>1024.31</v>
      </c>
      <c r="K1847" s="1" t="s">
        <v>20</v>
      </c>
      <c r="L1847">
        <v>0.26</v>
      </c>
      <c r="M1847" s="1" t="s">
        <v>21</v>
      </c>
      <c r="N1847" s="1" t="s">
        <v>22</v>
      </c>
      <c r="O1847" s="1" t="s">
        <v>71</v>
      </c>
      <c r="P1847">
        <v>10096.56</v>
      </c>
      <c r="Q1847">
        <v>2023</v>
      </c>
      <c r="R1847">
        <v>13643.809199999998</v>
      </c>
      <c r="S1847">
        <v>3547.2491999999984</v>
      </c>
      <c r="T1847" s="1" t="s">
        <v>164</v>
      </c>
      <c r="U1847">
        <v>0.259989651570325</v>
      </c>
    </row>
    <row r="1848" spans="1:21" x14ac:dyDescent="0.3">
      <c r="A1848" s="1" t="s">
        <v>15</v>
      </c>
      <c r="B1848" s="1" t="s">
        <v>102</v>
      </c>
      <c r="C1848" s="2">
        <v>45086</v>
      </c>
      <c r="D1848" s="1" t="s">
        <v>25</v>
      </c>
      <c r="E1848" s="1" t="s">
        <v>44</v>
      </c>
      <c r="F1848">
        <v>2638.98</v>
      </c>
      <c r="G1848">
        <v>35</v>
      </c>
      <c r="H1848" s="1" t="s">
        <v>31</v>
      </c>
      <c r="I1848">
        <v>4480.63</v>
      </c>
      <c r="J1848">
        <v>4884.12</v>
      </c>
      <c r="K1848" s="1" t="s">
        <v>26</v>
      </c>
      <c r="L1848">
        <v>0.04</v>
      </c>
      <c r="M1848" s="1" t="s">
        <v>21</v>
      </c>
      <c r="N1848" s="1" t="s">
        <v>22</v>
      </c>
      <c r="O1848" s="1" t="s">
        <v>47</v>
      </c>
      <c r="P1848">
        <v>156822.05000000002</v>
      </c>
      <c r="Q1848">
        <v>2023</v>
      </c>
      <c r="R1848">
        <v>164106.43199999997</v>
      </c>
      <c r="S1848">
        <v>7284.3819999999541</v>
      </c>
      <c r="T1848" s="1" t="s">
        <v>164</v>
      </c>
      <c r="U1848">
        <v>4.4388156583649002E-2</v>
      </c>
    </row>
    <row r="1849" spans="1:21" x14ac:dyDescent="0.3">
      <c r="A1849" s="1" t="s">
        <v>15</v>
      </c>
      <c r="B1849" s="1" t="s">
        <v>78</v>
      </c>
      <c r="C1849" s="2">
        <v>45087</v>
      </c>
      <c r="D1849" s="1" t="s">
        <v>43</v>
      </c>
      <c r="E1849" s="1" t="s">
        <v>30</v>
      </c>
      <c r="F1849">
        <v>7853.66</v>
      </c>
      <c r="G1849">
        <v>21</v>
      </c>
      <c r="H1849" s="1" t="s">
        <v>31</v>
      </c>
      <c r="I1849">
        <v>4668.1400000000003</v>
      </c>
      <c r="J1849">
        <v>5040.22</v>
      </c>
      <c r="K1849" s="1" t="s">
        <v>26</v>
      </c>
      <c r="L1849">
        <v>0.05</v>
      </c>
      <c r="M1849" s="1" t="s">
        <v>32</v>
      </c>
      <c r="N1849" s="1" t="s">
        <v>22</v>
      </c>
      <c r="O1849" s="1" t="s">
        <v>54</v>
      </c>
      <c r="P1849">
        <v>98030.94</v>
      </c>
      <c r="Q1849">
        <v>2023</v>
      </c>
      <c r="R1849">
        <v>100552.38900000001</v>
      </c>
      <c r="S1849">
        <v>2521.4490000000078</v>
      </c>
      <c r="T1849" s="1" t="s">
        <v>164</v>
      </c>
      <c r="U1849">
        <v>2.5075973083046401E-2</v>
      </c>
    </row>
    <row r="1850" spans="1:21" x14ac:dyDescent="0.3">
      <c r="A1850" s="1" t="s">
        <v>15</v>
      </c>
      <c r="B1850" s="1" t="s">
        <v>117</v>
      </c>
      <c r="C1850" s="2">
        <v>45087</v>
      </c>
      <c r="D1850" s="1" t="s">
        <v>25</v>
      </c>
      <c r="E1850" s="1" t="s">
        <v>30</v>
      </c>
      <c r="F1850">
        <v>2320.5100000000002</v>
      </c>
      <c r="G1850">
        <v>6</v>
      </c>
      <c r="H1850" s="1" t="s">
        <v>31</v>
      </c>
      <c r="I1850">
        <v>252.62</v>
      </c>
      <c r="J1850">
        <v>742</v>
      </c>
      <c r="K1850" s="1" t="s">
        <v>26</v>
      </c>
      <c r="L1850">
        <v>0.22</v>
      </c>
      <c r="M1850" s="1" t="s">
        <v>27</v>
      </c>
      <c r="N1850" s="1" t="s">
        <v>33</v>
      </c>
      <c r="O1850" s="1" t="s">
        <v>92</v>
      </c>
      <c r="P1850">
        <v>1515.72</v>
      </c>
      <c r="Q1850">
        <v>2023</v>
      </c>
      <c r="R1850">
        <v>3472.56</v>
      </c>
      <c r="S1850">
        <v>1956.84</v>
      </c>
      <c r="T1850" s="1" t="s">
        <v>164</v>
      </c>
      <c r="U1850">
        <v>0.56351510125094995</v>
      </c>
    </row>
    <row r="1851" spans="1:21" x14ac:dyDescent="0.3">
      <c r="A1851" s="1" t="s">
        <v>15</v>
      </c>
      <c r="B1851" s="1" t="s">
        <v>129</v>
      </c>
      <c r="C1851" s="2">
        <v>45087</v>
      </c>
      <c r="D1851" s="1" t="s">
        <v>59</v>
      </c>
      <c r="E1851" s="1" t="s">
        <v>18</v>
      </c>
      <c r="F1851">
        <v>7987.15</v>
      </c>
      <c r="G1851">
        <v>2</v>
      </c>
      <c r="H1851" s="1" t="s">
        <v>31</v>
      </c>
      <c r="I1851">
        <v>3146.12</v>
      </c>
      <c r="J1851">
        <v>3255.53</v>
      </c>
      <c r="K1851" s="1" t="s">
        <v>20</v>
      </c>
      <c r="L1851">
        <v>0.06</v>
      </c>
      <c r="M1851" s="1" t="s">
        <v>32</v>
      </c>
      <c r="N1851" s="1" t="s">
        <v>22</v>
      </c>
      <c r="O1851" s="1" t="s">
        <v>77</v>
      </c>
      <c r="P1851">
        <v>6292.24</v>
      </c>
      <c r="Q1851">
        <v>2023</v>
      </c>
      <c r="R1851">
        <v>6120.3963999999996</v>
      </c>
      <c r="S1851">
        <v>-171.84360000000015</v>
      </c>
      <c r="T1851" s="1" t="s">
        <v>164</v>
      </c>
      <c r="U1851">
        <v>-2.8077201012666499E-2</v>
      </c>
    </row>
    <row r="1852" spans="1:21" x14ac:dyDescent="0.3">
      <c r="A1852" s="1" t="s">
        <v>15</v>
      </c>
      <c r="B1852" s="1" t="s">
        <v>107</v>
      </c>
      <c r="C1852" s="2">
        <v>45087</v>
      </c>
      <c r="D1852" s="1" t="s">
        <v>17</v>
      </c>
      <c r="E1852" s="1" t="s">
        <v>44</v>
      </c>
      <c r="F1852">
        <v>1687.62</v>
      </c>
      <c r="G1852">
        <v>15</v>
      </c>
      <c r="H1852" s="1" t="s">
        <v>19</v>
      </c>
      <c r="I1852">
        <v>498.27</v>
      </c>
      <c r="J1852">
        <v>634.16</v>
      </c>
      <c r="K1852" s="1" t="s">
        <v>20</v>
      </c>
      <c r="L1852">
        <v>0.11</v>
      </c>
      <c r="M1852" s="1" t="s">
        <v>27</v>
      </c>
      <c r="N1852" s="1" t="s">
        <v>33</v>
      </c>
      <c r="O1852" s="1" t="s">
        <v>49</v>
      </c>
      <c r="P1852">
        <v>7474.0499999999993</v>
      </c>
      <c r="Q1852">
        <v>2023</v>
      </c>
      <c r="R1852">
        <v>8466.0360000000001</v>
      </c>
      <c r="S1852">
        <v>991.98600000000079</v>
      </c>
      <c r="T1852" s="1" t="s">
        <v>164</v>
      </c>
      <c r="U1852">
        <v>0.117172428749417</v>
      </c>
    </row>
    <row r="1853" spans="1:21" x14ac:dyDescent="0.3">
      <c r="A1853" s="1" t="s">
        <v>15</v>
      </c>
      <c r="B1853" s="1" t="s">
        <v>110</v>
      </c>
      <c r="C1853" s="2">
        <v>45087</v>
      </c>
      <c r="D1853" s="1" t="s">
        <v>25</v>
      </c>
      <c r="E1853" s="1" t="s">
        <v>44</v>
      </c>
      <c r="F1853">
        <v>1554.53</v>
      </c>
      <c r="G1853">
        <v>39</v>
      </c>
      <c r="H1853" s="1" t="s">
        <v>31</v>
      </c>
      <c r="I1853">
        <v>4643.67</v>
      </c>
      <c r="J1853">
        <v>4829.5200000000004</v>
      </c>
      <c r="K1853" s="1" t="s">
        <v>20</v>
      </c>
      <c r="L1853">
        <v>0.17</v>
      </c>
      <c r="M1853" s="1" t="s">
        <v>32</v>
      </c>
      <c r="N1853" s="1" t="s">
        <v>22</v>
      </c>
      <c r="O1853" s="1" t="s">
        <v>47</v>
      </c>
      <c r="P1853">
        <v>181103.13</v>
      </c>
      <c r="Q1853">
        <v>2023</v>
      </c>
      <c r="R1853">
        <v>156331.56240000002</v>
      </c>
      <c r="S1853">
        <v>-24771.56759999998</v>
      </c>
      <c r="T1853" s="1" t="s">
        <v>164</v>
      </c>
      <c r="U1853">
        <v>-0.15845531906485899</v>
      </c>
    </row>
    <row r="1854" spans="1:21" x14ac:dyDescent="0.3">
      <c r="A1854" s="1" t="s">
        <v>15</v>
      </c>
      <c r="B1854" s="1" t="s">
        <v>153</v>
      </c>
      <c r="C1854" s="2">
        <v>45088</v>
      </c>
      <c r="D1854" s="1" t="s">
        <v>59</v>
      </c>
      <c r="E1854" s="1" t="s">
        <v>18</v>
      </c>
      <c r="F1854">
        <v>7041.58</v>
      </c>
      <c r="G1854">
        <v>17</v>
      </c>
      <c r="H1854" s="1" t="s">
        <v>31</v>
      </c>
      <c r="I1854">
        <v>890.31</v>
      </c>
      <c r="J1854">
        <v>1159.06</v>
      </c>
      <c r="K1854" s="1" t="s">
        <v>20</v>
      </c>
      <c r="L1854">
        <v>0.06</v>
      </c>
      <c r="M1854" s="1" t="s">
        <v>21</v>
      </c>
      <c r="N1854" s="1" t="s">
        <v>33</v>
      </c>
      <c r="O1854" s="1" t="s">
        <v>77</v>
      </c>
      <c r="P1854">
        <v>15135.269999999999</v>
      </c>
      <c r="Q1854">
        <v>2023</v>
      </c>
      <c r="R1854">
        <v>18521.7788</v>
      </c>
      <c r="S1854">
        <v>3386.5088000000014</v>
      </c>
      <c r="T1854" s="1" t="s">
        <v>164</v>
      </c>
      <c r="U1854">
        <v>0.18283928539304201</v>
      </c>
    </row>
    <row r="1855" spans="1:21" x14ac:dyDescent="0.3">
      <c r="A1855" s="1" t="s">
        <v>15</v>
      </c>
      <c r="B1855" s="1" t="s">
        <v>66</v>
      </c>
      <c r="C1855" s="2">
        <v>45088</v>
      </c>
      <c r="D1855" s="1" t="s">
        <v>36</v>
      </c>
      <c r="E1855" s="1" t="s">
        <v>44</v>
      </c>
      <c r="F1855">
        <v>7813.12</v>
      </c>
      <c r="G1855">
        <v>8</v>
      </c>
      <c r="H1855" s="1" t="s">
        <v>57</v>
      </c>
      <c r="I1855">
        <v>3048.48</v>
      </c>
      <c r="J1855">
        <v>3198.54</v>
      </c>
      <c r="K1855" s="1" t="s">
        <v>20</v>
      </c>
      <c r="L1855">
        <v>0.03</v>
      </c>
      <c r="M1855" s="1" t="s">
        <v>32</v>
      </c>
      <c r="N1855" s="1" t="s">
        <v>22</v>
      </c>
      <c r="O1855" s="1" t="s">
        <v>71</v>
      </c>
      <c r="P1855">
        <v>24387.84</v>
      </c>
      <c r="Q1855">
        <v>2023</v>
      </c>
      <c r="R1855">
        <v>24820.670399999999</v>
      </c>
      <c r="S1855">
        <v>432.83039999999892</v>
      </c>
      <c r="T1855" s="1" t="s">
        <v>164</v>
      </c>
      <c r="U1855">
        <v>1.7438304164419299E-2</v>
      </c>
    </row>
    <row r="1856" spans="1:21" x14ac:dyDescent="0.3">
      <c r="A1856" s="1" t="s">
        <v>15</v>
      </c>
      <c r="B1856" s="1" t="s">
        <v>16</v>
      </c>
      <c r="C1856" s="2">
        <v>45089</v>
      </c>
      <c r="D1856" s="1" t="s">
        <v>59</v>
      </c>
      <c r="E1856" s="1" t="s">
        <v>44</v>
      </c>
      <c r="F1856">
        <v>7507.02</v>
      </c>
      <c r="G1856">
        <v>32</v>
      </c>
      <c r="H1856" s="1" t="s">
        <v>57</v>
      </c>
      <c r="I1856">
        <v>4298.12</v>
      </c>
      <c r="J1856">
        <v>4446.8999999999996</v>
      </c>
      <c r="K1856" s="1" t="s">
        <v>26</v>
      </c>
      <c r="L1856">
        <v>0.1</v>
      </c>
      <c r="M1856" s="1" t="s">
        <v>32</v>
      </c>
      <c r="N1856" s="1" t="s">
        <v>22</v>
      </c>
      <c r="O1856" s="1" t="s">
        <v>60</v>
      </c>
      <c r="P1856">
        <v>137539.84</v>
      </c>
      <c r="Q1856">
        <v>2023</v>
      </c>
      <c r="R1856">
        <v>128070.71999999999</v>
      </c>
      <c r="S1856">
        <v>-9469.1200000000099</v>
      </c>
      <c r="T1856" s="1" t="s">
        <v>164</v>
      </c>
      <c r="U1856">
        <v>-7.3936650000874599E-2</v>
      </c>
    </row>
    <row r="1857" spans="1:21" x14ac:dyDescent="0.3">
      <c r="A1857" s="1" t="s">
        <v>15</v>
      </c>
      <c r="B1857" s="1" t="s">
        <v>88</v>
      </c>
      <c r="C1857" s="2">
        <v>45089</v>
      </c>
      <c r="D1857" s="1" t="s">
        <v>25</v>
      </c>
      <c r="E1857" s="1" t="s">
        <v>30</v>
      </c>
      <c r="F1857">
        <v>6136</v>
      </c>
      <c r="G1857">
        <v>29</v>
      </c>
      <c r="H1857" s="1" t="s">
        <v>37</v>
      </c>
      <c r="I1857">
        <v>3177.81</v>
      </c>
      <c r="J1857">
        <v>3222.65</v>
      </c>
      <c r="K1857" s="1" t="s">
        <v>20</v>
      </c>
      <c r="L1857">
        <v>0.08</v>
      </c>
      <c r="M1857" s="1" t="s">
        <v>27</v>
      </c>
      <c r="N1857" s="1" t="s">
        <v>33</v>
      </c>
      <c r="O1857" s="1" t="s">
        <v>92</v>
      </c>
      <c r="P1857">
        <v>92156.49</v>
      </c>
      <c r="Q1857">
        <v>2023</v>
      </c>
      <c r="R1857">
        <v>85980.302000000011</v>
      </c>
      <c r="S1857">
        <v>-6176.1879999999946</v>
      </c>
      <c r="T1857" s="1" t="s">
        <v>164</v>
      </c>
      <c r="U1857">
        <v>-7.1832592539625997E-2</v>
      </c>
    </row>
    <row r="1858" spans="1:21" x14ac:dyDescent="0.3">
      <c r="A1858" s="1" t="s">
        <v>15</v>
      </c>
      <c r="B1858" s="1" t="s">
        <v>122</v>
      </c>
      <c r="C1858" s="2">
        <v>45090</v>
      </c>
      <c r="D1858" s="1" t="s">
        <v>25</v>
      </c>
      <c r="E1858" s="1" t="s">
        <v>44</v>
      </c>
      <c r="F1858">
        <v>7509.01</v>
      </c>
      <c r="G1858">
        <v>10</v>
      </c>
      <c r="H1858" s="1" t="s">
        <v>31</v>
      </c>
      <c r="I1858">
        <v>2162.9499999999998</v>
      </c>
      <c r="J1858">
        <v>2191.19</v>
      </c>
      <c r="K1858" s="1" t="s">
        <v>20</v>
      </c>
      <c r="L1858">
        <v>0.2</v>
      </c>
      <c r="M1858" s="1" t="s">
        <v>27</v>
      </c>
      <c r="N1858" s="1" t="s">
        <v>22</v>
      </c>
      <c r="O1858" s="1" t="s">
        <v>47</v>
      </c>
      <c r="P1858">
        <v>21629.5</v>
      </c>
      <c r="Q1858">
        <v>2023</v>
      </c>
      <c r="R1858">
        <v>17529.52</v>
      </c>
      <c r="S1858">
        <v>-4099.9799999999996</v>
      </c>
      <c r="T1858" s="1" t="s">
        <v>164</v>
      </c>
      <c r="U1858">
        <v>-0.23389003235684699</v>
      </c>
    </row>
    <row r="1859" spans="1:21" x14ac:dyDescent="0.3">
      <c r="A1859" s="1" t="s">
        <v>15</v>
      </c>
      <c r="B1859" s="1" t="s">
        <v>124</v>
      </c>
      <c r="C1859" s="2">
        <v>45090</v>
      </c>
      <c r="D1859" s="1" t="s">
        <v>25</v>
      </c>
      <c r="E1859" s="1" t="s">
        <v>40</v>
      </c>
      <c r="F1859">
        <v>4478.71</v>
      </c>
      <c r="G1859">
        <v>5</v>
      </c>
      <c r="H1859" s="1" t="s">
        <v>19</v>
      </c>
      <c r="I1859">
        <v>3932.14</v>
      </c>
      <c r="J1859">
        <v>4082.76</v>
      </c>
      <c r="K1859" s="1" t="s">
        <v>26</v>
      </c>
      <c r="L1859">
        <v>0.26</v>
      </c>
      <c r="M1859" s="1" t="s">
        <v>27</v>
      </c>
      <c r="N1859" s="1" t="s">
        <v>22</v>
      </c>
      <c r="O1859" s="1" t="s">
        <v>83</v>
      </c>
      <c r="P1859">
        <v>19660.7</v>
      </c>
      <c r="Q1859">
        <v>2023</v>
      </c>
      <c r="R1859">
        <v>15106.212000000001</v>
      </c>
      <c r="S1859">
        <v>-4554.4879999999994</v>
      </c>
      <c r="T1859" s="1" t="s">
        <v>164</v>
      </c>
      <c r="U1859">
        <v>-0.30149768850059799</v>
      </c>
    </row>
    <row r="1860" spans="1:21" x14ac:dyDescent="0.3">
      <c r="A1860" s="1" t="s">
        <v>15</v>
      </c>
      <c r="B1860" s="1" t="s">
        <v>116</v>
      </c>
      <c r="C1860" s="2">
        <v>45091</v>
      </c>
      <c r="D1860" s="1" t="s">
        <v>59</v>
      </c>
      <c r="E1860" s="1" t="s">
        <v>30</v>
      </c>
      <c r="F1860">
        <v>4531.97</v>
      </c>
      <c r="G1860">
        <v>38</v>
      </c>
      <c r="H1860" s="1" t="s">
        <v>31</v>
      </c>
      <c r="I1860">
        <v>4456.67</v>
      </c>
      <c r="J1860">
        <v>4642.46</v>
      </c>
      <c r="K1860" s="1" t="s">
        <v>26</v>
      </c>
      <c r="L1860">
        <v>0.06</v>
      </c>
      <c r="M1860" s="1" t="s">
        <v>32</v>
      </c>
      <c r="N1860" s="1" t="s">
        <v>22</v>
      </c>
      <c r="O1860" s="1" t="s">
        <v>86</v>
      </c>
      <c r="P1860">
        <v>169353.46</v>
      </c>
      <c r="Q1860">
        <v>2023</v>
      </c>
      <c r="R1860">
        <v>165828.67120000001</v>
      </c>
      <c r="S1860">
        <v>-3524.7887999999803</v>
      </c>
      <c r="T1860" s="1" t="s">
        <v>164</v>
      </c>
      <c r="U1860">
        <v>-2.1255605405827899E-2</v>
      </c>
    </row>
    <row r="1861" spans="1:21" x14ac:dyDescent="0.3">
      <c r="A1861" s="1" t="s">
        <v>15</v>
      </c>
      <c r="B1861" s="1" t="s">
        <v>16</v>
      </c>
      <c r="C1861" s="2">
        <v>45091</v>
      </c>
      <c r="D1861" s="1" t="s">
        <v>17</v>
      </c>
      <c r="E1861" s="1" t="s">
        <v>18</v>
      </c>
      <c r="F1861">
        <v>1403.98</v>
      </c>
      <c r="G1861">
        <v>24</v>
      </c>
      <c r="H1861" s="1" t="s">
        <v>19</v>
      </c>
      <c r="I1861">
        <v>1394.17</v>
      </c>
      <c r="J1861">
        <v>1891.02</v>
      </c>
      <c r="K1861" s="1" t="s">
        <v>26</v>
      </c>
      <c r="L1861">
        <v>0.21</v>
      </c>
      <c r="M1861" s="1" t="s">
        <v>27</v>
      </c>
      <c r="N1861" s="1" t="s">
        <v>22</v>
      </c>
      <c r="O1861" s="1" t="s">
        <v>23</v>
      </c>
      <c r="P1861">
        <v>33460.080000000002</v>
      </c>
      <c r="Q1861">
        <v>2023</v>
      </c>
      <c r="R1861">
        <v>35853.739199999996</v>
      </c>
      <c r="S1861">
        <v>2393.6591999999946</v>
      </c>
      <c r="T1861" s="1" t="s">
        <v>164</v>
      </c>
      <c r="U1861">
        <v>6.6761773064941396E-2</v>
      </c>
    </row>
    <row r="1862" spans="1:21" x14ac:dyDescent="0.3">
      <c r="A1862" s="1" t="s">
        <v>15</v>
      </c>
      <c r="B1862" s="1" t="s">
        <v>121</v>
      </c>
      <c r="C1862" s="2">
        <v>45091</v>
      </c>
      <c r="D1862" s="1" t="s">
        <v>59</v>
      </c>
      <c r="E1862" s="1" t="s">
        <v>18</v>
      </c>
      <c r="F1862">
        <v>249.6</v>
      </c>
      <c r="G1862">
        <v>9</v>
      </c>
      <c r="H1862" s="1" t="s">
        <v>19</v>
      </c>
      <c r="I1862">
        <v>1481.76</v>
      </c>
      <c r="J1862">
        <v>1668.95</v>
      </c>
      <c r="K1862" s="1" t="s">
        <v>20</v>
      </c>
      <c r="L1862">
        <v>0.12</v>
      </c>
      <c r="M1862" s="1" t="s">
        <v>27</v>
      </c>
      <c r="N1862" s="1" t="s">
        <v>33</v>
      </c>
      <c r="O1862" s="1" t="s">
        <v>77</v>
      </c>
      <c r="P1862">
        <v>13335.84</v>
      </c>
      <c r="Q1862">
        <v>2023</v>
      </c>
      <c r="R1862">
        <v>13218.084000000001</v>
      </c>
      <c r="S1862">
        <v>-117.7559999999994</v>
      </c>
      <c r="T1862" s="1" t="s">
        <v>164</v>
      </c>
      <c r="U1862">
        <v>-8.9087041662013495E-3</v>
      </c>
    </row>
    <row r="1863" spans="1:21" x14ac:dyDescent="0.3">
      <c r="A1863" s="1" t="s">
        <v>15</v>
      </c>
      <c r="B1863" s="1" t="s">
        <v>126</v>
      </c>
      <c r="C1863" s="2">
        <v>45092</v>
      </c>
      <c r="D1863" s="1" t="s">
        <v>36</v>
      </c>
      <c r="E1863" s="1" t="s">
        <v>18</v>
      </c>
      <c r="F1863">
        <v>6976.49</v>
      </c>
      <c r="G1863">
        <v>35</v>
      </c>
      <c r="H1863" s="1" t="s">
        <v>37</v>
      </c>
      <c r="I1863">
        <v>4349.3599999999997</v>
      </c>
      <c r="J1863">
        <v>4645.17</v>
      </c>
      <c r="K1863" s="1" t="s">
        <v>20</v>
      </c>
      <c r="L1863">
        <v>0.18</v>
      </c>
      <c r="M1863" s="1" t="s">
        <v>27</v>
      </c>
      <c r="N1863" s="1" t="s">
        <v>33</v>
      </c>
      <c r="O1863" s="1" t="s">
        <v>115</v>
      </c>
      <c r="P1863">
        <v>152227.59999999998</v>
      </c>
      <c r="Q1863">
        <v>2023</v>
      </c>
      <c r="R1863">
        <v>133316.37900000002</v>
      </c>
      <c r="S1863">
        <v>-18911.220999999961</v>
      </c>
      <c r="T1863" s="1" t="s">
        <v>164</v>
      </c>
      <c r="U1863">
        <v>-0.14185219507049401</v>
      </c>
    </row>
    <row r="1864" spans="1:21" x14ac:dyDescent="0.3">
      <c r="A1864" s="1" t="s">
        <v>15</v>
      </c>
      <c r="B1864" s="1" t="s">
        <v>39</v>
      </c>
      <c r="C1864" s="2">
        <v>45092</v>
      </c>
      <c r="D1864" s="1" t="s">
        <v>17</v>
      </c>
      <c r="E1864" s="1" t="s">
        <v>18</v>
      </c>
      <c r="F1864">
        <v>9736.49</v>
      </c>
      <c r="G1864">
        <v>26</v>
      </c>
      <c r="H1864" s="1" t="s">
        <v>31</v>
      </c>
      <c r="I1864">
        <v>1749.34</v>
      </c>
      <c r="J1864">
        <v>1935.25</v>
      </c>
      <c r="K1864" s="1" t="s">
        <v>26</v>
      </c>
      <c r="L1864">
        <v>0.14000000000000001</v>
      </c>
      <c r="M1864" s="1" t="s">
        <v>27</v>
      </c>
      <c r="N1864" s="1" t="s">
        <v>22</v>
      </c>
      <c r="O1864" s="1" t="s">
        <v>23</v>
      </c>
      <c r="P1864">
        <v>45482.84</v>
      </c>
      <c r="Q1864">
        <v>2023</v>
      </c>
      <c r="R1864">
        <v>43272.19</v>
      </c>
      <c r="S1864">
        <v>-2210.6499999999942</v>
      </c>
      <c r="T1864" s="1" t="s">
        <v>164</v>
      </c>
      <c r="U1864">
        <v>-5.1087083875348001E-2</v>
      </c>
    </row>
    <row r="1865" spans="1:21" x14ac:dyDescent="0.3">
      <c r="A1865" s="1" t="s">
        <v>15</v>
      </c>
      <c r="B1865" s="1" t="s">
        <v>123</v>
      </c>
      <c r="C1865" s="2">
        <v>45092</v>
      </c>
      <c r="D1865" s="1" t="s">
        <v>59</v>
      </c>
      <c r="E1865" s="1" t="s">
        <v>40</v>
      </c>
      <c r="F1865">
        <v>2758.77</v>
      </c>
      <c r="G1865">
        <v>42</v>
      </c>
      <c r="H1865" s="1" t="s">
        <v>57</v>
      </c>
      <c r="I1865">
        <v>1089.0899999999999</v>
      </c>
      <c r="J1865">
        <v>1355.44</v>
      </c>
      <c r="K1865" s="1" t="s">
        <v>26</v>
      </c>
      <c r="L1865">
        <v>0.06</v>
      </c>
      <c r="M1865" s="1" t="s">
        <v>21</v>
      </c>
      <c r="N1865" s="1" t="s">
        <v>33</v>
      </c>
      <c r="O1865" s="1" t="s">
        <v>90</v>
      </c>
      <c r="P1865">
        <v>45741.78</v>
      </c>
      <c r="Q1865">
        <v>2023</v>
      </c>
      <c r="R1865">
        <v>53512.771200000003</v>
      </c>
      <c r="S1865">
        <v>7770.991200000004</v>
      </c>
      <c r="T1865" s="1" t="s">
        <v>164</v>
      </c>
      <c r="U1865">
        <v>0.14521750650805401</v>
      </c>
    </row>
    <row r="1866" spans="1:21" x14ac:dyDescent="0.3">
      <c r="A1866" s="1" t="s">
        <v>15</v>
      </c>
      <c r="B1866" s="1" t="s">
        <v>146</v>
      </c>
      <c r="C1866" s="2">
        <v>45092</v>
      </c>
      <c r="D1866" s="1" t="s">
        <v>59</v>
      </c>
      <c r="E1866" s="1" t="s">
        <v>44</v>
      </c>
      <c r="F1866">
        <v>6277.59</v>
      </c>
      <c r="G1866">
        <v>13</v>
      </c>
      <c r="H1866" s="1" t="s">
        <v>31</v>
      </c>
      <c r="I1866">
        <v>3087.73</v>
      </c>
      <c r="J1866">
        <v>3263.96</v>
      </c>
      <c r="K1866" s="1" t="s">
        <v>26</v>
      </c>
      <c r="L1866">
        <v>0.24</v>
      </c>
      <c r="M1866" s="1" t="s">
        <v>21</v>
      </c>
      <c r="N1866" s="1" t="s">
        <v>33</v>
      </c>
      <c r="O1866" s="1" t="s">
        <v>60</v>
      </c>
      <c r="P1866">
        <v>40140.49</v>
      </c>
      <c r="Q1866">
        <v>2023</v>
      </c>
      <c r="R1866">
        <v>32247.924800000004</v>
      </c>
      <c r="S1866">
        <v>-7892.5651999999936</v>
      </c>
      <c r="T1866" s="1" t="s">
        <v>164</v>
      </c>
      <c r="U1866">
        <v>-0.24474645264615599</v>
      </c>
    </row>
    <row r="1867" spans="1:21" x14ac:dyDescent="0.3">
      <c r="A1867" s="1" t="s">
        <v>15</v>
      </c>
      <c r="B1867" s="1" t="s">
        <v>81</v>
      </c>
      <c r="C1867" s="2">
        <v>45094</v>
      </c>
      <c r="D1867" s="1" t="s">
        <v>25</v>
      </c>
      <c r="E1867" s="1" t="s">
        <v>18</v>
      </c>
      <c r="F1867">
        <v>2541.38</v>
      </c>
      <c r="G1867">
        <v>6</v>
      </c>
      <c r="H1867" s="1" t="s">
        <v>31</v>
      </c>
      <c r="I1867">
        <v>2388.9499999999998</v>
      </c>
      <c r="J1867">
        <v>2742.97</v>
      </c>
      <c r="K1867" s="1" t="s">
        <v>20</v>
      </c>
      <c r="L1867">
        <v>0.25</v>
      </c>
      <c r="M1867" s="1" t="s">
        <v>27</v>
      </c>
      <c r="N1867" s="1" t="s">
        <v>33</v>
      </c>
      <c r="O1867" s="1" t="s">
        <v>28</v>
      </c>
      <c r="P1867">
        <v>14333.699999999999</v>
      </c>
      <c r="Q1867">
        <v>2023</v>
      </c>
      <c r="R1867">
        <v>12343.365</v>
      </c>
      <c r="S1867">
        <v>-1990.3349999999991</v>
      </c>
      <c r="T1867" s="1" t="s">
        <v>164</v>
      </c>
      <c r="U1867">
        <v>-0.161247358398621</v>
      </c>
    </row>
    <row r="1868" spans="1:21" x14ac:dyDescent="0.3">
      <c r="A1868" s="1" t="s">
        <v>15</v>
      </c>
      <c r="B1868" s="1" t="s">
        <v>108</v>
      </c>
      <c r="C1868" s="2">
        <v>45094</v>
      </c>
      <c r="D1868" s="1" t="s">
        <v>59</v>
      </c>
      <c r="E1868" s="1" t="s">
        <v>44</v>
      </c>
      <c r="F1868">
        <v>1632.8</v>
      </c>
      <c r="G1868">
        <v>47</v>
      </c>
      <c r="H1868" s="1" t="s">
        <v>31</v>
      </c>
      <c r="I1868">
        <v>1447.45</v>
      </c>
      <c r="J1868">
        <v>1703.02</v>
      </c>
      <c r="K1868" s="1" t="s">
        <v>20</v>
      </c>
      <c r="L1868">
        <v>0.12</v>
      </c>
      <c r="M1868" s="1" t="s">
        <v>32</v>
      </c>
      <c r="N1868" s="1" t="s">
        <v>33</v>
      </c>
      <c r="O1868" s="1" t="s">
        <v>60</v>
      </c>
      <c r="P1868">
        <v>68030.150000000009</v>
      </c>
      <c r="Q1868">
        <v>2023</v>
      </c>
      <c r="R1868">
        <v>70436.907200000001</v>
      </c>
      <c r="S1868">
        <v>2406.7571999999927</v>
      </c>
      <c r="T1868" s="1" t="s">
        <v>164</v>
      </c>
      <c r="U1868">
        <v>3.4168978958235598E-2</v>
      </c>
    </row>
    <row r="1869" spans="1:21" x14ac:dyDescent="0.3">
      <c r="A1869" s="1" t="s">
        <v>15</v>
      </c>
      <c r="B1869" s="1" t="s">
        <v>108</v>
      </c>
      <c r="C1869" s="2">
        <v>45094</v>
      </c>
      <c r="D1869" s="1" t="s">
        <v>36</v>
      </c>
      <c r="E1869" s="1" t="s">
        <v>44</v>
      </c>
      <c r="F1869">
        <v>862.02</v>
      </c>
      <c r="G1869">
        <v>21</v>
      </c>
      <c r="H1869" s="1" t="s">
        <v>19</v>
      </c>
      <c r="I1869">
        <v>2792.2</v>
      </c>
      <c r="J1869">
        <v>3254.55</v>
      </c>
      <c r="K1869" s="1" t="s">
        <v>26</v>
      </c>
      <c r="L1869">
        <v>0.02</v>
      </c>
      <c r="M1869" s="1" t="s">
        <v>27</v>
      </c>
      <c r="N1869" s="1" t="s">
        <v>33</v>
      </c>
      <c r="O1869" s="1" t="s">
        <v>71</v>
      </c>
      <c r="P1869">
        <v>58636.2</v>
      </c>
      <c r="Q1869">
        <v>2023</v>
      </c>
      <c r="R1869">
        <v>66978.638999999996</v>
      </c>
      <c r="S1869">
        <v>8342.4389999999985</v>
      </c>
      <c r="T1869" s="1" t="s">
        <v>164</v>
      </c>
      <c r="U1869">
        <v>0.1245537252556</v>
      </c>
    </row>
    <row r="1870" spans="1:21" x14ac:dyDescent="0.3">
      <c r="A1870" s="1" t="s">
        <v>15</v>
      </c>
      <c r="B1870" s="1" t="s">
        <v>123</v>
      </c>
      <c r="C1870" s="2">
        <v>45095</v>
      </c>
      <c r="D1870" s="1" t="s">
        <v>17</v>
      </c>
      <c r="E1870" s="1" t="s">
        <v>40</v>
      </c>
      <c r="F1870">
        <v>2792.27</v>
      </c>
      <c r="G1870">
        <v>24</v>
      </c>
      <c r="H1870" s="1" t="s">
        <v>19</v>
      </c>
      <c r="I1870">
        <v>1543.91</v>
      </c>
      <c r="J1870">
        <v>1862.88</v>
      </c>
      <c r="K1870" s="1" t="s">
        <v>26</v>
      </c>
      <c r="L1870">
        <v>0.09</v>
      </c>
      <c r="M1870" s="1" t="s">
        <v>32</v>
      </c>
      <c r="N1870" s="1" t="s">
        <v>22</v>
      </c>
      <c r="O1870" s="1" t="s">
        <v>67</v>
      </c>
      <c r="P1870">
        <v>37053.840000000004</v>
      </c>
      <c r="Q1870">
        <v>2023</v>
      </c>
      <c r="R1870">
        <v>40685.299200000001</v>
      </c>
      <c r="S1870">
        <v>3631.4591999999975</v>
      </c>
      <c r="T1870" s="1" t="s">
        <v>164</v>
      </c>
      <c r="U1870">
        <v>8.9257281411365394E-2</v>
      </c>
    </row>
    <row r="1871" spans="1:21" x14ac:dyDescent="0.3">
      <c r="A1871" s="1" t="s">
        <v>15</v>
      </c>
      <c r="B1871" s="1" t="s">
        <v>51</v>
      </c>
      <c r="C1871" s="2">
        <v>45096</v>
      </c>
      <c r="D1871" s="1" t="s">
        <v>17</v>
      </c>
      <c r="E1871" s="1" t="s">
        <v>40</v>
      </c>
      <c r="F1871">
        <v>1263.76</v>
      </c>
      <c r="G1871">
        <v>18</v>
      </c>
      <c r="H1871" s="1" t="s">
        <v>57</v>
      </c>
      <c r="I1871">
        <v>117.63</v>
      </c>
      <c r="J1871">
        <v>576.44000000000005</v>
      </c>
      <c r="K1871" s="1" t="s">
        <v>26</v>
      </c>
      <c r="L1871">
        <v>0.18</v>
      </c>
      <c r="M1871" s="1" t="s">
        <v>27</v>
      </c>
      <c r="N1871" s="1" t="s">
        <v>33</v>
      </c>
      <c r="O1871" s="1" t="s">
        <v>67</v>
      </c>
      <c r="P1871">
        <v>2117.34</v>
      </c>
      <c r="Q1871">
        <v>2023</v>
      </c>
      <c r="R1871">
        <v>8508.2544000000016</v>
      </c>
      <c r="S1871">
        <v>6390.9144000000015</v>
      </c>
      <c r="T1871" s="1" t="s">
        <v>164</v>
      </c>
      <c r="U1871">
        <v>0.75114284311949997</v>
      </c>
    </row>
    <row r="1872" spans="1:21" x14ac:dyDescent="0.3">
      <c r="A1872" s="1" t="s">
        <v>15</v>
      </c>
      <c r="B1872" s="1" t="s">
        <v>107</v>
      </c>
      <c r="C1872" s="2">
        <v>45096</v>
      </c>
      <c r="D1872" s="1" t="s">
        <v>17</v>
      </c>
      <c r="E1872" s="1" t="s">
        <v>30</v>
      </c>
      <c r="F1872">
        <v>8064.5</v>
      </c>
      <c r="G1872">
        <v>27</v>
      </c>
      <c r="H1872" s="1" t="s">
        <v>57</v>
      </c>
      <c r="I1872">
        <v>3196.38</v>
      </c>
      <c r="J1872">
        <v>3596.64</v>
      </c>
      <c r="K1872" s="1" t="s">
        <v>26</v>
      </c>
      <c r="L1872">
        <v>0.01</v>
      </c>
      <c r="M1872" s="1" t="s">
        <v>21</v>
      </c>
      <c r="N1872" s="1" t="s">
        <v>33</v>
      </c>
      <c r="O1872" s="1" t="s">
        <v>34</v>
      </c>
      <c r="P1872">
        <v>86302.260000000009</v>
      </c>
      <c r="Q1872">
        <v>2023</v>
      </c>
      <c r="R1872">
        <v>96138.1872</v>
      </c>
      <c r="S1872">
        <v>9835.927199999991</v>
      </c>
      <c r="T1872" s="1" t="s">
        <v>164</v>
      </c>
      <c r="U1872">
        <v>0.102310304432285</v>
      </c>
    </row>
    <row r="1873" spans="1:21" x14ac:dyDescent="0.3">
      <c r="A1873" s="1" t="s">
        <v>15</v>
      </c>
      <c r="B1873" s="1" t="s">
        <v>91</v>
      </c>
      <c r="C1873" s="2">
        <v>45096</v>
      </c>
      <c r="D1873" s="1" t="s">
        <v>36</v>
      </c>
      <c r="E1873" s="1" t="s">
        <v>18</v>
      </c>
      <c r="F1873">
        <v>2768.17</v>
      </c>
      <c r="G1873">
        <v>36</v>
      </c>
      <c r="H1873" s="1" t="s">
        <v>37</v>
      </c>
      <c r="I1873">
        <v>3835.64</v>
      </c>
      <c r="J1873">
        <v>4076.77</v>
      </c>
      <c r="K1873" s="1" t="s">
        <v>20</v>
      </c>
      <c r="L1873">
        <v>0.1</v>
      </c>
      <c r="M1873" s="1" t="s">
        <v>27</v>
      </c>
      <c r="N1873" s="1" t="s">
        <v>33</v>
      </c>
      <c r="O1873" s="1" t="s">
        <v>115</v>
      </c>
      <c r="P1873">
        <v>138083.04</v>
      </c>
      <c r="Q1873">
        <v>2023</v>
      </c>
      <c r="R1873">
        <v>132087.348</v>
      </c>
      <c r="S1873">
        <v>-5995.69200000001</v>
      </c>
      <c r="T1873" s="1" t="s">
        <v>164</v>
      </c>
      <c r="U1873">
        <v>-4.5391872051212701E-2</v>
      </c>
    </row>
    <row r="1874" spans="1:21" x14ac:dyDescent="0.3">
      <c r="A1874" s="1" t="s">
        <v>15</v>
      </c>
      <c r="B1874" s="1" t="s">
        <v>96</v>
      </c>
      <c r="C1874" s="2">
        <v>45097</v>
      </c>
      <c r="D1874" s="1" t="s">
        <v>17</v>
      </c>
      <c r="E1874" s="1" t="s">
        <v>40</v>
      </c>
      <c r="F1874">
        <v>2896.54</v>
      </c>
      <c r="G1874">
        <v>48</v>
      </c>
      <c r="H1874" s="1" t="s">
        <v>19</v>
      </c>
      <c r="I1874">
        <v>2614.48</v>
      </c>
      <c r="J1874">
        <v>3049.04</v>
      </c>
      <c r="K1874" s="1" t="s">
        <v>26</v>
      </c>
      <c r="L1874">
        <v>0.1</v>
      </c>
      <c r="M1874" s="1" t="s">
        <v>27</v>
      </c>
      <c r="N1874" s="1" t="s">
        <v>33</v>
      </c>
      <c r="O1874" s="1" t="s">
        <v>67</v>
      </c>
      <c r="P1874">
        <v>125495.04000000001</v>
      </c>
      <c r="Q1874">
        <v>2023</v>
      </c>
      <c r="R1874">
        <v>131718.52799999999</v>
      </c>
      <c r="S1874">
        <v>6223.487999999983</v>
      </c>
      <c r="T1874" s="1" t="s">
        <v>164</v>
      </c>
      <c r="U1874">
        <v>4.7248387106178298E-2</v>
      </c>
    </row>
    <row r="1875" spans="1:21" x14ac:dyDescent="0.3">
      <c r="A1875" s="1" t="s">
        <v>15</v>
      </c>
      <c r="B1875" s="1" t="s">
        <v>94</v>
      </c>
      <c r="C1875" s="2">
        <v>45097</v>
      </c>
      <c r="D1875" s="1" t="s">
        <v>59</v>
      </c>
      <c r="E1875" s="1" t="s">
        <v>30</v>
      </c>
      <c r="F1875">
        <v>2019.24</v>
      </c>
      <c r="G1875">
        <v>47</v>
      </c>
      <c r="H1875" s="1" t="s">
        <v>19</v>
      </c>
      <c r="I1875">
        <v>325.75</v>
      </c>
      <c r="J1875">
        <v>803.71</v>
      </c>
      <c r="K1875" s="1" t="s">
        <v>26</v>
      </c>
      <c r="L1875">
        <v>0.12</v>
      </c>
      <c r="M1875" s="1" t="s">
        <v>32</v>
      </c>
      <c r="N1875" s="1" t="s">
        <v>33</v>
      </c>
      <c r="O1875" s="1" t="s">
        <v>86</v>
      </c>
      <c r="P1875">
        <v>15310.25</v>
      </c>
      <c r="Q1875">
        <v>2023</v>
      </c>
      <c r="R1875">
        <v>33241.445599999999</v>
      </c>
      <c r="S1875">
        <v>17931.195599999999</v>
      </c>
      <c r="T1875" s="1" t="s">
        <v>164</v>
      </c>
      <c r="U1875">
        <v>0.53942285831275605</v>
      </c>
    </row>
    <row r="1876" spans="1:21" x14ac:dyDescent="0.3">
      <c r="A1876" s="1" t="s">
        <v>15</v>
      </c>
      <c r="B1876" s="1" t="s">
        <v>114</v>
      </c>
      <c r="C1876" s="2">
        <v>45098</v>
      </c>
      <c r="D1876" s="1" t="s">
        <v>17</v>
      </c>
      <c r="E1876" s="1" t="s">
        <v>18</v>
      </c>
      <c r="F1876">
        <v>750.38</v>
      </c>
      <c r="G1876">
        <v>28</v>
      </c>
      <c r="H1876" s="1" t="s">
        <v>19</v>
      </c>
      <c r="I1876">
        <v>1006.14</v>
      </c>
      <c r="J1876">
        <v>1043.45</v>
      </c>
      <c r="K1876" s="1" t="s">
        <v>26</v>
      </c>
      <c r="L1876">
        <v>0.15</v>
      </c>
      <c r="M1876" s="1" t="s">
        <v>32</v>
      </c>
      <c r="N1876" s="1" t="s">
        <v>33</v>
      </c>
      <c r="O1876" s="1" t="s">
        <v>23</v>
      </c>
      <c r="P1876">
        <v>28171.919999999998</v>
      </c>
      <c r="Q1876">
        <v>2023</v>
      </c>
      <c r="R1876">
        <v>24834.11</v>
      </c>
      <c r="S1876">
        <v>-3337.8099999999977</v>
      </c>
      <c r="T1876" s="1" t="s">
        <v>164</v>
      </c>
      <c r="U1876">
        <v>-0.13440425286027999</v>
      </c>
    </row>
    <row r="1877" spans="1:21" x14ac:dyDescent="0.3">
      <c r="A1877" s="1" t="s">
        <v>15</v>
      </c>
      <c r="B1877" s="1" t="s">
        <v>35</v>
      </c>
      <c r="C1877" s="2">
        <v>45098</v>
      </c>
      <c r="D1877" s="1" t="s">
        <v>43</v>
      </c>
      <c r="E1877" s="1" t="s">
        <v>40</v>
      </c>
      <c r="F1877">
        <v>9215.59</v>
      </c>
      <c r="G1877">
        <v>46</v>
      </c>
      <c r="H1877" s="1" t="s">
        <v>37</v>
      </c>
      <c r="I1877">
        <v>984.53</v>
      </c>
      <c r="J1877">
        <v>1138.49</v>
      </c>
      <c r="K1877" s="1" t="s">
        <v>26</v>
      </c>
      <c r="L1877">
        <v>0.04</v>
      </c>
      <c r="M1877" s="1" t="s">
        <v>32</v>
      </c>
      <c r="N1877" s="1" t="s">
        <v>22</v>
      </c>
      <c r="O1877" s="1" t="s">
        <v>99</v>
      </c>
      <c r="P1877">
        <v>45288.38</v>
      </c>
      <c r="Q1877">
        <v>2023</v>
      </c>
      <c r="R1877">
        <v>50275.718399999998</v>
      </c>
      <c r="S1877">
        <v>4987.3384000000005</v>
      </c>
      <c r="T1877" s="1" t="s">
        <v>164</v>
      </c>
      <c r="U1877">
        <v>9.9199744105496507E-2</v>
      </c>
    </row>
    <row r="1878" spans="1:21" x14ac:dyDescent="0.3">
      <c r="A1878" s="1" t="s">
        <v>15</v>
      </c>
      <c r="B1878" s="1" t="s">
        <v>146</v>
      </c>
      <c r="C1878" s="2">
        <v>45099</v>
      </c>
      <c r="D1878" s="1" t="s">
        <v>17</v>
      </c>
      <c r="E1878" s="1" t="s">
        <v>30</v>
      </c>
      <c r="F1878">
        <v>7762.51</v>
      </c>
      <c r="G1878">
        <v>39</v>
      </c>
      <c r="H1878" s="1" t="s">
        <v>37</v>
      </c>
      <c r="I1878">
        <v>2416.89</v>
      </c>
      <c r="J1878">
        <v>2778.4</v>
      </c>
      <c r="K1878" s="1" t="s">
        <v>20</v>
      </c>
      <c r="L1878">
        <v>0.05</v>
      </c>
      <c r="M1878" s="1" t="s">
        <v>21</v>
      </c>
      <c r="N1878" s="1" t="s">
        <v>22</v>
      </c>
      <c r="O1878" s="1" t="s">
        <v>34</v>
      </c>
      <c r="P1878">
        <v>94258.709999999992</v>
      </c>
      <c r="Q1878">
        <v>2023</v>
      </c>
      <c r="R1878">
        <v>102939.72</v>
      </c>
      <c r="S1878">
        <v>8681.0100000000093</v>
      </c>
      <c r="T1878" s="1" t="s">
        <v>164</v>
      </c>
      <c r="U1878">
        <v>8.4331004591813599E-2</v>
      </c>
    </row>
    <row r="1879" spans="1:21" x14ac:dyDescent="0.3">
      <c r="A1879" s="1" t="s">
        <v>15</v>
      </c>
      <c r="B1879" s="1" t="s">
        <v>84</v>
      </c>
      <c r="C1879" s="2">
        <v>45099</v>
      </c>
      <c r="D1879" s="1" t="s">
        <v>17</v>
      </c>
      <c r="E1879" s="1" t="s">
        <v>18</v>
      </c>
      <c r="F1879">
        <v>6658.1</v>
      </c>
      <c r="G1879">
        <v>49</v>
      </c>
      <c r="H1879" s="1" t="s">
        <v>31</v>
      </c>
      <c r="I1879">
        <v>4291.97</v>
      </c>
      <c r="J1879">
        <v>4645.6400000000003</v>
      </c>
      <c r="K1879" s="1" t="s">
        <v>20</v>
      </c>
      <c r="L1879">
        <v>0.26</v>
      </c>
      <c r="M1879" s="1" t="s">
        <v>27</v>
      </c>
      <c r="N1879" s="1" t="s">
        <v>22</v>
      </c>
      <c r="O1879" s="1" t="s">
        <v>23</v>
      </c>
      <c r="P1879">
        <v>210306.53</v>
      </c>
      <c r="Q1879">
        <v>2023</v>
      </c>
      <c r="R1879">
        <v>168450.90640000001</v>
      </c>
      <c r="S1879">
        <v>-41855.623599999992</v>
      </c>
      <c r="T1879" s="1" t="s">
        <v>164</v>
      </c>
      <c r="U1879">
        <v>-0.24847372148067001</v>
      </c>
    </row>
    <row r="1880" spans="1:21" x14ac:dyDescent="0.3">
      <c r="A1880" s="1" t="s">
        <v>15</v>
      </c>
      <c r="B1880" s="1" t="s">
        <v>144</v>
      </c>
      <c r="C1880" s="2">
        <v>45099</v>
      </c>
      <c r="D1880" s="1" t="s">
        <v>43</v>
      </c>
      <c r="E1880" s="1" t="s">
        <v>30</v>
      </c>
      <c r="F1880">
        <v>5917.1</v>
      </c>
      <c r="G1880">
        <v>25</v>
      </c>
      <c r="H1880" s="1" t="s">
        <v>37</v>
      </c>
      <c r="I1880">
        <v>3997.1</v>
      </c>
      <c r="J1880">
        <v>4212.6499999999996</v>
      </c>
      <c r="K1880" s="1" t="s">
        <v>26</v>
      </c>
      <c r="L1880">
        <v>0.22</v>
      </c>
      <c r="M1880" s="1" t="s">
        <v>21</v>
      </c>
      <c r="N1880" s="1" t="s">
        <v>22</v>
      </c>
      <c r="O1880" s="1" t="s">
        <v>54</v>
      </c>
      <c r="P1880">
        <v>99927.5</v>
      </c>
      <c r="Q1880">
        <v>2023</v>
      </c>
      <c r="R1880">
        <v>82146.674999999988</v>
      </c>
      <c r="S1880">
        <v>-17780.825000000012</v>
      </c>
      <c r="T1880" s="1" t="s">
        <v>164</v>
      </c>
      <c r="U1880">
        <v>-0.21645215707148199</v>
      </c>
    </row>
    <row r="1881" spans="1:21" x14ac:dyDescent="0.3">
      <c r="A1881" s="1" t="s">
        <v>15</v>
      </c>
      <c r="B1881" s="1" t="s">
        <v>154</v>
      </c>
      <c r="C1881" s="2">
        <v>45099</v>
      </c>
      <c r="D1881" s="1" t="s">
        <v>17</v>
      </c>
      <c r="E1881" s="1" t="s">
        <v>44</v>
      </c>
      <c r="F1881">
        <v>2265.23</v>
      </c>
      <c r="G1881">
        <v>49</v>
      </c>
      <c r="H1881" s="1" t="s">
        <v>19</v>
      </c>
      <c r="I1881">
        <v>437.59</v>
      </c>
      <c r="J1881">
        <v>675.54</v>
      </c>
      <c r="K1881" s="1" t="s">
        <v>20</v>
      </c>
      <c r="L1881">
        <v>0.1</v>
      </c>
      <c r="M1881" s="1" t="s">
        <v>21</v>
      </c>
      <c r="N1881" s="1" t="s">
        <v>22</v>
      </c>
      <c r="O1881" s="1" t="s">
        <v>49</v>
      </c>
      <c r="P1881">
        <v>21441.91</v>
      </c>
      <c r="Q1881">
        <v>2023</v>
      </c>
      <c r="R1881">
        <v>29791.313999999998</v>
      </c>
      <c r="S1881">
        <v>8349.4039999999986</v>
      </c>
      <c r="T1881" s="1" t="s">
        <v>164</v>
      </c>
      <c r="U1881">
        <v>0.28026303237245598</v>
      </c>
    </row>
    <row r="1882" spans="1:21" x14ac:dyDescent="0.3">
      <c r="A1882" s="1" t="s">
        <v>15</v>
      </c>
      <c r="B1882" s="1" t="s">
        <v>78</v>
      </c>
      <c r="C1882" s="2">
        <v>45100</v>
      </c>
      <c r="D1882" s="1" t="s">
        <v>36</v>
      </c>
      <c r="E1882" s="1" t="s">
        <v>40</v>
      </c>
      <c r="F1882">
        <v>4291.0200000000004</v>
      </c>
      <c r="G1882">
        <v>27</v>
      </c>
      <c r="H1882" s="1" t="s">
        <v>37</v>
      </c>
      <c r="I1882">
        <v>1456.09</v>
      </c>
      <c r="J1882">
        <v>1510.43</v>
      </c>
      <c r="K1882" s="1" t="s">
        <v>20</v>
      </c>
      <c r="L1882">
        <v>0.17</v>
      </c>
      <c r="M1882" s="1" t="s">
        <v>21</v>
      </c>
      <c r="N1882" s="1" t="s">
        <v>33</v>
      </c>
      <c r="O1882" s="1" t="s">
        <v>41</v>
      </c>
      <c r="P1882">
        <v>39314.43</v>
      </c>
      <c r="Q1882">
        <v>2023</v>
      </c>
      <c r="R1882">
        <v>33848.736299999997</v>
      </c>
      <c r="S1882">
        <v>-5465.6937000000034</v>
      </c>
      <c r="T1882" s="1" t="s">
        <v>164</v>
      </c>
      <c r="U1882">
        <v>-0.161474084336791</v>
      </c>
    </row>
    <row r="1883" spans="1:21" x14ac:dyDescent="0.3">
      <c r="A1883" s="1" t="s">
        <v>15</v>
      </c>
      <c r="B1883" s="1" t="s">
        <v>73</v>
      </c>
      <c r="C1883" s="2">
        <v>45100</v>
      </c>
      <c r="D1883" s="1" t="s">
        <v>43</v>
      </c>
      <c r="E1883" s="1" t="s">
        <v>18</v>
      </c>
      <c r="F1883">
        <v>914.5</v>
      </c>
      <c r="G1883">
        <v>11</v>
      </c>
      <c r="H1883" s="1" t="s">
        <v>31</v>
      </c>
      <c r="I1883">
        <v>3435.68</v>
      </c>
      <c r="J1883">
        <v>3552.63</v>
      </c>
      <c r="K1883" s="1" t="s">
        <v>26</v>
      </c>
      <c r="L1883">
        <v>0.27</v>
      </c>
      <c r="M1883" s="1" t="s">
        <v>21</v>
      </c>
      <c r="N1883" s="1" t="s">
        <v>33</v>
      </c>
      <c r="O1883" s="1" t="s">
        <v>62</v>
      </c>
      <c r="P1883">
        <v>37792.479999999996</v>
      </c>
      <c r="Q1883">
        <v>2023</v>
      </c>
      <c r="R1883">
        <v>28527.618900000001</v>
      </c>
      <c r="S1883">
        <v>-9264.8610999999946</v>
      </c>
      <c r="T1883" s="1" t="s">
        <v>164</v>
      </c>
      <c r="U1883">
        <v>-0.32476811795883898</v>
      </c>
    </row>
    <row r="1884" spans="1:21" x14ac:dyDescent="0.3">
      <c r="A1884" s="1" t="s">
        <v>15</v>
      </c>
      <c r="B1884" s="1" t="s">
        <v>97</v>
      </c>
      <c r="C1884" s="2">
        <v>45101</v>
      </c>
      <c r="D1884" s="1" t="s">
        <v>59</v>
      </c>
      <c r="E1884" s="1" t="s">
        <v>18</v>
      </c>
      <c r="F1884">
        <v>8292.31</v>
      </c>
      <c r="G1884">
        <v>43</v>
      </c>
      <c r="H1884" s="1" t="s">
        <v>19</v>
      </c>
      <c r="I1884">
        <v>3105.24</v>
      </c>
      <c r="J1884">
        <v>3246.33</v>
      </c>
      <c r="K1884" s="1" t="s">
        <v>26</v>
      </c>
      <c r="L1884">
        <v>0.25</v>
      </c>
      <c r="M1884" s="1" t="s">
        <v>21</v>
      </c>
      <c r="N1884" s="1" t="s">
        <v>22</v>
      </c>
      <c r="O1884" s="1" t="s">
        <v>77</v>
      </c>
      <c r="P1884">
        <v>133525.31999999998</v>
      </c>
      <c r="Q1884">
        <v>2023</v>
      </c>
      <c r="R1884">
        <v>104694.1425</v>
      </c>
      <c r="S1884">
        <v>-28831.177499999976</v>
      </c>
      <c r="T1884" s="1" t="s">
        <v>164</v>
      </c>
      <c r="U1884">
        <v>-0.275384819165026</v>
      </c>
    </row>
    <row r="1885" spans="1:21" x14ac:dyDescent="0.3">
      <c r="A1885" s="1" t="s">
        <v>15</v>
      </c>
      <c r="B1885" s="1" t="s">
        <v>76</v>
      </c>
      <c r="C1885" s="2">
        <v>45101</v>
      </c>
      <c r="D1885" s="1" t="s">
        <v>43</v>
      </c>
      <c r="E1885" s="1" t="s">
        <v>40</v>
      </c>
      <c r="F1885">
        <v>5851.41</v>
      </c>
      <c r="G1885">
        <v>13</v>
      </c>
      <c r="H1885" s="1" t="s">
        <v>31</v>
      </c>
      <c r="I1885">
        <v>4133.92</v>
      </c>
      <c r="J1885">
        <v>4358.37</v>
      </c>
      <c r="K1885" s="1" t="s">
        <v>26</v>
      </c>
      <c r="L1885">
        <v>0.13</v>
      </c>
      <c r="M1885" s="1" t="s">
        <v>21</v>
      </c>
      <c r="N1885" s="1" t="s">
        <v>33</v>
      </c>
      <c r="O1885" s="1" t="s">
        <v>99</v>
      </c>
      <c r="P1885">
        <v>53740.959999999999</v>
      </c>
      <c r="Q1885">
        <v>2023</v>
      </c>
      <c r="R1885">
        <v>49293.164700000001</v>
      </c>
      <c r="S1885">
        <v>-4447.795299999998</v>
      </c>
      <c r="T1885" s="1" t="s">
        <v>164</v>
      </c>
      <c r="U1885">
        <v>-9.0231481932017202E-2</v>
      </c>
    </row>
    <row r="1886" spans="1:21" x14ac:dyDescent="0.3">
      <c r="A1886" s="1" t="s">
        <v>15</v>
      </c>
      <c r="B1886" s="1" t="s">
        <v>64</v>
      </c>
      <c r="C1886" s="2">
        <v>45101</v>
      </c>
      <c r="D1886" s="1" t="s">
        <v>59</v>
      </c>
      <c r="E1886" s="1" t="s">
        <v>40</v>
      </c>
      <c r="F1886">
        <v>9422.75</v>
      </c>
      <c r="G1886">
        <v>24</v>
      </c>
      <c r="H1886" s="1" t="s">
        <v>37</v>
      </c>
      <c r="I1886">
        <v>4916.17</v>
      </c>
      <c r="J1886">
        <v>5309.32</v>
      </c>
      <c r="K1886" s="1" t="s">
        <v>20</v>
      </c>
      <c r="L1886">
        <v>0.19</v>
      </c>
      <c r="M1886" s="1" t="s">
        <v>27</v>
      </c>
      <c r="N1886" s="1" t="s">
        <v>22</v>
      </c>
      <c r="O1886" s="1" t="s">
        <v>90</v>
      </c>
      <c r="P1886">
        <v>117988.08</v>
      </c>
      <c r="Q1886">
        <v>2023</v>
      </c>
      <c r="R1886">
        <v>103213.1808</v>
      </c>
      <c r="S1886">
        <v>-14774.8992</v>
      </c>
      <c r="T1886" s="1" t="s">
        <v>164</v>
      </c>
      <c r="U1886">
        <v>-0.143149344739504</v>
      </c>
    </row>
    <row r="1887" spans="1:21" x14ac:dyDescent="0.3">
      <c r="A1887" s="1" t="s">
        <v>15</v>
      </c>
      <c r="B1887" s="1" t="s">
        <v>105</v>
      </c>
      <c r="C1887" s="2">
        <v>45102</v>
      </c>
      <c r="D1887" s="1" t="s">
        <v>59</v>
      </c>
      <c r="E1887" s="1" t="s">
        <v>40</v>
      </c>
      <c r="F1887">
        <v>5401.98</v>
      </c>
      <c r="G1887">
        <v>2</v>
      </c>
      <c r="H1887" s="1" t="s">
        <v>37</v>
      </c>
      <c r="I1887">
        <v>3144.82</v>
      </c>
      <c r="J1887">
        <v>3480.58</v>
      </c>
      <c r="K1887" s="1" t="s">
        <v>20</v>
      </c>
      <c r="L1887">
        <v>0.12</v>
      </c>
      <c r="M1887" s="1" t="s">
        <v>21</v>
      </c>
      <c r="N1887" s="1" t="s">
        <v>33</v>
      </c>
      <c r="O1887" s="1" t="s">
        <v>90</v>
      </c>
      <c r="P1887">
        <v>6289.64</v>
      </c>
      <c r="Q1887">
        <v>2023</v>
      </c>
      <c r="R1887">
        <v>6125.8207999999995</v>
      </c>
      <c r="S1887">
        <v>-163.81920000000082</v>
      </c>
      <c r="T1887" s="1" t="s">
        <v>164</v>
      </c>
      <c r="U1887">
        <v>-2.6742408135739301E-2</v>
      </c>
    </row>
    <row r="1888" spans="1:21" x14ac:dyDescent="0.3">
      <c r="A1888" s="1" t="s">
        <v>15</v>
      </c>
      <c r="B1888" s="1" t="s">
        <v>91</v>
      </c>
      <c r="C1888" s="2">
        <v>45102</v>
      </c>
      <c r="D1888" s="1" t="s">
        <v>17</v>
      </c>
      <c r="E1888" s="1" t="s">
        <v>30</v>
      </c>
      <c r="F1888">
        <v>1489.21</v>
      </c>
      <c r="G1888">
        <v>9</v>
      </c>
      <c r="H1888" s="1" t="s">
        <v>19</v>
      </c>
      <c r="I1888">
        <v>4920.34</v>
      </c>
      <c r="J1888">
        <v>5129.1899999999996</v>
      </c>
      <c r="K1888" s="1" t="s">
        <v>20</v>
      </c>
      <c r="L1888">
        <v>0.13</v>
      </c>
      <c r="M1888" s="1" t="s">
        <v>27</v>
      </c>
      <c r="N1888" s="1" t="s">
        <v>22</v>
      </c>
      <c r="O1888" s="1" t="s">
        <v>34</v>
      </c>
      <c r="P1888">
        <v>44283.06</v>
      </c>
      <c r="Q1888">
        <v>2023</v>
      </c>
      <c r="R1888">
        <v>40161.557699999998</v>
      </c>
      <c r="S1888">
        <v>-4121.5023000000001</v>
      </c>
      <c r="T1888" s="1" t="s">
        <v>164</v>
      </c>
      <c r="U1888">
        <v>-0.10262306882583901</v>
      </c>
    </row>
    <row r="1889" spans="1:21" x14ac:dyDescent="0.3">
      <c r="A1889" s="1" t="s">
        <v>15</v>
      </c>
      <c r="B1889" s="1" t="s">
        <v>142</v>
      </c>
      <c r="C1889" s="2">
        <v>45102</v>
      </c>
      <c r="D1889" s="1" t="s">
        <v>59</v>
      </c>
      <c r="E1889" s="1" t="s">
        <v>40</v>
      </c>
      <c r="F1889">
        <v>1781.82</v>
      </c>
      <c r="G1889">
        <v>10</v>
      </c>
      <c r="H1889" s="1" t="s">
        <v>37</v>
      </c>
      <c r="I1889">
        <v>566.86</v>
      </c>
      <c r="J1889">
        <v>818.14</v>
      </c>
      <c r="K1889" s="1" t="s">
        <v>20</v>
      </c>
      <c r="L1889">
        <v>0.25</v>
      </c>
      <c r="M1889" s="1" t="s">
        <v>27</v>
      </c>
      <c r="N1889" s="1" t="s">
        <v>33</v>
      </c>
      <c r="O1889" s="1" t="s">
        <v>90</v>
      </c>
      <c r="P1889">
        <v>5668.6</v>
      </c>
      <c r="Q1889">
        <v>2023</v>
      </c>
      <c r="R1889">
        <v>6136.0499999999993</v>
      </c>
      <c r="S1889">
        <v>467.44999999999891</v>
      </c>
      <c r="T1889" s="1" t="s">
        <v>164</v>
      </c>
      <c r="U1889">
        <v>7.6180930729051896E-2</v>
      </c>
    </row>
    <row r="1890" spans="1:21" x14ac:dyDescent="0.3">
      <c r="A1890" s="1" t="s">
        <v>15</v>
      </c>
      <c r="B1890" s="1" t="s">
        <v>151</v>
      </c>
      <c r="C1890" s="2">
        <v>45103</v>
      </c>
      <c r="D1890" s="1" t="s">
        <v>36</v>
      </c>
      <c r="E1890" s="1" t="s">
        <v>18</v>
      </c>
      <c r="F1890">
        <v>6664.17</v>
      </c>
      <c r="G1890">
        <v>35</v>
      </c>
      <c r="H1890" s="1" t="s">
        <v>19</v>
      </c>
      <c r="I1890">
        <v>295.82</v>
      </c>
      <c r="J1890">
        <v>684.67</v>
      </c>
      <c r="K1890" s="1" t="s">
        <v>26</v>
      </c>
      <c r="L1890">
        <v>0.03</v>
      </c>
      <c r="M1890" s="1" t="s">
        <v>27</v>
      </c>
      <c r="N1890" s="1" t="s">
        <v>22</v>
      </c>
      <c r="O1890" s="1" t="s">
        <v>115</v>
      </c>
      <c r="P1890">
        <v>10353.699999999999</v>
      </c>
      <c r="Q1890">
        <v>2023</v>
      </c>
      <c r="R1890">
        <v>23244.546499999997</v>
      </c>
      <c r="S1890">
        <v>12890.846499999998</v>
      </c>
      <c r="T1890" s="1" t="s">
        <v>164</v>
      </c>
      <c r="U1890">
        <v>0.55457509140907502</v>
      </c>
    </row>
    <row r="1891" spans="1:21" x14ac:dyDescent="0.3">
      <c r="A1891" s="1" t="s">
        <v>15</v>
      </c>
      <c r="B1891" s="1" t="s">
        <v>24</v>
      </c>
      <c r="C1891" s="2">
        <v>45103</v>
      </c>
      <c r="D1891" s="1" t="s">
        <v>17</v>
      </c>
      <c r="E1891" s="1" t="s">
        <v>18</v>
      </c>
      <c r="F1891">
        <v>9029.2099999999991</v>
      </c>
      <c r="G1891">
        <v>35</v>
      </c>
      <c r="H1891" s="1" t="s">
        <v>31</v>
      </c>
      <c r="I1891">
        <v>3925.85</v>
      </c>
      <c r="J1891">
        <v>4082.11</v>
      </c>
      <c r="K1891" s="1" t="s">
        <v>26</v>
      </c>
      <c r="L1891">
        <v>0.22</v>
      </c>
      <c r="M1891" s="1" t="s">
        <v>21</v>
      </c>
      <c r="N1891" s="1" t="s">
        <v>22</v>
      </c>
      <c r="O1891" s="1" t="s">
        <v>23</v>
      </c>
      <c r="P1891">
        <v>137404.75</v>
      </c>
      <c r="Q1891">
        <v>2023</v>
      </c>
      <c r="R1891">
        <v>111441.603</v>
      </c>
      <c r="S1891">
        <v>-25963.146999999997</v>
      </c>
      <c r="T1891" s="1" t="s">
        <v>164</v>
      </c>
      <c r="U1891">
        <v>-0.23297535481430601</v>
      </c>
    </row>
    <row r="1892" spans="1:21" x14ac:dyDescent="0.3">
      <c r="A1892" s="1" t="s">
        <v>15</v>
      </c>
      <c r="B1892" s="1" t="s">
        <v>35</v>
      </c>
      <c r="C1892" s="2">
        <v>45103</v>
      </c>
      <c r="D1892" s="1" t="s">
        <v>59</v>
      </c>
      <c r="E1892" s="1" t="s">
        <v>18</v>
      </c>
      <c r="F1892">
        <v>6201.37</v>
      </c>
      <c r="G1892">
        <v>21</v>
      </c>
      <c r="H1892" s="1" t="s">
        <v>19</v>
      </c>
      <c r="I1892">
        <v>2278.04</v>
      </c>
      <c r="J1892">
        <v>2598.58</v>
      </c>
      <c r="K1892" s="1" t="s">
        <v>20</v>
      </c>
      <c r="L1892">
        <v>0.02</v>
      </c>
      <c r="M1892" s="1" t="s">
        <v>27</v>
      </c>
      <c r="N1892" s="1" t="s">
        <v>33</v>
      </c>
      <c r="O1892" s="1" t="s">
        <v>77</v>
      </c>
      <c r="P1892">
        <v>47838.84</v>
      </c>
      <c r="Q1892">
        <v>2023</v>
      </c>
      <c r="R1892">
        <v>53478.776400000002</v>
      </c>
      <c r="S1892">
        <v>5639.936400000006</v>
      </c>
      <c r="T1892" s="1" t="s">
        <v>164</v>
      </c>
      <c r="U1892">
        <v>0.105461208719802</v>
      </c>
    </row>
    <row r="1893" spans="1:21" x14ac:dyDescent="0.3">
      <c r="A1893" s="1" t="s">
        <v>15</v>
      </c>
      <c r="B1893" s="1" t="s">
        <v>105</v>
      </c>
      <c r="C1893" s="2">
        <v>45103</v>
      </c>
      <c r="D1893" s="1" t="s">
        <v>25</v>
      </c>
      <c r="E1893" s="1" t="s">
        <v>18</v>
      </c>
      <c r="F1893">
        <v>9027.56</v>
      </c>
      <c r="G1893">
        <v>3</v>
      </c>
      <c r="H1893" s="1" t="s">
        <v>37</v>
      </c>
      <c r="I1893">
        <v>3401.87</v>
      </c>
      <c r="J1893">
        <v>3733.71</v>
      </c>
      <c r="K1893" s="1" t="s">
        <v>20</v>
      </c>
      <c r="L1893">
        <v>0.06</v>
      </c>
      <c r="M1893" s="1" t="s">
        <v>32</v>
      </c>
      <c r="N1893" s="1" t="s">
        <v>33</v>
      </c>
      <c r="O1893" s="1" t="s">
        <v>28</v>
      </c>
      <c r="P1893">
        <v>10205.61</v>
      </c>
      <c r="Q1893">
        <v>2023</v>
      </c>
      <c r="R1893">
        <v>10529.0622</v>
      </c>
      <c r="S1893">
        <v>323.45219999999972</v>
      </c>
      <c r="T1893" s="1" t="s">
        <v>164</v>
      </c>
      <c r="U1893">
        <v>3.0719943890159501E-2</v>
      </c>
    </row>
    <row r="1894" spans="1:21" x14ac:dyDescent="0.3">
      <c r="A1894" s="1" t="s">
        <v>15</v>
      </c>
      <c r="B1894" s="1" t="s">
        <v>132</v>
      </c>
      <c r="C1894" s="2">
        <v>45103</v>
      </c>
      <c r="D1894" s="1" t="s">
        <v>36</v>
      </c>
      <c r="E1894" s="1" t="s">
        <v>18</v>
      </c>
      <c r="F1894">
        <v>2457.65</v>
      </c>
      <c r="G1894">
        <v>47</v>
      </c>
      <c r="H1894" s="1" t="s">
        <v>31</v>
      </c>
      <c r="I1894">
        <v>3861.61</v>
      </c>
      <c r="J1894">
        <v>3998.91</v>
      </c>
      <c r="K1894" s="1" t="s">
        <v>26</v>
      </c>
      <c r="L1894">
        <v>0.25</v>
      </c>
      <c r="M1894" s="1" t="s">
        <v>27</v>
      </c>
      <c r="N1894" s="1" t="s">
        <v>22</v>
      </c>
      <c r="O1894" s="1" t="s">
        <v>115</v>
      </c>
      <c r="P1894">
        <v>181495.67</v>
      </c>
      <c r="Q1894">
        <v>2023</v>
      </c>
      <c r="R1894">
        <v>140961.57749999998</v>
      </c>
      <c r="S1894">
        <v>-40534.092500000028</v>
      </c>
      <c r="T1894" s="1" t="s">
        <v>164</v>
      </c>
      <c r="U1894">
        <v>-0.28755419185061298</v>
      </c>
    </row>
    <row r="1895" spans="1:21" x14ac:dyDescent="0.3">
      <c r="A1895" s="1" t="s">
        <v>15</v>
      </c>
      <c r="B1895" s="1" t="s">
        <v>146</v>
      </c>
      <c r="C1895" s="2">
        <v>45104</v>
      </c>
      <c r="D1895" s="1" t="s">
        <v>59</v>
      </c>
      <c r="E1895" s="1" t="s">
        <v>40</v>
      </c>
      <c r="F1895">
        <v>7825.72</v>
      </c>
      <c r="G1895">
        <v>2</v>
      </c>
      <c r="H1895" s="1" t="s">
        <v>37</v>
      </c>
      <c r="I1895">
        <v>2953.23</v>
      </c>
      <c r="J1895">
        <v>2977.52</v>
      </c>
      <c r="K1895" s="1" t="s">
        <v>20</v>
      </c>
      <c r="L1895">
        <v>0.11</v>
      </c>
      <c r="M1895" s="1" t="s">
        <v>27</v>
      </c>
      <c r="N1895" s="1" t="s">
        <v>33</v>
      </c>
      <c r="O1895" s="1" t="s">
        <v>90</v>
      </c>
      <c r="P1895">
        <v>5906.46</v>
      </c>
      <c r="Q1895">
        <v>2023</v>
      </c>
      <c r="R1895">
        <v>5299.9856</v>
      </c>
      <c r="S1895">
        <v>-606.47440000000006</v>
      </c>
      <c r="T1895" s="1" t="s">
        <v>164</v>
      </c>
      <c r="U1895">
        <v>-0.114429442978109</v>
      </c>
    </row>
    <row r="1896" spans="1:21" x14ac:dyDescent="0.3">
      <c r="A1896" s="1" t="s">
        <v>15</v>
      </c>
      <c r="B1896" s="1" t="s">
        <v>103</v>
      </c>
      <c r="C1896" s="2">
        <v>45104</v>
      </c>
      <c r="D1896" s="1" t="s">
        <v>17</v>
      </c>
      <c r="E1896" s="1" t="s">
        <v>40</v>
      </c>
      <c r="F1896">
        <v>5012.96</v>
      </c>
      <c r="G1896">
        <v>35</v>
      </c>
      <c r="H1896" s="1" t="s">
        <v>31</v>
      </c>
      <c r="I1896">
        <v>900.97</v>
      </c>
      <c r="J1896">
        <v>1321.18</v>
      </c>
      <c r="K1896" s="1" t="s">
        <v>20</v>
      </c>
      <c r="L1896">
        <v>0.1</v>
      </c>
      <c r="M1896" s="1" t="s">
        <v>21</v>
      </c>
      <c r="N1896" s="1" t="s">
        <v>22</v>
      </c>
      <c r="O1896" s="1" t="s">
        <v>67</v>
      </c>
      <c r="P1896">
        <v>31533.95</v>
      </c>
      <c r="Q1896">
        <v>2023</v>
      </c>
      <c r="R1896">
        <v>41617.170000000006</v>
      </c>
      <c r="S1896">
        <v>10083.220000000005</v>
      </c>
      <c r="T1896" s="1" t="s">
        <v>164</v>
      </c>
      <c r="U1896">
        <v>0.242285095310421</v>
      </c>
    </row>
    <row r="1897" spans="1:21" x14ac:dyDescent="0.3">
      <c r="A1897" s="1" t="s">
        <v>15</v>
      </c>
      <c r="B1897" s="1" t="s">
        <v>72</v>
      </c>
      <c r="C1897" s="2">
        <v>45104</v>
      </c>
      <c r="D1897" s="1" t="s">
        <v>43</v>
      </c>
      <c r="E1897" s="1" t="s">
        <v>44</v>
      </c>
      <c r="F1897">
        <v>9683.85</v>
      </c>
      <c r="G1897">
        <v>2</v>
      </c>
      <c r="H1897" s="1" t="s">
        <v>37</v>
      </c>
      <c r="I1897">
        <v>4394.58</v>
      </c>
      <c r="J1897">
        <v>4545.78</v>
      </c>
      <c r="K1897" s="1" t="s">
        <v>20</v>
      </c>
      <c r="L1897">
        <v>0.2</v>
      </c>
      <c r="M1897" s="1" t="s">
        <v>27</v>
      </c>
      <c r="N1897" s="1" t="s">
        <v>33</v>
      </c>
      <c r="O1897" s="1" t="s">
        <v>45</v>
      </c>
      <c r="P1897">
        <v>8789.16</v>
      </c>
      <c r="Q1897">
        <v>2023</v>
      </c>
      <c r="R1897">
        <v>7273.2479999999996</v>
      </c>
      <c r="S1897">
        <v>-1515.9120000000003</v>
      </c>
      <c r="T1897" s="1" t="s">
        <v>164</v>
      </c>
      <c r="U1897">
        <v>-0.20842297691485301</v>
      </c>
    </row>
    <row r="1898" spans="1:21" x14ac:dyDescent="0.3">
      <c r="A1898" s="1" t="s">
        <v>15</v>
      </c>
      <c r="B1898" s="1" t="s">
        <v>64</v>
      </c>
      <c r="C1898" s="2">
        <v>45104</v>
      </c>
      <c r="D1898" s="1" t="s">
        <v>25</v>
      </c>
      <c r="E1898" s="1" t="s">
        <v>18</v>
      </c>
      <c r="F1898">
        <v>3777.53</v>
      </c>
      <c r="G1898">
        <v>19</v>
      </c>
      <c r="H1898" s="1" t="s">
        <v>37</v>
      </c>
      <c r="I1898">
        <v>1222.4000000000001</v>
      </c>
      <c r="J1898">
        <v>1464.71</v>
      </c>
      <c r="K1898" s="1" t="s">
        <v>26</v>
      </c>
      <c r="L1898">
        <v>0</v>
      </c>
      <c r="M1898" s="1" t="s">
        <v>27</v>
      </c>
      <c r="N1898" s="1" t="s">
        <v>33</v>
      </c>
      <c r="O1898" s="1" t="s">
        <v>28</v>
      </c>
      <c r="P1898">
        <v>23225.600000000002</v>
      </c>
      <c r="Q1898">
        <v>2023</v>
      </c>
      <c r="R1898">
        <v>27829.49</v>
      </c>
      <c r="S1898">
        <v>4603.8899999999994</v>
      </c>
      <c r="T1898" s="1" t="s">
        <v>164</v>
      </c>
      <c r="U1898">
        <v>0.16543206505041999</v>
      </c>
    </row>
    <row r="1899" spans="1:21" x14ac:dyDescent="0.3">
      <c r="A1899" s="1" t="s">
        <v>15</v>
      </c>
      <c r="B1899" s="1" t="s">
        <v>58</v>
      </c>
      <c r="C1899" s="2">
        <v>45105</v>
      </c>
      <c r="D1899" s="1" t="s">
        <v>17</v>
      </c>
      <c r="E1899" s="1" t="s">
        <v>44</v>
      </c>
      <c r="F1899">
        <v>2170.94</v>
      </c>
      <c r="G1899">
        <v>9</v>
      </c>
      <c r="H1899" s="1" t="s">
        <v>19</v>
      </c>
      <c r="I1899">
        <v>4155.46</v>
      </c>
      <c r="J1899">
        <v>4273.6000000000004</v>
      </c>
      <c r="K1899" s="1" t="s">
        <v>20</v>
      </c>
      <c r="L1899">
        <v>0.25</v>
      </c>
      <c r="M1899" s="1" t="s">
        <v>21</v>
      </c>
      <c r="N1899" s="1" t="s">
        <v>33</v>
      </c>
      <c r="O1899" s="1" t="s">
        <v>49</v>
      </c>
      <c r="P1899">
        <v>37399.14</v>
      </c>
      <c r="Q1899">
        <v>2023</v>
      </c>
      <c r="R1899">
        <v>28846.800000000003</v>
      </c>
      <c r="S1899">
        <v>-8552.3399999999965</v>
      </c>
      <c r="T1899" s="1" t="s">
        <v>164</v>
      </c>
      <c r="U1899">
        <v>-0.29647447897167101</v>
      </c>
    </row>
    <row r="1900" spans="1:21" x14ac:dyDescent="0.3">
      <c r="A1900" s="1" t="s">
        <v>15</v>
      </c>
      <c r="B1900" s="1" t="s">
        <v>55</v>
      </c>
      <c r="C1900" s="2">
        <v>45105</v>
      </c>
      <c r="D1900" s="1" t="s">
        <v>25</v>
      </c>
      <c r="E1900" s="1" t="s">
        <v>18</v>
      </c>
      <c r="F1900">
        <v>5976.25</v>
      </c>
      <c r="G1900">
        <v>41</v>
      </c>
      <c r="H1900" s="1" t="s">
        <v>19</v>
      </c>
      <c r="I1900">
        <v>3736.88</v>
      </c>
      <c r="J1900">
        <v>3946.77</v>
      </c>
      <c r="K1900" s="1" t="s">
        <v>20</v>
      </c>
      <c r="L1900">
        <v>0.06</v>
      </c>
      <c r="M1900" s="1" t="s">
        <v>27</v>
      </c>
      <c r="N1900" s="1" t="s">
        <v>22</v>
      </c>
      <c r="O1900" s="1" t="s">
        <v>28</v>
      </c>
      <c r="P1900">
        <v>153212.08000000002</v>
      </c>
      <c r="Q1900">
        <v>2023</v>
      </c>
      <c r="R1900">
        <v>152108.51579999999</v>
      </c>
      <c r="S1900">
        <v>-1103.5642000000225</v>
      </c>
      <c r="T1900" s="1" t="s">
        <v>164</v>
      </c>
      <c r="U1900">
        <v>-7.2551112223791896E-3</v>
      </c>
    </row>
    <row r="1901" spans="1:21" x14ac:dyDescent="0.3">
      <c r="A1901" s="1" t="s">
        <v>15</v>
      </c>
      <c r="B1901" s="1" t="s">
        <v>147</v>
      </c>
      <c r="C1901" s="2">
        <v>45105</v>
      </c>
      <c r="D1901" s="1" t="s">
        <v>43</v>
      </c>
      <c r="E1901" s="1" t="s">
        <v>18</v>
      </c>
      <c r="F1901">
        <v>2338.64</v>
      </c>
      <c r="G1901">
        <v>13</v>
      </c>
      <c r="H1901" s="1" t="s">
        <v>37</v>
      </c>
      <c r="I1901">
        <v>1969.78</v>
      </c>
      <c r="J1901">
        <v>2437.6999999999998</v>
      </c>
      <c r="K1901" s="1" t="s">
        <v>26</v>
      </c>
      <c r="L1901">
        <v>0.19</v>
      </c>
      <c r="M1901" s="1" t="s">
        <v>27</v>
      </c>
      <c r="N1901" s="1" t="s">
        <v>33</v>
      </c>
      <c r="O1901" s="1" t="s">
        <v>62</v>
      </c>
      <c r="P1901">
        <v>25607.14</v>
      </c>
      <c r="Q1901">
        <v>2023</v>
      </c>
      <c r="R1901">
        <v>25668.981</v>
      </c>
      <c r="S1901">
        <v>61.841000000000349</v>
      </c>
      <c r="T1901" s="1" t="s">
        <v>164</v>
      </c>
      <c r="U1901">
        <v>2.4091723781321998E-3</v>
      </c>
    </row>
    <row r="1902" spans="1:21" x14ac:dyDescent="0.3">
      <c r="A1902" s="1" t="s">
        <v>15</v>
      </c>
      <c r="B1902" s="1" t="s">
        <v>146</v>
      </c>
      <c r="C1902" s="2">
        <v>45105</v>
      </c>
      <c r="D1902" s="1" t="s">
        <v>43</v>
      </c>
      <c r="E1902" s="1" t="s">
        <v>40</v>
      </c>
      <c r="F1902">
        <v>8003.1</v>
      </c>
      <c r="G1902">
        <v>38</v>
      </c>
      <c r="H1902" s="1" t="s">
        <v>31</v>
      </c>
      <c r="I1902">
        <v>4881.63</v>
      </c>
      <c r="J1902">
        <v>5088.0600000000004</v>
      </c>
      <c r="K1902" s="1" t="s">
        <v>20</v>
      </c>
      <c r="L1902">
        <v>0.16</v>
      </c>
      <c r="M1902" s="1" t="s">
        <v>27</v>
      </c>
      <c r="N1902" s="1" t="s">
        <v>33</v>
      </c>
      <c r="O1902" s="1" t="s">
        <v>99</v>
      </c>
      <c r="P1902">
        <v>185501.94</v>
      </c>
      <c r="Q1902">
        <v>2023</v>
      </c>
      <c r="R1902">
        <v>162410.87520000001</v>
      </c>
      <c r="S1902">
        <v>-23091.064799999993</v>
      </c>
      <c r="T1902" s="1" t="s">
        <v>164</v>
      </c>
      <c r="U1902">
        <v>-0.14217683866037101</v>
      </c>
    </row>
    <row r="1903" spans="1:21" x14ac:dyDescent="0.3">
      <c r="A1903" s="1" t="s">
        <v>15</v>
      </c>
      <c r="B1903" s="1" t="s">
        <v>39</v>
      </c>
      <c r="C1903" s="2">
        <v>45106</v>
      </c>
      <c r="D1903" s="1" t="s">
        <v>36</v>
      </c>
      <c r="E1903" s="1" t="s">
        <v>30</v>
      </c>
      <c r="F1903">
        <v>4223.3900000000003</v>
      </c>
      <c r="G1903">
        <v>30</v>
      </c>
      <c r="H1903" s="1" t="s">
        <v>31</v>
      </c>
      <c r="I1903">
        <v>738.06</v>
      </c>
      <c r="J1903">
        <v>1095.45</v>
      </c>
      <c r="K1903" s="1" t="s">
        <v>26</v>
      </c>
      <c r="L1903">
        <v>0.05</v>
      </c>
      <c r="M1903" s="1" t="s">
        <v>32</v>
      </c>
      <c r="N1903" s="1" t="s">
        <v>22</v>
      </c>
      <c r="O1903" s="1" t="s">
        <v>38</v>
      </c>
      <c r="P1903">
        <v>22141.8</v>
      </c>
      <c r="Q1903">
        <v>2023</v>
      </c>
      <c r="R1903">
        <v>31220.324999999997</v>
      </c>
      <c r="S1903">
        <v>9078.5249999999978</v>
      </c>
      <c r="T1903" s="1" t="s">
        <v>164</v>
      </c>
      <c r="U1903">
        <v>0.29078893317093901</v>
      </c>
    </row>
    <row r="1904" spans="1:21" x14ac:dyDescent="0.3">
      <c r="A1904" s="1" t="s">
        <v>15</v>
      </c>
      <c r="B1904" s="1" t="s">
        <v>73</v>
      </c>
      <c r="C1904" s="2">
        <v>45106</v>
      </c>
      <c r="D1904" s="1" t="s">
        <v>17</v>
      </c>
      <c r="E1904" s="1" t="s">
        <v>30</v>
      </c>
      <c r="F1904">
        <v>114.59</v>
      </c>
      <c r="G1904">
        <v>48</v>
      </c>
      <c r="H1904" s="1" t="s">
        <v>57</v>
      </c>
      <c r="I1904">
        <v>4319.32</v>
      </c>
      <c r="J1904">
        <v>4625.5600000000004</v>
      </c>
      <c r="K1904" s="1" t="s">
        <v>20</v>
      </c>
      <c r="L1904">
        <v>0.1</v>
      </c>
      <c r="M1904" s="1" t="s">
        <v>32</v>
      </c>
      <c r="N1904" s="1" t="s">
        <v>22</v>
      </c>
      <c r="O1904" s="1" t="s">
        <v>34</v>
      </c>
      <c r="P1904">
        <v>207327.35999999999</v>
      </c>
      <c r="Q1904">
        <v>2023</v>
      </c>
      <c r="R1904">
        <v>199824.19200000001</v>
      </c>
      <c r="S1904">
        <v>-7503.167999999976</v>
      </c>
      <c r="T1904" s="1" t="s">
        <v>164</v>
      </c>
      <c r="U1904">
        <v>-3.7548846938412601E-2</v>
      </c>
    </row>
    <row r="1905" spans="1:21" x14ac:dyDescent="0.3">
      <c r="A1905" s="1" t="s">
        <v>15</v>
      </c>
      <c r="B1905" s="1" t="s">
        <v>53</v>
      </c>
      <c r="C1905" s="2">
        <v>45107</v>
      </c>
      <c r="D1905" s="1" t="s">
        <v>43</v>
      </c>
      <c r="E1905" s="1" t="s">
        <v>18</v>
      </c>
      <c r="F1905">
        <v>8414.0400000000009</v>
      </c>
      <c r="G1905">
        <v>46</v>
      </c>
      <c r="H1905" s="1" t="s">
        <v>19</v>
      </c>
      <c r="I1905">
        <v>2245.64</v>
      </c>
      <c r="J1905">
        <v>2260.81</v>
      </c>
      <c r="K1905" s="1" t="s">
        <v>26</v>
      </c>
      <c r="L1905">
        <v>0</v>
      </c>
      <c r="M1905" s="1" t="s">
        <v>21</v>
      </c>
      <c r="N1905" s="1" t="s">
        <v>33</v>
      </c>
      <c r="O1905" s="1" t="s">
        <v>62</v>
      </c>
      <c r="P1905">
        <v>103299.43999999999</v>
      </c>
      <c r="Q1905">
        <v>2023</v>
      </c>
      <c r="R1905">
        <v>103997.26</v>
      </c>
      <c r="S1905">
        <v>697.82000000000698</v>
      </c>
      <c r="T1905" s="1" t="s">
        <v>164</v>
      </c>
      <c r="U1905">
        <v>6.7099844745910301E-3</v>
      </c>
    </row>
    <row r="1906" spans="1:21" x14ac:dyDescent="0.3">
      <c r="A1906" s="1" t="s">
        <v>15</v>
      </c>
      <c r="B1906" s="1" t="s">
        <v>140</v>
      </c>
      <c r="C1906" s="2">
        <v>45107</v>
      </c>
      <c r="D1906" s="1" t="s">
        <v>17</v>
      </c>
      <c r="E1906" s="1" t="s">
        <v>18</v>
      </c>
      <c r="F1906">
        <v>3312.67</v>
      </c>
      <c r="G1906">
        <v>6</v>
      </c>
      <c r="H1906" s="1" t="s">
        <v>19</v>
      </c>
      <c r="I1906">
        <v>2522.7600000000002</v>
      </c>
      <c r="J1906">
        <v>2840.14</v>
      </c>
      <c r="K1906" s="1" t="s">
        <v>20</v>
      </c>
      <c r="L1906">
        <v>7.0000000000000007E-2</v>
      </c>
      <c r="M1906" s="1" t="s">
        <v>27</v>
      </c>
      <c r="N1906" s="1" t="s">
        <v>33</v>
      </c>
      <c r="O1906" s="1" t="s">
        <v>23</v>
      </c>
      <c r="P1906">
        <v>15136.560000000001</v>
      </c>
      <c r="Q1906">
        <v>2023</v>
      </c>
      <c r="R1906">
        <v>15847.981199999998</v>
      </c>
      <c r="S1906">
        <v>711.42119999999704</v>
      </c>
      <c r="T1906" s="1" t="s">
        <v>164</v>
      </c>
      <c r="U1906">
        <v>4.4890335937551297E-2</v>
      </c>
    </row>
    <row r="1907" spans="1:21" x14ac:dyDescent="0.3">
      <c r="A1907" s="1" t="s">
        <v>15</v>
      </c>
      <c r="B1907" s="1" t="s">
        <v>68</v>
      </c>
      <c r="C1907" s="2">
        <v>45107</v>
      </c>
      <c r="D1907" s="1" t="s">
        <v>17</v>
      </c>
      <c r="E1907" s="1" t="s">
        <v>30</v>
      </c>
      <c r="F1907">
        <v>8840.86</v>
      </c>
      <c r="G1907">
        <v>13</v>
      </c>
      <c r="H1907" s="1" t="s">
        <v>31</v>
      </c>
      <c r="I1907">
        <v>1339</v>
      </c>
      <c r="J1907">
        <v>1441.88</v>
      </c>
      <c r="K1907" s="1" t="s">
        <v>20</v>
      </c>
      <c r="L1907">
        <v>0.23</v>
      </c>
      <c r="M1907" s="1" t="s">
        <v>27</v>
      </c>
      <c r="N1907" s="1" t="s">
        <v>33</v>
      </c>
      <c r="O1907" s="1" t="s">
        <v>34</v>
      </c>
      <c r="P1907">
        <v>17407</v>
      </c>
      <c r="Q1907">
        <v>2023</v>
      </c>
      <c r="R1907">
        <v>14433.218800000002</v>
      </c>
      <c r="S1907">
        <v>-2973.7811999999976</v>
      </c>
      <c r="T1907" s="1" t="s">
        <v>164</v>
      </c>
      <c r="U1907">
        <v>-0.20603728393558299</v>
      </c>
    </row>
    <row r="1908" spans="1:21" x14ac:dyDescent="0.3">
      <c r="A1908" s="1" t="s">
        <v>155</v>
      </c>
      <c r="B1908" s="1" t="s">
        <v>55</v>
      </c>
      <c r="C1908" s="2">
        <v>45108</v>
      </c>
      <c r="D1908" s="1" t="s">
        <v>36</v>
      </c>
      <c r="E1908" s="1" t="s">
        <v>18</v>
      </c>
      <c r="F1908">
        <v>2150.0500000000002</v>
      </c>
      <c r="G1908">
        <v>31</v>
      </c>
      <c r="H1908" s="1" t="s">
        <v>31</v>
      </c>
      <c r="I1908">
        <v>4496.8599999999997</v>
      </c>
      <c r="J1908">
        <v>4880.8</v>
      </c>
      <c r="K1908" s="1" t="s">
        <v>26</v>
      </c>
      <c r="L1908">
        <v>0.06</v>
      </c>
      <c r="M1908" s="1" t="s">
        <v>21</v>
      </c>
      <c r="N1908" s="1" t="s">
        <v>33</v>
      </c>
      <c r="O1908" s="1" t="s">
        <v>115</v>
      </c>
      <c r="P1908">
        <v>139402.66</v>
      </c>
      <c r="Q1908">
        <v>2023</v>
      </c>
      <c r="R1908">
        <v>142226.51200000002</v>
      </c>
      <c r="S1908">
        <v>2823.8520000000135</v>
      </c>
      <c r="T1908" s="1" t="s">
        <v>165</v>
      </c>
      <c r="U1908">
        <v>1.9854610510310601E-2</v>
      </c>
    </row>
    <row r="1909" spans="1:21" x14ac:dyDescent="0.3">
      <c r="A1909" s="1" t="s">
        <v>155</v>
      </c>
      <c r="B1909" s="1" t="s">
        <v>125</v>
      </c>
      <c r="C1909" s="2">
        <v>45108</v>
      </c>
      <c r="D1909" s="1" t="s">
        <v>59</v>
      </c>
      <c r="E1909" s="1" t="s">
        <v>40</v>
      </c>
      <c r="F1909">
        <v>3111.57</v>
      </c>
      <c r="G1909">
        <v>17</v>
      </c>
      <c r="H1909" s="1" t="s">
        <v>31</v>
      </c>
      <c r="I1909">
        <v>1475</v>
      </c>
      <c r="J1909">
        <v>1840.77</v>
      </c>
      <c r="K1909" s="1" t="s">
        <v>20</v>
      </c>
      <c r="L1909">
        <v>0.1</v>
      </c>
      <c r="M1909" s="1" t="s">
        <v>27</v>
      </c>
      <c r="N1909" s="1" t="s">
        <v>22</v>
      </c>
      <c r="O1909" s="1" t="s">
        <v>90</v>
      </c>
      <c r="P1909">
        <v>25075</v>
      </c>
      <c r="Q1909">
        <v>2023</v>
      </c>
      <c r="R1909">
        <v>28163.780999999999</v>
      </c>
      <c r="S1909">
        <v>3088.780999999999</v>
      </c>
      <c r="T1909" s="1" t="s">
        <v>165</v>
      </c>
      <c r="U1909">
        <v>0.1096720997795</v>
      </c>
    </row>
    <row r="1910" spans="1:21" x14ac:dyDescent="0.3">
      <c r="A1910" s="1" t="s">
        <v>155</v>
      </c>
      <c r="B1910" s="1" t="s">
        <v>48</v>
      </c>
      <c r="C1910" s="2">
        <v>45108</v>
      </c>
      <c r="D1910" s="1" t="s">
        <v>17</v>
      </c>
      <c r="E1910" s="1" t="s">
        <v>18</v>
      </c>
      <c r="F1910">
        <v>8666.43</v>
      </c>
      <c r="G1910">
        <v>15</v>
      </c>
      <c r="H1910" s="1" t="s">
        <v>19</v>
      </c>
      <c r="I1910">
        <v>1615.26</v>
      </c>
      <c r="J1910">
        <v>1710.95</v>
      </c>
      <c r="K1910" s="1" t="s">
        <v>26</v>
      </c>
      <c r="L1910">
        <v>0.23</v>
      </c>
      <c r="M1910" s="1" t="s">
        <v>27</v>
      </c>
      <c r="N1910" s="1" t="s">
        <v>33</v>
      </c>
      <c r="O1910" s="1" t="s">
        <v>23</v>
      </c>
      <c r="P1910">
        <v>24228.9</v>
      </c>
      <c r="Q1910">
        <v>2023</v>
      </c>
      <c r="R1910">
        <v>19761.4725</v>
      </c>
      <c r="S1910">
        <v>-4467.4275000000016</v>
      </c>
      <c r="T1910" s="1" t="s">
        <v>165</v>
      </c>
      <c r="U1910">
        <v>-0.226067541272544</v>
      </c>
    </row>
    <row r="1911" spans="1:21" x14ac:dyDescent="0.3">
      <c r="A1911" s="1" t="s">
        <v>155</v>
      </c>
      <c r="B1911" s="1" t="s">
        <v>73</v>
      </c>
      <c r="C1911" s="2">
        <v>45109</v>
      </c>
      <c r="D1911" s="1" t="s">
        <v>59</v>
      </c>
      <c r="E1911" s="1" t="s">
        <v>18</v>
      </c>
      <c r="F1911">
        <v>8602.2900000000009</v>
      </c>
      <c r="G1911">
        <v>36</v>
      </c>
      <c r="H1911" s="1" t="s">
        <v>37</v>
      </c>
      <c r="I1911">
        <v>689.66</v>
      </c>
      <c r="J1911">
        <v>1150.28</v>
      </c>
      <c r="K1911" s="1" t="s">
        <v>26</v>
      </c>
      <c r="L1911">
        <v>0.2</v>
      </c>
      <c r="M1911" s="1" t="s">
        <v>32</v>
      </c>
      <c r="N1911" s="1" t="s">
        <v>22</v>
      </c>
      <c r="O1911" s="1" t="s">
        <v>77</v>
      </c>
      <c r="P1911">
        <v>24827.759999999998</v>
      </c>
      <c r="Q1911">
        <v>2023</v>
      </c>
      <c r="R1911">
        <v>33128.064000000006</v>
      </c>
      <c r="S1911">
        <v>8300.3040000000074</v>
      </c>
      <c r="T1911" s="1" t="s">
        <v>165</v>
      </c>
      <c r="U1911">
        <v>0.25055203950342497</v>
      </c>
    </row>
    <row r="1912" spans="1:21" x14ac:dyDescent="0.3">
      <c r="A1912" s="1" t="s">
        <v>155</v>
      </c>
      <c r="B1912" s="1" t="s">
        <v>130</v>
      </c>
      <c r="C1912" s="2">
        <v>45109</v>
      </c>
      <c r="D1912" s="1" t="s">
        <v>36</v>
      </c>
      <c r="E1912" s="1" t="s">
        <v>44</v>
      </c>
      <c r="F1912">
        <v>9278.5300000000007</v>
      </c>
      <c r="G1912">
        <v>7</v>
      </c>
      <c r="H1912" s="1" t="s">
        <v>19</v>
      </c>
      <c r="I1912">
        <v>4705.46</v>
      </c>
      <c r="J1912">
        <v>4747.07</v>
      </c>
      <c r="K1912" s="1" t="s">
        <v>26</v>
      </c>
      <c r="L1912">
        <v>0.27</v>
      </c>
      <c r="M1912" s="1" t="s">
        <v>32</v>
      </c>
      <c r="N1912" s="1" t="s">
        <v>33</v>
      </c>
      <c r="O1912" s="1" t="s">
        <v>71</v>
      </c>
      <c r="P1912">
        <v>32938.22</v>
      </c>
      <c r="Q1912">
        <v>2023</v>
      </c>
      <c r="R1912">
        <v>24257.527699999999</v>
      </c>
      <c r="S1912">
        <v>-8680.6923000000024</v>
      </c>
      <c r="T1912" s="1" t="s">
        <v>165</v>
      </c>
      <c r="U1912">
        <v>-0.35785560702461899</v>
      </c>
    </row>
    <row r="1913" spans="1:21" x14ac:dyDescent="0.3">
      <c r="A1913" s="1" t="s">
        <v>155</v>
      </c>
      <c r="B1913" s="1" t="s">
        <v>76</v>
      </c>
      <c r="C1913" s="2">
        <v>45110</v>
      </c>
      <c r="D1913" s="1" t="s">
        <v>25</v>
      </c>
      <c r="E1913" s="1" t="s">
        <v>18</v>
      </c>
      <c r="F1913">
        <v>6380.2</v>
      </c>
      <c r="G1913">
        <v>15</v>
      </c>
      <c r="H1913" s="1" t="s">
        <v>31</v>
      </c>
      <c r="I1913">
        <v>2579.31</v>
      </c>
      <c r="J1913">
        <v>2867.36</v>
      </c>
      <c r="K1913" s="1" t="s">
        <v>20</v>
      </c>
      <c r="L1913">
        <v>0.04</v>
      </c>
      <c r="M1913" s="1" t="s">
        <v>32</v>
      </c>
      <c r="N1913" s="1" t="s">
        <v>33</v>
      </c>
      <c r="O1913" s="1" t="s">
        <v>28</v>
      </c>
      <c r="P1913">
        <v>38689.65</v>
      </c>
      <c r="Q1913">
        <v>2023</v>
      </c>
      <c r="R1913">
        <v>41289.983999999997</v>
      </c>
      <c r="S1913">
        <v>2600.3339999999953</v>
      </c>
      <c r="T1913" s="1" t="s">
        <v>165</v>
      </c>
      <c r="U1913">
        <v>6.2977355476814795E-2</v>
      </c>
    </row>
    <row r="1914" spans="1:21" x14ac:dyDescent="0.3">
      <c r="A1914" s="1" t="s">
        <v>155</v>
      </c>
      <c r="B1914" s="1" t="s">
        <v>107</v>
      </c>
      <c r="C1914" s="2">
        <v>45111</v>
      </c>
      <c r="D1914" s="1" t="s">
        <v>25</v>
      </c>
      <c r="E1914" s="1" t="s">
        <v>18</v>
      </c>
      <c r="F1914">
        <v>5240.32</v>
      </c>
      <c r="G1914">
        <v>31</v>
      </c>
      <c r="H1914" s="1" t="s">
        <v>31</v>
      </c>
      <c r="I1914">
        <v>951.21</v>
      </c>
      <c r="J1914">
        <v>1320.32</v>
      </c>
      <c r="K1914" s="1" t="s">
        <v>26</v>
      </c>
      <c r="L1914">
        <v>0.15</v>
      </c>
      <c r="M1914" s="1" t="s">
        <v>21</v>
      </c>
      <c r="N1914" s="1" t="s">
        <v>22</v>
      </c>
      <c r="O1914" s="1" t="s">
        <v>28</v>
      </c>
      <c r="P1914">
        <v>29487.510000000002</v>
      </c>
      <c r="Q1914">
        <v>2023</v>
      </c>
      <c r="R1914">
        <v>34790.432000000001</v>
      </c>
      <c r="S1914">
        <v>5302.9219999999987</v>
      </c>
      <c r="T1914" s="1" t="s">
        <v>165</v>
      </c>
      <c r="U1914">
        <v>0.15242472413104799</v>
      </c>
    </row>
    <row r="1915" spans="1:21" x14ac:dyDescent="0.3">
      <c r="A1915" s="1" t="s">
        <v>155</v>
      </c>
      <c r="B1915" s="1" t="s">
        <v>73</v>
      </c>
      <c r="C1915" s="2">
        <v>45112</v>
      </c>
      <c r="D1915" s="1" t="s">
        <v>59</v>
      </c>
      <c r="E1915" s="1" t="s">
        <v>40</v>
      </c>
      <c r="F1915">
        <v>6360.67</v>
      </c>
      <c r="G1915">
        <v>27</v>
      </c>
      <c r="H1915" s="1" t="s">
        <v>31</v>
      </c>
      <c r="I1915">
        <v>3624.97</v>
      </c>
      <c r="J1915">
        <v>3836.52</v>
      </c>
      <c r="K1915" s="1" t="s">
        <v>26</v>
      </c>
      <c r="L1915">
        <v>0.08</v>
      </c>
      <c r="M1915" s="1" t="s">
        <v>21</v>
      </c>
      <c r="N1915" s="1" t="s">
        <v>22</v>
      </c>
      <c r="O1915" s="1" t="s">
        <v>90</v>
      </c>
      <c r="P1915">
        <v>97874.189999999988</v>
      </c>
      <c r="Q1915">
        <v>2023</v>
      </c>
      <c r="R1915">
        <v>95299.156799999997</v>
      </c>
      <c r="S1915">
        <v>-2575.0331999999908</v>
      </c>
      <c r="T1915" s="1" t="s">
        <v>165</v>
      </c>
      <c r="U1915">
        <v>-2.7020524487998299E-2</v>
      </c>
    </row>
    <row r="1916" spans="1:21" x14ac:dyDescent="0.3">
      <c r="A1916" s="1" t="s">
        <v>155</v>
      </c>
      <c r="B1916" s="1" t="s">
        <v>110</v>
      </c>
      <c r="C1916" s="2">
        <v>45113</v>
      </c>
      <c r="D1916" s="1" t="s">
        <v>25</v>
      </c>
      <c r="E1916" s="1" t="s">
        <v>44</v>
      </c>
      <c r="F1916">
        <v>4396.8100000000004</v>
      </c>
      <c r="G1916">
        <v>11</v>
      </c>
      <c r="H1916" s="1" t="s">
        <v>37</v>
      </c>
      <c r="I1916">
        <v>200.56</v>
      </c>
      <c r="J1916">
        <v>540.38</v>
      </c>
      <c r="K1916" s="1" t="s">
        <v>26</v>
      </c>
      <c r="L1916">
        <v>0.18</v>
      </c>
      <c r="M1916" s="1" t="s">
        <v>32</v>
      </c>
      <c r="N1916" s="1" t="s">
        <v>22</v>
      </c>
      <c r="O1916" s="1" t="s">
        <v>47</v>
      </c>
      <c r="P1916">
        <v>2206.16</v>
      </c>
      <c r="Q1916">
        <v>2023</v>
      </c>
      <c r="R1916">
        <v>4874.2276000000002</v>
      </c>
      <c r="S1916">
        <v>2668.0676000000003</v>
      </c>
      <c r="T1916" s="1" t="s">
        <v>165</v>
      </c>
      <c r="U1916">
        <v>0.54738264581653895</v>
      </c>
    </row>
    <row r="1917" spans="1:21" x14ac:dyDescent="0.3">
      <c r="A1917" s="1" t="s">
        <v>155</v>
      </c>
      <c r="B1917" s="1" t="s">
        <v>143</v>
      </c>
      <c r="C1917" s="2">
        <v>45113</v>
      </c>
      <c r="D1917" s="1" t="s">
        <v>17</v>
      </c>
      <c r="E1917" s="1" t="s">
        <v>30</v>
      </c>
      <c r="F1917">
        <v>1242.4100000000001</v>
      </c>
      <c r="G1917">
        <v>16</v>
      </c>
      <c r="H1917" s="1" t="s">
        <v>19</v>
      </c>
      <c r="I1917">
        <v>4195.38</v>
      </c>
      <c r="J1917">
        <v>4461.51</v>
      </c>
      <c r="K1917" s="1" t="s">
        <v>20</v>
      </c>
      <c r="L1917">
        <v>0.09</v>
      </c>
      <c r="M1917" s="1" t="s">
        <v>32</v>
      </c>
      <c r="N1917" s="1" t="s">
        <v>22</v>
      </c>
      <c r="O1917" s="1" t="s">
        <v>34</v>
      </c>
      <c r="P1917">
        <v>67126.080000000002</v>
      </c>
      <c r="Q1917">
        <v>2023</v>
      </c>
      <c r="R1917">
        <v>64959.585600000006</v>
      </c>
      <c r="S1917">
        <v>-2166.4943999999959</v>
      </c>
      <c r="T1917" s="1" t="s">
        <v>165</v>
      </c>
      <c r="U1917">
        <v>-3.3351419655608103E-2</v>
      </c>
    </row>
    <row r="1918" spans="1:21" x14ac:dyDescent="0.3">
      <c r="A1918" s="1" t="s">
        <v>155</v>
      </c>
      <c r="B1918" s="1" t="s">
        <v>146</v>
      </c>
      <c r="C1918" s="2">
        <v>45114</v>
      </c>
      <c r="D1918" s="1" t="s">
        <v>17</v>
      </c>
      <c r="E1918" s="1" t="s">
        <v>18</v>
      </c>
      <c r="F1918">
        <v>6772.8</v>
      </c>
      <c r="G1918">
        <v>35</v>
      </c>
      <c r="H1918" s="1" t="s">
        <v>19</v>
      </c>
      <c r="I1918">
        <v>2278.87</v>
      </c>
      <c r="J1918">
        <v>2646.53</v>
      </c>
      <c r="K1918" s="1" t="s">
        <v>20</v>
      </c>
      <c r="L1918">
        <v>0.09</v>
      </c>
      <c r="M1918" s="1" t="s">
        <v>32</v>
      </c>
      <c r="N1918" s="1" t="s">
        <v>22</v>
      </c>
      <c r="O1918" s="1" t="s">
        <v>23</v>
      </c>
      <c r="P1918">
        <v>79760.45</v>
      </c>
      <c r="Q1918">
        <v>2023</v>
      </c>
      <c r="R1918">
        <v>84291.980500000005</v>
      </c>
      <c r="S1918">
        <v>4531.530500000008</v>
      </c>
      <c r="T1918" s="1" t="s">
        <v>165</v>
      </c>
      <c r="U1918">
        <v>5.3759924409416501E-2</v>
      </c>
    </row>
    <row r="1919" spans="1:21" x14ac:dyDescent="0.3">
      <c r="A1919" s="1" t="s">
        <v>155</v>
      </c>
      <c r="B1919" s="1" t="s">
        <v>95</v>
      </c>
      <c r="C1919" s="2">
        <v>45114</v>
      </c>
      <c r="D1919" s="1" t="s">
        <v>17</v>
      </c>
      <c r="E1919" s="1" t="s">
        <v>44</v>
      </c>
      <c r="F1919">
        <v>8775.56</v>
      </c>
      <c r="G1919">
        <v>13</v>
      </c>
      <c r="H1919" s="1" t="s">
        <v>57</v>
      </c>
      <c r="I1919">
        <v>4342.53</v>
      </c>
      <c r="J1919">
        <v>4357.49</v>
      </c>
      <c r="K1919" s="1" t="s">
        <v>26</v>
      </c>
      <c r="L1919">
        <v>0.08</v>
      </c>
      <c r="M1919" s="1" t="s">
        <v>32</v>
      </c>
      <c r="N1919" s="1" t="s">
        <v>22</v>
      </c>
      <c r="O1919" s="1" t="s">
        <v>49</v>
      </c>
      <c r="P1919">
        <v>56452.89</v>
      </c>
      <c r="Q1919">
        <v>2023</v>
      </c>
      <c r="R1919">
        <v>52115.580399999999</v>
      </c>
      <c r="S1919">
        <v>-4337.3096000000005</v>
      </c>
      <c r="T1919" s="1" t="s">
        <v>165</v>
      </c>
      <c r="U1919">
        <v>-8.3224816201030005E-2</v>
      </c>
    </row>
    <row r="1920" spans="1:21" x14ac:dyDescent="0.3">
      <c r="A1920" s="1" t="s">
        <v>155</v>
      </c>
      <c r="B1920" s="1" t="s">
        <v>103</v>
      </c>
      <c r="C1920" s="2">
        <v>45114</v>
      </c>
      <c r="D1920" s="1" t="s">
        <v>25</v>
      </c>
      <c r="E1920" s="1" t="s">
        <v>40</v>
      </c>
      <c r="F1920">
        <v>5993.5</v>
      </c>
      <c r="G1920">
        <v>14</v>
      </c>
      <c r="H1920" s="1" t="s">
        <v>57</v>
      </c>
      <c r="I1920">
        <v>4127.54</v>
      </c>
      <c r="J1920">
        <v>4495.13</v>
      </c>
      <c r="K1920" s="1" t="s">
        <v>26</v>
      </c>
      <c r="L1920">
        <v>0.06</v>
      </c>
      <c r="M1920" s="1" t="s">
        <v>32</v>
      </c>
      <c r="N1920" s="1" t="s">
        <v>33</v>
      </c>
      <c r="O1920" s="1" t="s">
        <v>83</v>
      </c>
      <c r="P1920">
        <v>57785.56</v>
      </c>
      <c r="Q1920">
        <v>2023</v>
      </c>
      <c r="R1920">
        <v>59155.910799999998</v>
      </c>
      <c r="S1920">
        <v>1370.3508000000002</v>
      </c>
      <c r="T1920" s="1" t="s">
        <v>165</v>
      </c>
      <c r="U1920">
        <v>2.31650697532663E-2</v>
      </c>
    </row>
    <row r="1921" spans="1:21" x14ac:dyDescent="0.3">
      <c r="A1921" s="1" t="s">
        <v>155</v>
      </c>
      <c r="B1921" s="1" t="s">
        <v>108</v>
      </c>
      <c r="C1921" s="2">
        <v>45114</v>
      </c>
      <c r="D1921" s="1" t="s">
        <v>59</v>
      </c>
      <c r="E1921" s="1" t="s">
        <v>30</v>
      </c>
      <c r="F1921">
        <v>1039.69</v>
      </c>
      <c r="G1921">
        <v>14</v>
      </c>
      <c r="H1921" s="1" t="s">
        <v>31</v>
      </c>
      <c r="I1921">
        <v>2559.65</v>
      </c>
      <c r="J1921">
        <v>2709.4</v>
      </c>
      <c r="K1921" s="1" t="s">
        <v>20</v>
      </c>
      <c r="L1921">
        <v>0.11</v>
      </c>
      <c r="M1921" s="1" t="s">
        <v>27</v>
      </c>
      <c r="N1921" s="1" t="s">
        <v>33</v>
      </c>
      <c r="O1921" s="1" t="s">
        <v>86</v>
      </c>
      <c r="P1921">
        <v>35835.1</v>
      </c>
      <c r="Q1921">
        <v>2023</v>
      </c>
      <c r="R1921">
        <v>33759.123999999996</v>
      </c>
      <c r="S1921">
        <v>-2075.9760000000024</v>
      </c>
      <c r="T1921" s="1" t="s">
        <v>165</v>
      </c>
      <c r="U1921">
        <v>-6.1493775727119102E-2</v>
      </c>
    </row>
    <row r="1922" spans="1:21" x14ac:dyDescent="0.3">
      <c r="A1922" s="1" t="s">
        <v>155</v>
      </c>
      <c r="B1922" s="1" t="s">
        <v>145</v>
      </c>
      <c r="C1922" s="2">
        <v>45114</v>
      </c>
      <c r="D1922" s="1" t="s">
        <v>36</v>
      </c>
      <c r="E1922" s="1" t="s">
        <v>30</v>
      </c>
      <c r="F1922">
        <v>9519.2999999999993</v>
      </c>
      <c r="G1922">
        <v>15</v>
      </c>
      <c r="H1922" s="1" t="s">
        <v>19</v>
      </c>
      <c r="I1922">
        <v>957.95</v>
      </c>
      <c r="J1922">
        <v>1329.26</v>
      </c>
      <c r="K1922" s="1" t="s">
        <v>26</v>
      </c>
      <c r="L1922">
        <v>0.21</v>
      </c>
      <c r="M1922" s="1" t="s">
        <v>21</v>
      </c>
      <c r="N1922" s="1" t="s">
        <v>22</v>
      </c>
      <c r="O1922" s="1" t="s">
        <v>38</v>
      </c>
      <c r="P1922">
        <v>14369.25</v>
      </c>
      <c r="Q1922">
        <v>2023</v>
      </c>
      <c r="R1922">
        <v>15751.731000000002</v>
      </c>
      <c r="S1922">
        <v>1382.4810000000016</v>
      </c>
      <c r="T1922" s="1" t="s">
        <v>165</v>
      </c>
      <c r="U1922">
        <v>8.7766925425529496E-2</v>
      </c>
    </row>
    <row r="1923" spans="1:21" x14ac:dyDescent="0.3">
      <c r="A1923" s="1" t="s">
        <v>155</v>
      </c>
      <c r="B1923" s="1" t="s">
        <v>100</v>
      </c>
      <c r="C1923" s="2">
        <v>45115</v>
      </c>
      <c r="D1923" s="1" t="s">
        <v>59</v>
      </c>
      <c r="E1923" s="1" t="s">
        <v>44</v>
      </c>
      <c r="F1923">
        <v>5947.31</v>
      </c>
      <c r="G1923">
        <v>23</v>
      </c>
      <c r="H1923" s="1" t="s">
        <v>37</v>
      </c>
      <c r="I1923">
        <v>1314</v>
      </c>
      <c r="J1923">
        <v>1567.78</v>
      </c>
      <c r="K1923" s="1" t="s">
        <v>20</v>
      </c>
      <c r="L1923">
        <v>0.15</v>
      </c>
      <c r="M1923" s="1" t="s">
        <v>27</v>
      </c>
      <c r="N1923" s="1" t="s">
        <v>33</v>
      </c>
      <c r="O1923" s="1" t="s">
        <v>60</v>
      </c>
      <c r="P1923">
        <v>30222</v>
      </c>
      <c r="Q1923">
        <v>2023</v>
      </c>
      <c r="R1923">
        <v>30650.099000000002</v>
      </c>
      <c r="S1923">
        <v>428.09900000000198</v>
      </c>
      <c r="T1923" s="1" t="s">
        <v>165</v>
      </c>
      <c r="U1923">
        <v>1.39672958315731E-2</v>
      </c>
    </row>
    <row r="1924" spans="1:21" x14ac:dyDescent="0.3">
      <c r="A1924" s="1" t="s">
        <v>155</v>
      </c>
      <c r="B1924" s="1" t="s">
        <v>53</v>
      </c>
      <c r="C1924" s="2">
        <v>45116</v>
      </c>
      <c r="D1924" s="1" t="s">
        <v>36</v>
      </c>
      <c r="E1924" s="1" t="s">
        <v>18</v>
      </c>
      <c r="F1924">
        <v>7041.28</v>
      </c>
      <c r="G1924">
        <v>28</v>
      </c>
      <c r="H1924" s="1" t="s">
        <v>57</v>
      </c>
      <c r="I1924">
        <v>2564.35</v>
      </c>
      <c r="J1924">
        <v>2765.79</v>
      </c>
      <c r="K1924" s="1" t="s">
        <v>20</v>
      </c>
      <c r="L1924">
        <v>0.17</v>
      </c>
      <c r="M1924" s="1" t="s">
        <v>27</v>
      </c>
      <c r="N1924" s="1" t="s">
        <v>22</v>
      </c>
      <c r="O1924" s="1" t="s">
        <v>115</v>
      </c>
      <c r="P1924">
        <v>71801.8</v>
      </c>
      <c r="Q1924">
        <v>2023</v>
      </c>
      <c r="R1924">
        <v>64276.959599999995</v>
      </c>
      <c r="S1924">
        <v>-7524.8404000000082</v>
      </c>
      <c r="T1924" s="1" t="s">
        <v>165</v>
      </c>
      <c r="U1924">
        <v>-0.117069015815739</v>
      </c>
    </row>
    <row r="1925" spans="1:21" x14ac:dyDescent="0.3">
      <c r="A1925" s="1" t="s">
        <v>155</v>
      </c>
      <c r="B1925" s="1" t="s">
        <v>145</v>
      </c>
      <c r="C1925" s="2">
        <v>45117</v>
      </c>
      <c r="D1925" s="1" t="s">
        <v>36</v>
      </c>
      <c r="E1925" s="1" t="s">
        <v>18</v>
      </c>
      <c r="F1925">
        <v>6976.95</v>
      </c>
      <c r="G1925">
        <v>36</v>
      </c>
      <c r="H1925" s="1" t="s">
        <v>57</v>
      </c>
      <c r="I1925">
        <v>4043.53</v>
      </c>
      <c r="J1925">
        <v>4384.8500000000004</v>
      </c>
      <c r="K1925" s="1" t="s">
        <v>26</v>
      </c>
      <c r="L1925">
        <v>0.14000000000000001</v>
      </c>
      <c r="M1925" s="1" t="s">
        <v>21</v>
      </c>
      <c r="N1925" s="1" t="s">
        <v>22</v>
      </c>
      <c r="O1925" s="1" t="s">
        <v>115</v>
      </c>
      <c r="P1925">
        <v>145567.08000000002</v>
      </c>
      <c r="Q1925">
        <v>2023</v>
      </c>
      <c r="R1925">
        <v>135754.95600000001</v>
      </c>
      <c r="S1925">
        <v>-9812.1240000000107</v>
      </c>
      <c r="T1925" s="1" t="s">
        <v>165</v>
      </c>
      <c r="U1925">
        <v>-7.2278201025677599E-2</v>
      </c>
    </row>
    <row r="1926" spans="1:21" x14ac:dyDescent="0.3">
      <c r="A1926" s="1" t="s">
        <v>155</v>
      </c>
      <c r="B1926" s="1" t="s">
        <v>108</v>
      </c>
      <c r="C1926" s="2">
        <v>45118</v>
      </c>
      <c r="D1926" s="1" t="s">
        <v>17</v>
      </c>
      <c r="E1926" s="1" t="s">
        <v>44</v>
      </c>
      <c r="F1926">
        <v>7667.1</v>
      </c>
      <c r="G1926">
        <v>33</v>
      </c>
      <c r="H1926" s="1" t="s">
        <v>37</v>
      </c>
      <c r="I1926">
        <v>2595.42</v>
      </c>
      <c r="J1926">
        <v>3083.06</v>
      </c>
      <c r="K1926" s="1" t="s">
        <v>26</v>
      </c>
      <c r="L1926">
        <v>0.08</v>
      </c>
      <c r="M1926" s="1" t="s">
        <v>27</v>
      </c>
      <c r="N1926" s="1" t="s">
        <v>22</v>
      </c>
      <c r="O1926" s="1" t="s">
        <v>49</v>
      </c>
      <c r="P1926">
        <v>85648.86</v>
      </c>
      <c r="Q1926">
        <v>2023</v>
      </c>
      <c r="R1926">
        <v>93601.7016</v>
      </c>
      <c r="S1926">
        <v>7952.8415999999997</v>
      </c>
      <c r="T1926" s="1" t="s">
        <v>165</v>
      </c>
      <c r="U1926">
        <v>8.4964711795367603E-2</v>
      </c>
    </row>
    <row r="1927" spans="1:21" x14ac:dyDescent="0.3">
      <c r="A1927" s="1" t="s">
        <v>155</v>
      </c>
      <c r="B1927" s="1" t="s">
        <v>132</v>
      </c>
      <c r="C1927" s="2">
        <v>45118</v>
      </c>
      <c r="D1927" s="1" t="s">
        <v>25</v>
      </c>
      <c r="E1927" s="1" t="s">
        <v>40</v>
      </c>
      <c r="F1927">
        <v>5910.67</v>
      </c>
      <c r="G1927">
        <v>40</v>
      </c>
      <c r="H1927" s="1" t="s">
        <v>37</v>
      </c>
      <c r="I1927">
        <v>2983.85</v>
      </c>
      <c r="J1927">
        <v>3239.74</v>
      </c>
      <c r="K1927" s="1" t="s">
        <v>26</v>
      </c>
      <c r="L1927">
        <v>0.27</v>
      </c>
      <c r="M1927" s="1" t="s">
        <v>27</v>
      </c>
      <c r="N1927" s="1" t="s">
        <v>22</v>
      </c>
      <c r="O1927" s="1" t="s">
        <v>83</v>
      </c>
      <c r="P1927">
        <v>119354</v>
      </c>
      <c r="Q1927">
        <v>2023</v>
      </c>
      <c r="R1927">
        <v>94600.407999999996</v>
      </c>
      <c r="S1927">
        <v>-24753.592000000004</v>
      </c>
      <c r="T1927" s="1" t="s">
        <v>165</v>
      </c>
      <c r="U1927">
        <v>-0.26166474884548102</v>
      </c>
    </row>
    <row r="1928" spans="1:21" x14ac:dyDescent="0.3">
      <c r="A1928" s="1" t="s">
        <v>155</v>
      </c>
      <c r="B1928" s="1" t="s">
        <v>96</v>
      </c>
      <c r="C1928" s="2">
        <v>45119</v>
      </c>
      <c r="D1928" s="1" t="s">
        <v>17</v>
      </c>
      <c r="E1928" s="1" t="s">
        <v>44</v>
      </c>
      <c r="F1928">
        <v>9580.0499999999993</v>
      </c>
      <c r="G1928">
        <v>14</v>
      </c>
      <c r="H1928" s="1" t="s">
        <v>37</v>
      </c>
      <c r="I1928">
        <v>2703.97</v>
      </c>
      <c r="J1928">
        <v>2796.88</v>
      </c>
      <c r="K1928" s="1" t="s">
        <v>26</v>
      </c>
      <c r="L1928">
        <v>0.13</v>
      </c>
      <c r="M1928" s="1" t="s">
        <v>32</v>
      </c>
      <c r="N1928" s="1" t="s">
        <v>22</v>
      </c>
      <c r="O1928" s="1" t="s">
        <v>49</v>
      </c>
      <c r="P1928">
        <v>37855.579999999994</v>
      </c>
      <c r="Q1928">
        <v>2023</v>
      </c>
      <c r="R1928">
        <v>34065.998399999997</v>
      </c>
      <c r="S1928">
        <v>-3789.5815999999977</v>
      </c>
      <c r="T1928" s="1" t="s">
        <v>165</v>
      </c>
      <c r="U1928">
        <v>-0.111242346562196</v>
      </c>
    </row>
    <row r="1929" spans="1:21" x14ac:dyDescent="0.3">
      <c r="A1929" s="1" t="s">
        <v>155</v>
      </c>
      <c r="B1929" s="1" t="s">
        <v>58</v>
      </c>
      <c r="C1929" s="2">
        <v>45119</v>
      </c>
      <c r="D1929" s="1" t="s">
        <v>59</v>
      </c>
      <c r="E1929" s="1" t="s">
        <v>18</v>
      </c>
      <c r="F1929">
        <v>5051.12</v>
      </c>
      <c r="G1929">
        <v>2</v>
      </c>
      <c r="H1929" s="1" t="s">
        <v>57</v>
      </c>
      <c r="I1929">
        <v>665.89</v>
      </c>
      <c r="J1929">
        <v>944.79</v>
      </c>
      <c r="K1929" s="1" t="s">
        <v>26</v>
      </c>
      <c r="L1929">
        <v>0.1</v>
      </c>
      <c r="M1929" s="1" t="s">
        <v>27</v>
      </c>
      <c r="N1929" s="1" t="s">
        <v>33</v>
      </c>
      <c r="O1929" s="1" t="s">
        <v>77</v>
      </c>
      <c r="P1929">
        <v>1331.78</v>
      </c>
      <c r="Q1929">
        <v>2023</v>
      </c>
      <c r="R1929">
        <v>1700.6220000000001</v>
      </c>
      <c r="S1929">
        <v>368.8420000000001</v>
      </c>
      <c r="T1929" s="1" t="s">
        <v>165</v>
      </c>
      <c r="U1929">
        <v>0.21688652739997499</v>
      </c>
    </row>
    <row r="1930" spans="1:21" x14ac:dyDescent="0.3">
      <c r="A1930" s="1" t="s">
        <v>155</v>
      </c>
      <c r="B1930" s="1" t="s">
        <v>109</v>
      </c>
      <c r="C1930" s="2">
        <v>45119</v>
      </c>
      <c r="D1930" s="1" t="s">
        <v>17</v>
      </c>
      <c r="E1930" s="1" t="s">
        <v>18</v>
      </c>
      <c r="F1930">
        <v>485.49</v>
      </c>
      <c r="G1930">
        <v>17</v>
      </c>
      <c r="H1930" s="1" t="s">
        <v>31</v>
      </c>
      <c r="I1930">
        <v>3850.99</v>
      </c>
      <c r="J1930">
        <v>4045.34</v>
      </c>
      <c r="K1930" s="1" t="s">
        <v>20</v>
      </c>
      <c r="L1930">
        <v>0.16</v>
      </c>
      <c r="M1930" s="1" t="s">
        <v>27</v>
      </c>
      <c r="N1930" s="1" t="s">
        <v>22</v>
      </c>
      <c r="O1930" s="1" t="s">
        <v>23</v>
      </c>
      <c r="P1930">
        <v>65466.829999999994</v>
      </c>
      <c r="Q1930">
        <v>2023</v>
      </c>
      <c r="R1930">
        <v>57767.455199999997</v>
      </c>
      <c r="S1930">
        <v>-7699.3747999999978</v>
      </c>
      <c r="T1930" s="1" t="s">
        <v>165</v>
      </c>
      <c r="U1930">
        <v>-0.13328222220181901</v>
      </c>
    </row>
    <row r="1931" spans="1:21" x14ac:dyDescent="0.3">
      <c r="A1931" s="1" t="s">
        <v>155</v>
      </c>
      <c r="B1931" s="1" t="s">
        <v>64</v>
      </c>
      <c r="C1931" s="2">
        <v>45120</v>
      </c>
      <c r="D1931" s="1" t="s">
        <v>43</v>
      </c>
      <c r="E1931" s="1" t="s">
        <v>40</v>
      </c>
      <c r="F1931">
        <v>9638.64</v>
      </c>
      <c r="G1931">
        <v>43</v>
      </c>
      <c r="H1931" s="1" t="s">
        <v>31</v>
      </c>
      <c r="I1931">
        <v>4154.3</v>
      </c>
      <c r="J1931">
        <v>4469.07</v>
      </c>
      <c r="K1931" s="1" t="s">
        <v>20</v>
      </c>
      <c r="L1931">
        <v>0.23</v>
      </c>
      <c r="M1931" s="1" t="s">
        <v>21</v>
      </c>
      <c r="N1931" s="1" t="s">
        <v>33</v>
      </c>
      <c r="O1931" s="1" t="s">
        <v>99</v>
      </c>
      <c r="P1931">
        <v>178634.9</v>
      </c>
      <c r="Q1931">
        <v>2023</v>
      </c>
      <c r="R1931">
        <v>147970.90769999998</v>
      </c>
      <c r="S1931">
        <v>-30663.992300000013</v>
      </c>
      <c r="T1931" s="1" t="s">
        <v>165</v>
      </c>
      <c r="U1931">
        <v>-0.207229872254139</v>
      </c>
    </row>
    <row r="1932" spans="1:21" x14ac:dyDescent="0.3">
      <c r="A1932" s="1" t="s">
        <v>155</v>
      </c>
      <c r="B1932" s="1" t="s">
        <v>78</v>
      </c>
      <c r="C1932" s="2">
        <v>45120</v>
      </c>
      <c r="D1932" s="1" t="s">
        <v>59</v>
      </c>
      <c r="E1932" s="1" t="s">
        <v>30</v>
      </c>
      <c r="F1932">
        <v>7002.37</v>
      </c>
      <c r="G1932">
        <v>47</v>
      </c>
      <c r="H1932" s="1" t="s">
        <v>57</v>
      </c>
      <c r="I1932">
        <v>4429.8</v>
      </c>
      <c r="J1932">
        <v>4694.21</v>
      </c>
      <c r="K1932" s="1" t="s">
        <v>26</v>
      </c>
      <c r="L1932">
        <v>0.25</v>
      </c>
      <c r="M1932" s="1" t="s">
        <v>32</v>
      </c>
      <c r="N1932" s="1" t="s">
        <v>22</v>
      </c>
      <c r="O1932" s="1" t="s">
        <v>86</v>
      </c>
      <c r="P1932">
        <v>208200.6</v>
      </c>
      <c r="Q1932">
        <v>2023</v>
      </c>
      <c r="R1932">
        <v>165470.9025</v>
      </c>
      <c r="S1932">
        <v>-42729.697500000009</v>
      </c>
      <c r="T1932" s="1" t="s">
        <v>165</v>
      </c>
      <c r="U1932">
        <v>-0.258230884429968</v>
      </c>
    </row>
    <row r="1933" spans="1:21" x14ac:dyDescent="0.3">
      <c r="A1933" s="1" t="s">
        <v>155</v>
      </c>
      <c r="B1933" s="1" t="s">
        <v>146</v>
      </c>
      <c r="C1933" s="2">
        <v>45120</v>
      </c>
      <c r="D1933" s="1" t="s">
        <v>17</v>
      </c>
      <c r="E1933" s="1" t="s">
        <v>44</v>
      </c>
      <c r="F1933">
        <v>1526.38</v>
      </c>
      <c r="G1933">
        <v>16</v>
      </c>
      <c r="H1933" s="1" t="s">
        <v>19</v>
      </c>
      <c r="I1933">
        <v>1067.83</v>
      </c>
      <c r="J1933">
        <v>1189.22</v>
      </c>
      <c r="K1933" s="1" t="s">
        <v>20</v>
      </c>
      <c r="L1933">
        <v>0.26</v>
      </c>
      <c r="M1933" s="1" t="s">
        <v>27</v>
      </c>
      <c r="N1933" s="1" t="s">
        <v>33</v>
      </c>
      <c r="O1933" s="1" t="s">
        <v>49</v>
      </c>
      <c r="P1933">
        <v>17085.28</v>
      </c>
      <c r="Q1933">
        <v>2023</v>
      </c>
      <c r="R1933">
        <v>14080.364799999999</v>
      </c>
      <c r="S1933">
        <v>-3004.9151999999995</v>
      </c>
      <c r="T1933" s="1" t="s">
        <v>165</v>
      </c>
      <c r="U1933">
        <v>-0.213411743423011</v>
      </c>
    </row>
    <row r="1934" spans="1:21" x14ac:dyDescent="0.3">
      <c r="A1934" s="1" t="s">
        <v>155</v>
      </c>
      <c r="B1934" s="1" t="s">
        <v>124</v>
      </c>
      <c r="C1934" s="2">
        <v>45121</v>
      </c>
      <c r="D1934" s="1" t="s">
        <v>43</v>
      </c>
      <c r="E1934" s="1" t="s">
        <v>44</v>
      </c>
      <c r="F1934">
        <v>3407.09</v>
      </c>
      <c r="G1934">
        <v>39</v>
      </c>
      <c r="H1934" s="1" t="s">
        <v>19</v>
      </c>
      <c r="I1934">
        <v>4929.7299999999996</v>
      </c>
      <c r="J1934">
        <v>5088.0200000000004</v>
      </c>
      <c r="K1934" s="1" t="s">
        <v>26</v>
      </c>
      <c r="L1934">
        <v>0.23</v>
      </c>
      <c r="M1934" s="1" t="s">
        <v>32</v>
      </c>
      <c r="N1934" s="1" t="s">
        <v>33</v>
      </c>
      <c r="O1934" s="1" t="s">
        <v>45</v>
      </c>
      <c r="P1934">
        <v>192259.46999999997</v>
      </c>
      <c r="Q1934">
        <v>2023</v>
      </c>
      <c r="R1934">
        <v>152793.24060000002</v>
      </c>
      <c r="S1934">
        <v>-39466.229399999953</v>
      </c>
      <c r="T1934" s="1" t="s">
        <v>165</v>
      </c>
      <c r="U1934">
        <v>-0.25829826794052502</v>
      </c>
    </row>
    <row r="1935" spans="1:21" x14ac:dyDescent="0.3">
      <c r="A1935" s="1" t="s">
        <v>155</v>
      </c>
      <c r="B1935" s="1" t="s">
        <v>48</v>
      </c>
      <c r="C1935" s="2">
        <v>45121</v>
      </c>
      <c r="D1935" s="1" t="s">
        <v>43</v>
      </c>
      <c r="E1935" s="1" t="s">
        <v>30</v>
      </c>
      <c r="F1935">
        <v>6650.67</v>
      </c>
      <c r="G1935">
        <v>22</v>
      </c>
      <c r="H1935" s="1" t="s">
        <v>57</v>
      </c>
      <c r="I1935">
        <v>3240.2</v>
      </c>
      <c r="J1935">
        <v>3606.09</v>
      </c>
      <c r="K1935" s="1" t="s">
        <v>26</v>
      </c>
      <c r="L1935">
        <v>7.0000000000000007E-2</v>
      </c>
      <c r="M1935" s="1" t="s">
        <v>21</v>
      </c>
      <c r="N1935" s="1" t="s">
        <v>22</v>
      </c>
      <c r="O1935" s="1" t="s">
        <v>54</v>
      </c>
      <c r="P1935">
        <v>71284.399999999994</v>
      </c>
      <c r="Q1935">
        <v>2023</v>
      </c>
      <c r="R1935">
        <v>73780.6014</v>
      </c>
      <c r="S1935">
        <v>2496.2014000000054</v>
      </c>
      <c r="T1935" s="1" t="s">
        <v>165</v>
      </c>
      <c r="U1935">
        <v>3.3832760273488402E-2</v>
      </c>
    </row>
    <row r="1936" spans="1:21" x14ac:dyDescent="0.3">
      <c r="A1936" s="1" t="s">
        <v>155</v>
      </c>
      <c r="B1936" s="1" t="s">
        <v>56</v>
      </c>
      <c r="C1936" s="2">
        <v>45121</v>
      </c>
      <c r="D1936" s="1" t="s">
        <v>17</v>
      </c>
      <c r="E1936" s="1" t="s">
        <v>18</v>
      </c>
      <c r="F1936">
        <v>7001.64</v>
      </c>
      <c r="G1936">
        <v>16</v>
      </c>
      <c r="H1936" s="1" t="s">
        <v>19</v>
      </c>
      <c r="I1936">
        <v>2530.15</v>
      </c>
      <c r="J1936">
        <v>2568.13</v>
      </c>
      <c r="K1936" s="1" t="s">
        <v>26</v>
      </c>
      <c r="L1936">
        <v>0.01</v>
      </c>
      <c r="M1936" s="1" t="s">
        <v>27</v>
      </c>
      <c r="N1936" s="1" t="s">
        <v>22</v>
      </c>
      <c r="O1936" s="1" t="s">
        <v>23</v>
      </c>
      <c r="P1936">
        <v>40482.400000000001</v>
      </c>
      <c r="Q1936">
        <v>2023</v>
      </c>
      <c r="R1936">
        <v>40679.179199999999</v>
      </c>
      <c r="S1936">
        <v>196.77919999999722</v>
      </c>
      <c r="T1936" s="1" t="s">
        <v>165</v>
      </c>
      <c r="U1936">
        <v>4.83734440738168E-3</v>
      </c>
    </row>
    <row r="1937" spans="1:21" x14ac:dyDescent="0.3">
      <c r="A1937" s="1" t="s">
        <v>155</v>
      </c>
      <c r="B1937" s="1" t="s">
        <v>61</v>
      </c>
      <c r="C1937" s="2">
        <v>45122</v>
      </c>
      <c r="D1937" s="1" t="s">
        <v>25</v>
      </c>
      <c r="E1937" s="1" t="s">
        <v>44</v>
      </c>
      <c r="F1937">
        <v>1700.55</v>
      </c>
      <c r="G1937">
        <v>48</v>
      </c>
      <c r="H1937" s="1" t="s">
        <v>57</v>
      </c>
      <c r="I1937">
        <v>3002.35</v>
      </c>
      <c r="J1937">
        <v>3080.61</v>
      </c>
      <c r="K1937" s="1" t="s">
        <v>20</v>
      </c>
      <c r="L1937">
        <v>0.18</v>
      </c>
      <c r="M1937" s="1" t="s">
        <v>32</v>
      </c>
      <c r="N1937" s="1" t="s">
        <v>33</v>
      </c>
      <c r="O1937" s="1" t="s">
        <v>47</v>
      </c>
      <c r="P1937">
        <v>144112.79999999999</v>
      </c>
      <c r="Q1937">
        <v>2023</v>
      </c>
      <c r="R1937">
        <v>121252.80960000001</v>
      </c>
      <c r="S1937">
        <v>-22859.990399999981</v>
      </c>
      <c r="T1937" s="1" t="s">
        <v>165</v>
      </c>
      <c r="U1937">
        <v>-0.188531634651705</v>
      </c>
    </row>
    <row r="1938" spans="1:21" x14ac:dyDescent="0.3">
      <c r="A1938" s="1" t="s">
        <v>155</v>
      </c>
      <c r="B1938" s="1" t="s">
        <v>102</v>
      </c>
      <c r="C1938" s="2">
        <v>45122</v>
      </c>
      <c r="D1938" s="1" t="s">
        <v>36</v>
      </c>
      <c r="E1938" s="1" t="s">
        <v>18</v>
      </c>
      <c r="F1938">
        <v>5705.19</v>
      </c>
      <c r="G1938">
        <v>23</v>
      </c>
      <c r="H1938" s="1" t="s">
        <v>37</v>
      </c>
      <c r="I1938">
        <v>1771.52</v>
      </c>
      <c r="J1938">
        <v>2147.8000000000002</v>
      </c>
      <c r="K1938" s="1" t="s">
        <v>26</v>
      </c>
      <c r="L1938">
        <v>7.0000000000000007E-2</v>
      </c>
      <c r="M1938" s="1" t="s">
        <v>32</v>
      </c>
      <c r="N1938" s="1" t="s">
        <v>22</v>
      </c>
      <c r="O1938" s="1" t="s">
        <v>115</v>
      </c>
      <c r="P1938">
        <v>40744.959999999999</v>
      </c>
      <c r="Q1938">
        <v>2023</v>
      </c>
      <c r="R1938">
        <v>45941.441999999995</v>
      </c>
      <c r="S1938">
        <v>5196.4819999999963</v>
      </c>
      <c r="T1938" s="1" t="s">
        <v>165</v>
      </c>
      <c r="U1938">
        <v>0.11311099029064001</v>
      </c>
    </row>
    <row r="1939" spans="1:21" x14ac:dyDescent="0.3">
      <c r="A1939" s="1" t="s">
        <v>155</v>
      </c>
      <c r="B1939" s="1" t="s">
        <v>102</v>
      </c>
      <c r="C1939" s="2">
        <v>45123</v>
      </c>
      <c r="D1939" s="1" t="s">
        <v>59</v>
      </c>
      <c r="E1939" s="1" t="s">
        <v>30</v>
      </c>
      <c r="F1939">
        <v>3137.09</v>
      </c>
      <c r="G1939">
        <v>18</v>
      </c>
      <c r="H1939" s="1" t="s">
        <v>31</v>
      </c>
      <c r="I1939">
        <v>1069.73</v>
      </c>
      <c r="J1939">
        <v>1180.04</v>
      </c>
      <c r="K1939" s="1" t="s">
        <v>20</v>
      </c>
      <c r="L1939">
        <v>0.22</v>
      </c>
      <c r="M1939" s="1" t="s">
        <v>32</v>
      </c>
      <c r="N1939" s="1" t="s">
        <v>22</v>
      </c>
      <c r="O1939" s="1" t="s">
        <v>86</v>
      </c>
      <c r="P1939">
        <v>19255.14</v>
      </c>
      <c r="Q1939">
        <v>2023</v>
      </c>
      <c r="R1939">
        <v>16567.761600000002</v>
      </c>
      <c r="S1939">
        <v>-2687.3783999999978</v>
      </c>
      <c r="T1939" s="1" t="s">
        <v>165</v>
      </c>
      <c r="U1939">
        <v>-0.162205279438593</v>
      </c>
    </row>
    <row r="1940" spans="1:21" x14ac:dyDescent="0.3">
      <c r="A1940" s="1" t="s">
        <v>155</v>
      </c>
      <c r="B1940" s="1" t="s">
        <v>124</v>
      </c>
      <c r="C1940" s="2">
        <v>45124</v>
      </c>
      <c r="D1940" s="1" t="s">
        <v>36</v>
      </c>
      <c r="E1940" s="1" t="s">
        <v>40</v>
      </c>
      <c r="F1940">
        <v>3023.48</v>
      </c>
      <c r="G1940">
        <v>19</v>
      </c>
      <c r="H1940" s="1" t="s">
        <v>19</v>
      </c>
      <c r="I1940">
        <v>3049.33</v>
      </c>
      <c r="J1940">
        <v>3209.22</v>
      </c>
      <c r="K1940" s="1" t="s">
        <v>20</v>
      </c>
      <c r="L1940">
        <v>0.26</v>
      </c>
      <c r="M1940" s="1" t="s">
        <v>21</v>
      </c>
      <c r="N1940" s="1" t="s">
        <v>22</v>
      </c>
      <c r="O1940" s="1" t="s">
        <v>41</v>
      </c>
      <c r="P1940">
        <v>57937.27</v>
      </c>
      <c r="Q1940">
        <v>2023</v>
      </c>
      <c r="R1940">
        <v>45121.633199999997</v>
      </c>
      <c r="S1940">
        <v>-12815.6368</v>
      </c>
      <c r="T1940" s="1" t="s">
        <v>165</v>
      </c>
      <c r="U1940">
        <v>-0.284024222775695</v>
      </c>
    </row>
    <row r="1941" spans="1:21" x14ac:dyDescent="0.3">
      <c r="A1941" s="1" t="s">
        <v>155</v>
      </c>
      <c r="B1941" s="1" t="s">
        <v>111</v>
      </c>
      <c r="C1941" s="2">
        <v>45124</v>
      </c>
      <c r="D1941" s="1" t="s">
        <v>17</v>
      </c>
      <c r="E1941" s="1" t="s">
        <v>40</v>
      </c>
      <c r="F1941">
        <v>5738.44</v>
      </c>
      <c r="G1941">
        <v>15</v>
      </c>
      <c r="H1941" s="1" t="s">
        <v>37</v>
      </c>
      <c r="I1941">
        <v>1729.14</v>
      </c>
      <c r="J1941">
        <v>1870.88</v>
      </c>
      <c r="K1941" s="1" t="s">
        <v>20</v>
      </c>
      <c r="L1941">
        <v>0.23</v>
      </c>
      <c r="M1941" s="1" t="s">
        <v>21</v>
      </c>
      <c r="N1941" s="1" t="s">
        <v>22</v>
      </c>
      <c r="O1941" s="1" t="s">
        <v>67</v>
      </c>
      <c r="P1941">
        <v>25937.100000000002</v>
      </c>
      <c r="Q1941">
        <v>2023</v>
      </c>
      <c r="R1941">
        <v>21608.664000000001</v>
      </c>
      <c r="S1941">
        <v>-4328.4360000000015</v>
      </c>
      <c r="T1941" s="1" t="s">
        <v>165</v>
      </c>
      <c r="U1941">
        <v>-0.20031020890509499</v>
      </c>
    </row>
    <row r="1942" spans="1:21" x14ac:dyDescent="0.3">
      <c r="A1942" s="1" t="s">
        <v>155</v>
      </c>
      <c r="B1942" s="1" t="s">
        <v>152</v>
      </c>
      <c r="C1942" s="2">
        <v>45124</v>
      </c>
      <c r="D1942" s="1" t="s">
        <v>36</v>
      </c>
      <c r="E1942" s="1" t="s">
        <v>30</v>
      </c>
      <c r="F1942">
        <v>7320.51</v>
      </c>
      <c r="G1942">
        <v>14</v>
      </c>
      <c r="H1942" s="1" t="s">
        <v>19</v>
      </c>
      <c r="I1942">
        <v>1614.19</v>
      </c>
      <c r="J1942">
        <v>1882.79</v>
      </c>
      <c r="K1942" s="1" t="s">
        <v>26</v>
      </c>
      <c r="L1942">
        <v>0.25</v>
      </c>
      <c r="M1942" s="1" t="s">
        <v>27</v>
      </c>
      <c r="N1942" s="1" t="s">
        <v>33</v>
      </c>
      <c r="O1942" s="1" t="s">
        <v>38</v>
      </c>
      <c r="P1942">
        <v>22598.66</v>
      </c>
      <c r="Q1942">
        <v>2023</v>
      </c>
      <c r="R1942">
        <v>19769.294999999998</v>
      </c>
      <c r="S1942">
        <v>-2829.3650000000016</v>
      </c>
      <c r="T1942" s="1" t="s">
        <v>165</v>
      </c>
      <c r="U1942">
        <v>-0.14311916535212801</v>
      </c>
    </row>
    <row r="1943" spans="1:21" x14ac:dyDescent="0.3">
      <c r="A1943" s="1" t="s">
        <v>155</v>
      </c>
      <c r="B1943" s="1" t="s">
        <v>55</v>
      </c>
      <c r="C1943" s="2">
        <v>45124</v>
      </c>
      <c r="D1943" s="1" t="s">
        <v>36</v>
      </c>
      <c r="E1943" s="1" t="s">
        <v>18</v>
      </c>
      <c r="F1943">
        <v>5076.05</v>
      </c>
      <c r="G1943">
        <v>14</v>
      </c>
      <c r="H1943" s="1" t="s">
        <v>37</v>
      </c>
      <c r="I1943">
        <v>1350.47</v>
      </c>
      <c r="J1943">
        <v>1514.61</v>
      </c>
      <c r="K1943" s="1" t="s">
        <v>26</v>
      </c>
      <c r="L1943">
        <v>0.2</v>
      </c>
      <c r="M1943" s="1" t="s">
        <v>27</v>
      </c>
      <c r="N1943" s="1" t="s">
        <v>33</v>
      </c>
      <c r="O1943" s="1" t="s">
        <v>115</v>
      </c>
      <c r="P1943">
        <v>18906.580000000002</v>
      </c>
      <c r="Q1943">
        <v>2023</v>
      </c>
      <c r="R1943">
        <v>16963.631999999998</v>
      </c>
      <c r="S1943">
        <v>-1942.948000000004</v>
      </c>
      <c r="T1943" s="1" t="s">
        <v>165</v>
      </c>
      <c r="U1943">
        <v>-0.11453608519685</v>
      </c>
    </row>
    <row r="1944" spans="1:21" x14ac:dyDescent="0.3">
      <c r="A1944" s="1" t="s">
        <v>155</v>
      </c>
      <c r="B1944" s="1" t="s">
        <v>24</v>
      </c>
      <c r="C1944" s="2">
        <v>45124</v>
      </c>
      <c r="D1944" s="1" t="s">
        <v>25</v>
      </c>
      <c r="E1944" s="1" t="s">
        <v>18</v>
      </c>
      <c r="F1944">
        <v>3438.35</v>
      </c>
      <c r="G1944">
        <v>31</v>
      </c>
      <c r="H1944" s="1" t="s">
        <v>19</v>
      </c>
      <c r="I1944">
        <v>845.14</v>
      </c>
      <c r="J1944">
        <v>1001.77</v>
      </c>
      <c r="K1944" s="1" t="s">
        <v>26</v>
      </c>
      <c r="L1944">
        <v>0.03</v>
      </c>
      <c r="M1944" s="1" t="s">
        <v>21</v>
      </c>
      <c r="N1944" s="1" t="s">
        <v>22</v>
      </c>
      <c r="O1944" s="1" t="s">
        <v>28</v>
      </c>
      <c r="P1944">
        <v>26199.34</v>
      </c>
      <c r="Q1944">
        <v>2023</v>
      </c>
      <c r="R1944">
        <v>30123.223899999997</v>
      </c>
      <c r="S1944">
        <v>3923.8838999999971</v>
      </c>
      <c r="T1944" s="1" t="s">
        <v>165</v>
      </c>
      <c r="U1944">
        <v>0.13026108735990899</v>
      </c>
    </row>
    <row r="1945" spans="1:21" x14ac:dyDescent="0.3">
      <c r="A1945" s="1" t="s">
        <v>155</v>
      </c>
      <c r="B1945" s="1" t="s">
        <v>61</v>
      </c>
      <c r="C1945" s="2">
        <v>45125</v>
      </c>
      <c r="D1945" s="1" t="s">
        <v>17</v>
      </c>
      <c r="E1945" s="1" t="s">
        <v>30</v>
      </c>
      <c r="F1945">
        <v>6675.77</v>
      </c>
      <c r="G1945">
        <v>42</v>
      </c>
      <c r="H1945" s="1" t="s">
        <v>37</v>
      </c>
      <c r="I1945">
        <v>417.96</v>
      </c>
      <c r="J1945">
        <v>907.63</v>
      </c>
      <c r="K1945" s="1" t="s">
        <v>26</v>
      </c>
      <c r="L1945">
        <v>0.04</v>
      </c>
      <c r="M1945" s="1" t="s">
        <v>21</v>
      </c>
      <c r="N1945" s="1" t="s">
        <v>33</v>
      </c>
      <c r="O1945" s="1" t="s">
        <v>34</v>
      </c>
      <c r="P1945">
        <v>17554.32</v>
      </c>
      <c r="Q1945">
        <v>2023</v>
      </c>
      <c r="R1945">
        <v>36595.641599999995</v>
      </c>
      <c r="S1945">
        <v>19041.321599999996</v>
      </c>
      <c r="T1945" s="1" t="s">
        <v>165</v>
      </c>
      <c r="U1945">
        <v>0.52031664885470996</v>
      </c>
    </row>
    <row r="1946" spans="1:21" x14ac:dyDescent="0.3">
      <c r="A1946" s="1" t="s">
        <v>155</v>
      </c>
      <c r="B1946" s="1" t="s">
        <v>152</v>
      </c>
      <c r="C1946" s="2">
        <v>45125</v>
      </c>
      <c r="D1946" s="1" t="s">
        <v>59</v>
      </c>
      <c r="E1946" s="1" t="s">
        <v>18</v>
      </c>
      <c r="F1946">
        <v>7948.31</v>
      </c>
      <c r="G1946">
        <v>12</v>
      </c>
      <c r="H1946" s="1" t="s">
        <v>19</v>
      </c>
      <c r="I1946">
        <v>4745.18</v>
      </c>
      <c r="J1946">
        <v>5145.88</v>
      </c>
      <c r="K1946" s="1" t="s">
        <v>20</v>
      </c>
      <c r="L1946">
        <v>0.19</v>
      </c>
      <c r="M1946" s="1" t="s">
        <v>27</v>
      </c>
      <c r="N1946" s="1" t="s">
        <v>22</v>
      </c>
      <c r="O1946" s="1" t="s">
        <v>77</v>
      </c>
      <c r="P1946">
        <v>56942.16</v>
      </c>
      <c r="Q1946">
        <v>2023</v>
      </c>
      <c r="R1946">
        <v>50017.953600000001</v>
      </c>
      <c r="S1946">
        <v>-6924.2064000000028</v>
      </c>
      <c r="T1946" s="1" t="s">
        <v>165</v>
      </c>
      <c r="U1946">
        <v>-0.138434420075915</v>
      </c>
    </row>
    <row r="1947" spans="1:21" x14ac:dyDescent="0.3">
      <c r="A1947" s="1" t="s">
        <v>155</v>
      </c>
      <c r="B1947" s="1" t="s">
        <v>131</v>
      </c>
      <c r="C1947" s="2">
        <v>45125</v>
      </c>
      <c r="D1947" s="1" t="s">
        <v>17</v>
      </c>
      <c r="E1947" s="1" t="s">
        <v>30</v>
      </c>
      <c r="F1947">
        <v>6107.78</v>
      </c>
      <c r="G1947">
        <v>43</v>
      </c>
      <c r="H1947" s="1" t="s">
        <v>31</v>
      </c>
      <c r="I1947">
        <v>4834.47</v>
      </c>
      <c r="J1947">
        <v>4973.38</v>
      </c>
      <c r="K1947" s="1" t="s">
        <v>20</v>
      </c>
      <c r="L1947">
        <v>0.03</v>
      </c>
      <c r="M1947" s="1" t="s">
        <v>32</v>
      </c>
      <c r="N1947" s="1" t="s">
        <v>22</v>
      </c>
      <c r="O1947" s="1" t="s">
        <v>34</v>
      </c>
      <c r="P1947">
        <v>207882.21000000002</v>
      </c>
      <c r="Q1947">
        <v>2023</v>
      </c>
      <c r="R1947">
        <v>207439.67979999998</v>
      </c>
      <c r="S1947">
        <v>-442.53020000003744</v>
      </c>
      <c r="T1947" s="1" t="s">
        <v>165</v>
      </c>
      <c r="U1947">
        <v>-2.13329581122906E-3</v>
      </c>
    </row>
    <row r="1948" spans="1:21" x14ac:dyDescent="0.3">
      <c r="A1948" s="1" t="s">
        <v>155</v>
      </c>
      <c r="B1948" s="1" t="s">
        <v>63</v>
      </c>
      <c r="C1948" s="2">
        <v>45126</v>
      </c>
      <c r="D1948" s="1" t="s">
        <v>25</v>
      </c>
      <c r="E1948" s="1" t="s">
        <v>18</v>
      </c>
      <c r="F1948">
        <v>5684.33</v>
      </c>
      <c r="G1948">
        <v>10</v>
      </c>
      <c r="H1948" s="1" t="s">
        <v>37</v>
      </c>
      <c r="I1948">
        <v>2940.4</v>
      </c>
      <c r="J1948">
        <v>3054.79</v>
      </c>
      <c r="K1948" s="1" t="s">
        <v>20</v>
      </c>
      <c r="L1948">
        <v>0.08</v>
      </c>
      <c r="M1948" s="1" t="s">
        <v>27</v>
      </c>
      <c r="N1948" s="1" t="s">
        <v>22</v>
      </c>
      <c r="O1948" s="1" t="s">
        <v>28</v>
      </c>
      <c r="P1948">
        <v>29404</v>
      </c>
      <c r="Q1948">
        <v>2023</v>
      </c>
      <c r="R1948">
        <v>28104.068000000003</v>
      </c>
      <c r="S1948">
        <v>-1299.9319999999971</v>
      </c>
      <c r="T1948" s="1" t="s">
        <v>165</v>
      </c>
      <c r="U1948">
        <v>-4.62542291030607E-2</v>
      </c>
    </row>
    <row r="1949" spans="1:21" x14ac:dyDescent="0.3">
      <c r="A1949" s="1" t="s">
        <v>155</v>
      </c>
      <c r="B1949" s="1" t="s">
        <v>55</v>
      </c>
      <c r="C1949" s="2">
        <v>45126</v>
      </c>
      <c r="D1949" s="1" t="s">
        <v>25</v>
      </c>
      <c r="E1949" s="1" t="s">
        <v>40</v>
      </c>
      <c r="F1949">
        <v>656.14</v>
      </c>
      <c r="G1949">
        <v>10</v>
      </c>
      <c r="H1949" s="1" t="s">
        <v>31</v>
      </c>
      <c r="I1949">
        <v>2387.63</v>
      </c>
      <c r="J1949">
        <v>2438.9699999999998</v>
      </c>
      <c r="K1949" s="1" t="s">
        <v>20</v>
      </c>
      <c r="L1949">
        <v>0.02</v>
      </c>
      <c r="M1949" s="1" t="s">
        <v>32</v>
      </c>
      <c r="N1949" s="1" t="s">
        <v>33</v>
      </c>
      <c r="O1949" s="1" t="s">
        <v>83</v>
      </c>
      <c r="P1949">
        <v>23876.300000000003</v>
      </c>
      <c r="Q1949">
        <v>2023</v>
      </c>
      <c r="R1949">
        <v>23901.905999999995</v>
      </c>
      <c r="S1949">
        <v>25.605999999992491</v>
      </c>
      <c r="T1949" s="1" t="s">
        <v>165</v>
      </c>
      <c r="U1949">
        <v>1.0712953184567201E-3</v>
      </c>
    </row>
    <row r="1950" spans="1:21" x14ac:dyDescent="0.3">
      <c r="A1950" s="1" t="s">
        <v>155</v>
      </c>
      <c r="B1950" s="1" t="s">
        <v>53</v>
      </c>
      <c r="C1950" s="2">
        <v>45127</v>
      </c>
      <c r="D1950" s="1" t="s">
        <v>43</v>
      </c>
      <c r="E1950" s="1" t="s">
        <v>18</v>
      </c>
      <c r="F1950">
        <v>7075.09</v>
      </c>
      <c r="G1950">
        <v>17</v>
      </c>
      <c r="H1950" s="1" t="s">
        <v>57</v>
      </c>
      <c r="I1950">
        <v>1057.27</v>
      </c>
      <c r="J1950">
        <v>1366.62</v>
      </c>
      <c r="K1950" s="1" t="s">
        <v>26</v>
      </c>
      <c r="L1950">
        <v>0.21</v>
      </c>
      <c r="M1950" s="1" t="s">
        <v>27</v>
      </c>
      <c r="N1950" s="1" t="s">
        <v>33</v>
      </c>
      <c r="O1950" s="1" t="s">
        <v>62</v>
      </c>
      <c r="P1950">
        <v>17973.59</v>
      </c>
      <c r="Q1950">
        <v>2023</v>
      </c>
      <c r="R1950">
        <v>18353.706599999998</v>
      </c>
      <c r="S1950">
        <v>380.11659999999756</v>
      </c>
      <c r="T1950" s="1" t="s">
        <v>165</v>
      </c>
      <c r="U1950">
        <v>2.0710617658015601E-2</v>
      </c>
    </row>
    <row r="1951" spans="1:21" x14ac:dyDescent="0.3">
      <c r="A1951" s="1" t="s">
        <v>155</v>
      </c>
      <c r="B1951" s="1" t="s">
        <v>143</v>
      </c>
      <c r="C1951" s="2">
        <v>45127</v>
      </c>
      <c r="D1951" s="1" t="s">
        <v>17</v>
      </c>
      <c r="E1951" s="1" t="s">
        <v>40</v>
      </c>
      <c r="F1951">
        <v>7354.06</v>
      </c>
      <c r="G1951">
        <v>43</v>
      </c>
      <c r="H1951" s="1" t="s">
        <v>31</v>
      </c>
      <c r="I1951">
        <v>4111.7</v>
      </c>
      <c r="J1951">
        <v>4537.9399999999996</v>
      </c>
      <c r="K1951" s="1" t="s">
        <v>20</v>
      </c>
      <c r="L1951">
        <v>0.13</v>
      </c>
      <c r="M1951" s="1" t="s">
        <v>32</v>
      </c>
      <c r="N1951" s="1" t="s">
        <v>22</v>
      </c>
      <c r="O1951" s="1" t="s">
        <v>67</v>
      </c>
      <c r="P1951">
        <v>176803.1</v>
      </c>
      <c r="Q1951">
        <v>2023</v>
      </c>
      <c r="R1951">
        <v>169764.33539999998</v>
      </c>
      <c r="S1951">
        <v>-7038.7646000000241</v>
      </c>
      <c r="T1951" s="1" t="s">
        <v>165</v>
      </c>
      <c r="U1951">
        <v>-4.14619748218331E-2</v>
      </c>
    </row>
    <row r="1952" spans="1:21" x14ac:dyDescent="0.3">
      <c r="A1952" s="1" t="s">
        <v>155</v>
      </c>
      <c r="B1952" s="1" t="s">
        <v>63</v>
      </c>
      <c r="C1952" s="2">
        <v>45127</v>
      </c>
      <c r="D1952" s="1" t="s">
        <v>17</v>
      </c>
      <c r="E1952" s="1" t="s">
        <v>18</v>
      </c>
      <c r="F1952">
        <v>903.38</v>
      </c>
      <c r="G1952">
        <v>48</v>
      </c>
      <c r="H1952" s="1" t="s">
        <v>37</v>
      </c>
      <c r="I1952">
        <v>1679.69</v>
      </c>
      <c r="J1952">
        <v>1939.04</v>
      </c>
      <c r="K1952" s="1" t="s">
        <v>26</v>
      </c>
      <c r="L1952">
        <v>0.09</v>
      </c>
      <c r="M1952" s="1" t="s">
        <v>27</v>
      </c>
      <c r="N1952" s="1" t="s">
        <v>22</v>
      </c>
      <c r="O1952" s="1" t="s">
        <v>23</v>
      </c>
      <c r="P1952">
        <v>80625.119999999995</v>
      </c>
      <c r="Q1952">
        <v>2023</v>
      </c>
      <c r="R1952">
        <v>84697.267200000002</v>
      </c>
      <c r="S1952">
        <v>4072.1472000000067</v>
      </c>
      <c r="T1952" s="1" t="s">
        <v>165</v>
      </c>
      <c r="U1952">
        <v>4.80788499395646E-2</v>
      </c>
    </row>
    <row r="1953" spans="1:21" x14ac:dyDescent="0.3">
      <c r="A1953" s="1" t="s">
        <v>155</v>
      </c>
      <c r="B1953" s="1" t="s">
        <v>102</v>
      </c>
      <c r="C1953" s="2">
        <v>45128</v>
      </c>
      <c r="D1953" s="1" t="s">
        <v>36</v>
      </c>
      <c r="E1953" s="1" t="s">
        <v>44</v>
      </c>
      <c r="F1953">
        <v>3388.69</v>
      </c>
      <c r="G1953">
        <v>1</v>
      </c>
      <c r="H1953" s="1" t="s">
        <v>57</v>
      </c>
      <c r="I1953">
        <v>172.59</v>
      </c>
      <c r="J1953">
        <v>404.69</v>
      </c>
      <c r="K1953" s="1" t="s">
        <v>20</v>
      </c>
      <c r="L1953">
        <v>0.28999999999999998</v>
      </c>
      <c r="M1953" s="1" t="s">
        <v>32</v>
      </c>
      <c r="N1953" s="1" t="s">
        <v>22</v>
      </c>
      <c r="O1953" s="1" t="s">
        <v>71</v>
      </c>
      <c r="P1953">
        <v>172.59</v>
      </c>
      <c r="Q1953">
        <v>2023</v>
      </c>
      <c r="R1953">
        <v>287.32990000000001</v>
      </c>
      <c r="S1953">
        <v>114.73990000000001</v>
      </c>
      <c r="T1953" s="1" t="s">
        <v>165</v>
      </c>
      <c r="U1953">
        <v>0.399331569739174</v>
      </c>
    </row>
    <row r="1954" spans="1:21" x14ac:dyDescent="0.3">
      <c r="A1954" s="1" t="s">
        <v>155</v>
      </c>
      <c r="B1954" s="1" t="s">
        <v>144</v>
      </c>
      <c r="C1954" s="2">
        <v>45128</v>
      </c>
      <c r="D1954" s="1" t="s">
        <v>43</v>
      </c>
      <c r="E1954" s="1" t="s">
        <v>44</v>
      </c>
      <c r="F1954">
        <v>6359.59</v>
      </c>
      <c r="G1954">
        <v>32</v>
      </c>
      <c r="H1954" s="1" t="s">
        <v>37</v>
      </c>
      <c r="I1954">
        <v>975.31</v>
      </c>
      <c r="J1954">
        <v>1176.17</v>
      </c>
      <c r="K1954" s="1" t="s">
        <v>26</v>
      </c>
      <c r="L1954">
        <v>0.22</v>
      </c>
      <c r="M1954" s="1" t="s">
        <v>32</v>
      </c>
      <c r="N1954" s="1" t="s">
        <v>33</v>
      </c>
      <c r="O1954" s="1" t="s">
        <v>45</v>
      </c>
      <c r="P1954">
        <v>31209.919999999998</v>
      </c>
      <c r="Q1954">
        <v>2023</v>
      </c>
      <c r="R1954">
        <v>29357.203200000004</v>
      </c>
      <c r="S1954">
        <v>-1852.7167999999947</v>
      </c>
      <c r="T1954" s="1" t="s">
        <v>165</v>
      </c>
      <c r="U1954">
        <v>-6.3109444976011703E-2</v>
      </c>
    </row>
    <row r="1955" spans="1:21" x14ac:dyDescent="0.3">
      <c r="A1955" s="1" t="s">
        <v>155</v>
      </c>
      <c r="B1955" s="1" t="s">
        <v>76</v>
      </c>
      <c r="C1955" s="2">
        <v>45128</v>
      </c>
      <c r="D1955" s="1" t="s">
        <v>25</v>
      </c>
      <c r="E1955" s="1" t="s">
        <v>44</v>
      </c>
      <c r="F1955">
        <v>3492.19</v>
      </c>
      <c r="G1955">
        <v>4</v>
      </c>
      <c r="H1955" s="1" t="s">
        <v>31</v>
      </c>
      <c r="I1955">
        <v>868.83</v>
      </c>
      <c r="J1955">
        <v>1177.75</v>
      </c>
      <c r="K1955" s="1" t="s">
        <v>20</v>
      </c>
      <c r="L1955">
        <v>0.21</v>
      </c>
      <c r="M1955" s="1" t="s">
        <v>27</v>
      </c>
      <c r="N1955" s="1" t="s">
        <v>33</v>
      </c>
      <c r="O1955" s="1" t="s">
        <v>47</v>
      </c>
      <c r="P1955">
        <v>3475.32</v>
      </c>
      <c r="Q1955">
        <v>2023</v>
      </c>
      <c r="R1955">
        <v>3721.69</v>
      </c>
      <c r="S1955">
        <v>246.36999999999989</v>
      </c>
      <c r="T1955" s="1" t="s">
        <v>165</v>
      </c>
      <c r="U1955">
        <v>6.6198420609991704E-2</v>
      </c>
    </row>
    <row r="1956" spans="1:21" x14ac:dyDescent="0.3">
      <c r="A1956" s="1" t="s">
        <v>155</v>
      </c>
      <c r="B1956" s="1" t="s">
        <v>58</v>
      </c>
      <c r="C1956" s="2">
        <v>45128</v>
      </c>
      <c r="D1956" s="1" t="s">
        <v>17</v>
      </c>
      <c r="E1956" s="1" t="s">
        <v>18</v>
      </c>
      <c r="F1956">
        <v>2282.9899999999998</v>
      </c>
      <c r="G1956">
        <v>4</v>
      </c>
      <c r="H1956" s="1" t="s">
        <v>19</v>
      </c>
      <c r="I1956">
        <v>1532.8</v>
      </c>
      <c r="J1956">
        <v>1619.69</v>
      </c>
      <c r="K1956" s="1" t="s">
        <v>20</v>
      </c>
      <c r="L1956">
        <v>0.05</v>
      </c>
      <c r="M1956" s="1" t="s">
        <v>32</v>
      </c>
      <c r="N1956" s="1" t="s">
        <v>33</v>
      </c>
      <c r="O1956" s="1" t="s">
        <v>23</v>
      </c>
      <c r="P1956">
        <v>6131.2</v>
      </c>
      <c r="Q1956">
        <v>2023</v>
      </c>
      <c r="R1956">
        <v>6154.8220000000001</v>
      </c>
      <c r="S1956">
        <v>23.622000000000298</v>
      </c>
      <c r="T1956" s="1" t="s">
        <v>165</v>
      </c>
      <c r="U1956">
        <v>3.8379663944790401E-3</v>
      </c>
    </row>
    <row r="1957" spans="1:21" x14ac:dyDescent="0.3">
      <c r="A1957" s="1" t="s">
        <v>155</v>
      </c>
      <c r="B1957" s="1" t="s">
        <v>72</v>
      </c>
      <c r="C1957" s="2">
        <v>45129</v>
      </c>
      <c r="D1957" s="1" t="s">
        <v>59</v>
      </c>
      <c r="E1957" s="1" t="s">
        <v>44</v>
      </c>
      <c r="F1957">
        <v>6807.67</v>
      </c>
      <c r="G1957">
        <v>42</v>
      </c>
      <c r="H1957" s="1" t="s">
        <v>19</v>
      </c>
      <c r="I1957">
        <v>3120.19</v>
      </c>
      <c r="J1957">
        <v>3600.14</v>
      </c>
      <c r="K1957" s="1" t="s">
        <v>20</v>
      </c>
      <c r="L1957">
        <v>0.19</v>
      </c>
      <c r="M1957" s="1" t="s">
        <v>27</v>
      </c>
      <c r="N1957" s="1" t="s">
        <v>33</v>
      </c>
      <c r="O1957" s="1" t="s">
        <v>60</v>
      </c>
      <c r="P1957">
        <v>131047.98</v>
      </c>
      <c r="Q1957">
        <v>2023</v>
      </c>
      <c r="R1957">
        <v>122476.76280000001</v>
      </c>
      <c r="S1957">
        <v>-8571.2171999999846</v>
      </c>
      <c r="T1957" s="1" t="s">
        <v>165</v>
      </c>
      <c r="U1957">
        <v>-6.9982395060493696E-2</v>
      </c>
    </row>
    <row r="1958" spans="1:21" x14ac:dyDescent="0.3">
      <c r="A1958" s="1" t="s">
        <v>155</v>
      </c>
      <c r="B1958" s="1" t="s">
        <v>98</v>
      </c>
      <c r="C1958" s="2">
        <v>45130</v>
      </c>
      <c r="D1958" s="1" t="s">
        <v>43</v>
      </c>
      <c r="E1958" s="1" t="s">
        <v>40</v>
      </c>
      <c r="F1958">
        <v>7591.63</v>
      </c>
      <c r="G1958">
        <v>35</v>
      </c>
      <c r="H1958" s="1" t="s">
        <v>31</v>
      </c>
      <c r="I1958">
        <v>2344.9299999999998</v>
      </c>
      <c r="J1958">
        <v>2707.25</v>
      </c>
      <c r="K1958" s="1" t="s">
        <v>26</v>
      </c>
      <c r="L1958">
        <v>0.12</v>
      </c>
      <c r="M1958" s="1" t="s">
        <v>27</v>
      </c>
      <c r="N1958" s="1" t="s">
        <v>33</v>
      </c>
      <c r="O1958" s="1" t="s">
        <v>99</v>
      </c>
      <c r="P1958">
        <v>82072.549999999988</v>
      </c>
      <c r="Q1958">
        <v>2023</v>
      </c>
      <c r="R1958">
        <v>83383.3</v>
      </c>
      <c r="S1958">
        <v>1310.7500000000146</v>
      </c>
      <c r="T1958" s="1" t="s">
        <v>165</v>
      </c>
      <c r="U1958">
        <v>1.57195745431041E-2</v>
      </c>
    </row>
    <row r="1959" spans="1:21" x14ac:dyDescent="0.3">
      <c r="A1959" s="1" t="s">
        <v>155</v>
      </c>
      <c r="B1959" s="1" t="s">
        <v>100</v>
      </c>
      <c r="C1959" s="2">
        <v>45130</v>
      </c>
      <c r="D1959" s="1" t="s">
        <v>25</v>
      </c>
      <c r="E1959" s="1" t="s">
        <v>40</v>
      </c>
      <c r="F1959">
        <v>8417.07</v>
      </c>
      <c r="G1959">
        <v>26</v>
      </c>
      <c r="H1959" s="1" t="s">
        <v>37</v>
      </c>
      <c r="I1959">
        <v>4208.09</v>
      </c>
      <c r="J1959">
        <v>4226.5600000000004</v>
      </c>
      <c r="K1959" s="1" t="s">
        <v>20</v>
      </c>
      <c r="L1959">
        <v>0.28999999999999998</v>
      </c>
      <c r="M1959" s="1" t="s">
        <v>21</v>
      </c>
      <c r="N1959" s="1" t="s">
        <v>33</v>
      </c>
      <c r="O1959" s="1" t="s">
        <v>83</v>
      </c>
      <c r="P1959">
        <v>109410.34</v>
      </c>
      <c r="Q1959">
        <v>2023</v>
      </c>
      <c r="R1959">
        <v>78022.297600000005</v>
      </c>
      <c r="S1959">
        <v>-31388.042399999991</v>
      </c>
      <c r="T1959" s="1" t="s">
        <v>165</v>
      </c>
      <c r="U1959">
        <v>-0.40229579704148599</v>
      </c>
    </row>
    <row r="1960" spans="1:21" x14ac:dyDescent="0.3">
      <c r="A1960" s="1" t="s">
        <v>155</v>
      </c>
      <c r="B1960" s="1" t="s">
        <v>141</v>
      </c>
      <c r="C1960" s="2">
        <v>45131</v>
      </c>
      <c r="D1960" s="1" t="s">
        <v>59</v>
      </c>
      <c r="E1960" s="1" t="s">
        <v>30</v>
      </c>
      <c r="F1960">
        <v>8188.04</v>
      </c>
      <c r="G1960">
        <v>19</v>
      </c>
      <c r="H1960" s="1" t="s">
        <v>37</v>
      </c>
      <c r="I1960">
        <v>4055.51</v>
      </c>
      <c r="J1960">
        <v>4258.84</v>
      </c>
      <c r="K1960" s="1" t="s">
        <v>20</v>
      </c>
      <c r="L1960">
        <v>0.03</v>
      </c>
      <c r="M1960" s="1" t="s">
        <v>27</v>
      </c>
      <c r="N1960" s="1" t="s">
        <v>22</v>
      </c>
      <c r="O1960" s="1" t="s">
        <v>86</v>
      </c>
      <c r="P1960">
        <v>77054.69</v>
      </c>
      <c r="Q1960">
        <v>2023</v>
      </c>
      <c r="R1960">
        <v>78490.421199999997</v>
      </c>
      <c r="S1960">
        <v>1435.7311999999947</v>
      </c>
      <c r="T1960" s="1" t="s">
        <v>165</v>
      </c>
      <c r="U1960">
        <v>1.8291801445957798E-2</v>
      </c>
    </row>
    <row r="1961" spans="1:21" x14ac:dyDescent="0.3">
      <c r="A1961" s="1" t="s">
        <v>155</v>
      </c>
      <c r="B1961" s="1" t="s">
        <v>111</v>
      </c>
      <c r="C1961" s="2">
        <v>45132</v>
      </c>
      <c r="D1961" s="1" t="s">
        <v>17</v>
      </c>
      <c r="E1961" s="1" t="s">
        <v>40</v>
      </c>
      <c r="F1961">
        <v>5617.64</v>
      </c>
      <c r="G1961">
        <v>5</v>
      </c>
      <c r="H1961" s="1" t="s">
        <v>57</v>
      </c>
      <c r="I1961">
        <v>2206.58</v>
      </c>
      <c r="J1961">
        <v>2490.4699999999998</v>
      </c>
      <c r="K1961" s="1" t="s">
        <v>26</v>
      </c>
      <c r="L1961">
        <v>0.28000000000000003</v>
      </c>
      <c r="M1961" s="1" t="s">
        <v>21</v>
      </c>
      <c r="N1961" s="1" t="s">
        <v>22</v>
      </c>
      <c r="O1961" s="1" t="s">
        <v>67</v>
      </c>
      <c r="P1961">
        <v>11032.9</v>
      </c>
      <c r="Q1961">
        <v>2023</v>
      </c>
      <c r="R1961">
        <v>8965.6919999999991</v>
      </c>
      <c r="S1961">
        <v>-2067.2080000000005</v>
      </c>
      <c r="T1961" s="1" t="s">
        <v>165</v>
      </c>
      <c r="U1961">
        <v>-0.23056870568384499</v>
      </c>
    </row>
    <row r="1962" spans="1:21" x14ac:dyDescent="0.3">
      <c r="A1962" s="1" t="s">
        <v>155</v>
      </c>
      <c r="B1962" s="1" t="s">
        <v>145</v>
      </c>
      <c r="C1962" s="2">
        <v>45132</v>
      </c>
      <c r="D1962" s="1" t="s">
        <v>25</v>
      </c>
      <c r="E1962" s="1" t="s">
        <v>44</v>
      </c>
      <c r="F1962">
        <v>2936.54</v>
      </c>
      <c r="G1962">
        <v>19</v>
      </c>
      <c r="H1962" s="1" t="s">
        <v>31</v>
      </c>
      <c r="I1962">
        <v>3484.62</v>
      </c>
      <c r="J1962">
        <v>3781.55</v>
      </c>
      <c r="K1962" s="1" t="s">
        <v>20</v>
      </c>
      <c r="L1962">
        <v>0.21</v>
      </c>
      <c r="M1962" s="1" t="s">
        <v>27</v>
      </c>
      <c r="N1962" s="1" t="s">
        <v>33</v>
      </c>
      <c r="O1962" s="1" t="s">
        <v>47</v>
      </c>
      <c r="P1962">
        <v>66207.78</v>
      </c>
      <c r="Q1962">
        <v>2023</v>
      </c>
      <c r="R1962">
        <v>56761.065499999997</v>
      </c>
      <c r="S1962">
        <v>-9446.7145000000019</v>
      </c>
      <c r="T1962" s="1" t="s">
        <v>165</v>
      </c>
      <c r="U1962">
        <v>-0.166429477966724</v>
      </c>
    </row>
    <row r="1963" spans="1:21" x14ac:dyDescent="0.3">
      <c r="A1963" s="1" t="s">
        <v>155</v>
      </c>
      <c r="B1963" s="1" t="s">
        <v>127</v>
      </c>
      <c r="C1963" s="2">
        <v>45133</v>
      </c>
      <c r="D1963" s="1" t="s">
        <v>36</v>
      </c>
      <c r="E1963" s="1" t="s">
        <v>18</v>
      </c>
      <c r="F1963">
        <v>2706.15</v>
      </c>
      <c r="G1963">
        <v>9</v>
      </c>
      <c r="H1963" s="1" t="s">
        <v>37</v>
      </c>
      <c r="I1963">
        <v>4680.3500000000004</v>
      </c>
      <c r="J1963">
        <v>4758.1099999999997</v>
      </c>
      <c r="K1963" s="1" t="s">
        <v>20</v>
      </c>
      <c r="L1963">
        <v>0.05</v>
      </c>
      <c r="M1963" s="1" t="s">
        <v>32</v>
      </c>
      <c r="N1963" s="1" t="s">
        <v>22</v>
      </c>
      <c r="O1963" s="1" t="s">
        <v>115</v>
      </c>
      <c r="P1963">
        <v>42123.15</v>
      </c>
      <c r="Q1963">
        <v>2023</v>
      </c>
      <c r="R1963">
        <v>40681.840499999998</v>
      </c>
      <c r="S1963">
        <v>-1441.309500000003</v>
      </c>
      <c r="T1963" s="1" t="s">
        <v>165</v>
      </c>
      <c r="U1963">
        <v>-3.5428817435140397E-2</v>
      </c>
    </row>
    <row r="1964" spans="1:21" x14ac:dyDescent="0.3">
      <c r="A1964" s="1" t="s">
        <v>155</v>
      </c>
      <c r="B1964" s="1" t="s">
        <v>63</v>
      </c>
      <c r="C1964" s="2">
        <v>45134</v>
      </c>
      <c r="D1964" s="1" t="s">
        <v>36</v>
      </c>
      <c r="E1964" s="1" t="s">
        <v>30</v>
      </c>
      <c r="F1964">
        <v>4078.68</v>
      </c>
      <c r="G1964">
        <v>44</v>
      </c>
      <c r="H1964" s="1" t="s">
        <v>37</v>
      </c>
      <c r="I1964">
        <v>987.74</v>
      </c>
      <c r="J1964">
        <v>1462.19</v>
      </c>
      <c r="K1964" s="1" t="s">
        <v>26</v>
      </c>
      <c r="L1964">
        <v>0.24</v>
      </c>
      <c r="M1964" s="1" t="s">
        <v>32</v>
      </c>
      <c r="N1964" s="1" t="s">
        <v>22</v>
      </c>
      <c r="O1964" s="1" t="s">
        <v>38</v>
      </c>
      <c r="P1964">
        <v>43460.56</v>
      </c>
      <c r="Q1964">
        <v>2023</v>
      </c>
      <c r="R1964">
        <v>48895.633600000001</v>
      </c>
      <c r="S1964">
        <v>5435.0736000000034</v>
      </c>
      <c r="T1964" s="1" t="s">
        <v>165</v>
      </c>
      <c r="U1964">
        <v>0.111156624832038</v>
      </c>
    </row>
    <row r="1965" spans="1:21" x14ac:dyDescent="0.3">
      <c r="A1965" s="1" t="s">
        <v>155</v>
      </c>
      <c r="B1965" s="1" t="s">
        <v>88</v>
      </c>
      <c r="C1965" s="2">
        <v>45134</v>
      </c>
      <c r="D1965" s="1" t="s">
        <v>17</v>
      </c>
      <c r="E1965" s="1" t="s">
        <v>18</v>
      </c>
      <c r="F1965">
        <v>4127.37</v>
      </c>
      <c r="G1965">
        <v>3</v>
      </c>
      <c r="H1965" s="1" t="s">
        <v>19</v>
      </c>
      <c r="I1965">
        <v>902.38</v>
      </c>
      <c r="J1965">
        <v>1128.9100000000001</v>
      </c>
      <c r="K1965" s="1" t="s">
        <v>26</v>
      </c>
      <c r="L1965">
        <v>0.01</v>
      </c>
      <c r="M1965" s="1" t="s">
        <v>32</v>
      </c>
      <c r="N1965" s="1" t="s">
        <v>33</v>
      </c>
      <c r="O1965" s="1" t="s">
        <v>23</v>
      </c>
      <c r="P1965">
        <v>2707.14</v>
      </c>
      <c r="Q1965">
        <v>2023</v>
      </c>
      <c r="R1965">
        <v>3352.8627000000006</v>
      </c>
      <c r="S1965">
        <v>645.72270000000071</v>
      </c>
      <c r="T1965" s="1" t="s">
        <v>165</v>
      </c>
      <c r="U1965">
        <v>0.19258847074173399</v>
      </c>
    </row>
    <row r="1966" spans="1:21" x14ac:dyDescent="0.3">
      <c r="A1966" s="1" t="s">
        <v>155</v>
      </c>
      <c r="B1966" s="1" t="s">
        <v>132</v>
      </c>
      <c r="C1966" s="2">
        <v>45135</v>
      </c>
      <c r="D1966" s="1" t="s">
        <v>36</v>
      </c>
      <c r="E1966" s="1" t="s">
        <v>40</v>
      </c>
      <c r="F1966">
        <v>4376.99</v>
      </c>
      <c r="G1966">
        <v>37</v>
      </c>
      <c r="H1966" s="1" t="s">
        <v>37</v>
      </c>
      <c r="I1966">
        <v>1115.02</v>
      </c>
      <c r="J1966">
        <v>1174.48</v>
      </c>
      <c r="K1966" s="1" t="s">
        <v>26</v>
      </c>
      <c r="L1966">
        <v>0.22</v>
      </c>
      <c r="M1966" s="1" t="s">
        <v>27</v>
      </c>
      <c r="N1966" s="1" t="s">
        <v>22</v>
      </c>
      <c r="O1966" s="1" t="s">
        <v>41</v>
      </c>
      <c r="P1966">
        <v>41255.74</v>
      </c>
      <c r="Q1966">
        <v>2023</v>
      </c>
      <c r="R1966">
        <v>33895.4928</v>
      </c>
      <c r="S1966">
        <v>-7360.247199999998</v>
      </c>
      <c r="T1966" s="1" t="s">
        <v>165</v>
      </c>
      <c r="U1966">
        <v>-0.217145307295842</v>
      </c>
    </row>
    <row r="1967" spans="1:21" x14ac:dyDescent="0.3">
      <c r="A1967" s="1" t="s">
        <v>155</v>
      </c>
      <c r="B1967" s="1" t="s">
        <v>78</v>
      </c>
      <c r="C1967" s="2">
        <v>45135</v>
      </c>
      <c r="D1967" s="1" t="s">
        <v>36</v>
      </c>
      <c r="E1967" s="1" t="s">
        <v>44</v>
      </c>
      <c r="F1967">
        <v>768.28</v>
      </c>
      <c r="G1967">
        <v>20</v>
      </c>
      <c r="H1967" s="1" t="s">
        <v>19</v>
      </c>
      <c r="I1967">
        <v>4622.1400000000003</v>
      </c>
      <c r="J1967">
        <v>5122.07</v>
      </c>
      <c r="K1967" s="1" t="s">
        <v>26</v>
      </c>
      <c r="L1967">
        <v>0.26</v>
      </c>
      <c r="M1967" s="1" t="s">
        <v>21</v>
      </c>
      <c r="N1967" s="1" t="s">
        <v>33</v>
      </c>
      <c r="O1967" s="1" t="s">
        <v>71</v>
      </c>
      <c r="P1967">
        <v>92442.8</v>
      </c>
      <c r="Q1967">
        <v>2023</v>
      </c>
      <c r="R1967">
        <v>75806.635999999999</v>
      </c>
      <c r="S1967">
        <v>-16636.164000000004</v>
      </c>
      <c r="T1967" s="1" t="s">
        <v>165</v>
      </c>
      <c r="U1967">
        <v>-0.21945524663566399</v>
      </c>
    </row>
    <row r="1968" spans="1:21" x14ac:dyDescent="0.3">
      <c r="A1968" s="1" t="s">
        <v>155</v>
      </c>
      <c r="B1968" s="1" t="s">
        <v>153</v>
      </c>
      <c r="C1968" s="2">
        <v>45135</v>
      </c>
      <c r="D1968" s="1" t="s">
        <v>59</v>
      </c>
      <c r="E1968" s="1" t="s">
        <v>44</v>
      </c>
      <c r="F1968">
        <v>8540.2199999999993</v>
      </c>
      <c r="G1968">
        <v>48</v>
      </c>
      <c r="H1968" s="1" t="s">
        <v>57</v>
      </c>
      <c r="I1968">
        <v>3380.52</v>
      </c>
      <c r="J1968">
        <v>3778.94</v>
      </c>
      <c r="K1968" s="1" t="s">
        <v>20</v>
      </c>
      <c r="L1968">
        <v>0.3</v>
      </c>
      <c r="M1968" s="1" t="s">
        <v>32</v>
      </c>
      <c r="N1968" s="1" t="s">
        <v>22</v>
      </c>
      <c r="O1968" s="1" t="s">
        <v>60</v>
      </c>
      <c r="P1968">
        <v>162264.95999999999</v>
      </c>
      <c r="Q1968">
        <v>2023</v>
      </c>
      <c r="R1968">
        <v>126972.38399999999</v>
      </c>
      <c r="S1968">
        <v>-35292.576000000001</v>
      </c>
      <c r="T1968" s="1" t="s">
        <v>165</v>
      </c>
      <c r="U1968">
        <v>-0.27795474014254901</v>
      </c>
    </row>
    <row r="1969" spans="1:21" x14ac:dyDescent="0.3">
      <c r="A1969" s="1" t="s">
        <v>155</v>
      </c>
      <c r="B1969" s="1" t="s">
        <v>117</v>
      </c>
      <c r="C1969" s="2">
        <v>45136</v>
      </c>
      <c r="D1969" s="1" t="s">
        <v>25</v>
      </c>
      <c r="E1969" s="1" t="s">
        <v>40</v>
      </c>
      <c r="F1969">
        <v>485.41</v>
      </c>
      <c r="G1969">
        <v>38</v>
      </c>
      <c r="H1969" s="1" t="s">
        <v>37</v>
      </c>
      <c r="I1969">
        <v>3955.66</v>
      </c>
      <c r="J1969">
        <v>4270.59</v>
      </c>
      <c r="K1969" s="1" t="s">
        <v>20</v>
      </c>
      <c r="L1969">
        <v>0.15</v>
      </c>
      <c r="M1969" s="1" t="s">
        <v>27</v>
      </c>
      <c r="N1969" s="1" t="s">
        <v>22</v>
      </c>
      <c r="O1969" s="1" t="s">
        <v>83</v>
      </c>
      <c r="P1969">
        <v>150315.07999999999</v>
      </c>
      <c r="Q1969">
        <v>2023</v>
      </c>
      <c r="R1969">
        <v>137940.057</v>
      </c>
      <c r="S1969">
        <v>-12375.022999999986</v>
      </c>
      <c r="T1969" s="1" t="s">
        <v>165</v>
      </c>
      <c r="U1969">
        <v>-8.97130483279414E-2</v>
      </c>
    </row>
    <row r="1970" spans="1:21" x14ac:dyDescent="0.3">
      <c r="A1970" s="1" t="s">
        <v>155</v>
      </c>
      <c r="B1970" s="1" t="s">
        <v>147</v>
      </c>
      <c r="C1970" s="2">
        <v>45136</v>
      </c>
      <c r="D1970" s="1" t="s">
        <v>43</v>
      </c>
      <c r="E1970" s="1" t="s">
        <v>30</v>
      </c>
      <c r="F1970">
        <v>7678.91</v>
      </c>
      <c r="G1970">
        <v>16</v>
      </c>
      <c r="H1970" s="1" t="s">
        <v>31</v>
      </c>
      <c r="I1970">
        <v>4287.21</v>
      </c>
      <c r="J1970">
        <v>4464.28</v>
      </c>
      <c r="K1970" s="1" t="s">
        <v>20</v>
      </c>
      <c r="L1970">
        <v>0.2</v>
      </c>
      <c r="M1970" s="1" t="s">
        <v>27</v>
      </c>
      <c r="N1970" s="1" t="s">
        <v>33</v>
      </c>
      <c r="O1970" s="1" t="s">
        <v>54</v>
      </c>
      <c r="P1970">
        <v>68595.360000000001</v>
      </c>
      <c r="Q1970">
        <v>2023</v>
      </c>
      <c r="R1970">
        <v>57142.784</v>
      </c>
      <c r="S1970">
        <v>-11452.576000000001</v>
      </c>
      <c r="T1970" s="1" t="s">
        <v>165</v>
      </c>
      <c r="U1970">
        <v>-0.20042033653803101</v>
      </c>
    </row>
    <row r="1971" spans="1:21" x14ac:dyDescent="0.3">
      <c r="A1971" s="1" t="s">
        <v>155</v>
      </c>
      <c r="B1971" s="1" t="s">
        <v>81</v>
      </c>
      <c r="C1971" s="2">
        <v>45136</v>
      </c>
      <c r="D1971" s="1" t="s">
        <v>59</v>
      </c>
      <c r="E1971" s="1" t="s">
        <v>18</v>
      </c>
      <c r="F1971">
        <v>6144.41</v>
      </c>
      <c r="G1971">
        <v>47</v>
      </c>
      <c r="H1971" s="1" t="s">
        <v>37</v>
      </c>
      <c r="I1971">
        <v>1512.34</v>
      </c>
      <c r="J1971">
        <v>1830.76</v>
      </c>
      <c r="K1971" s="1" t="s">
        <v>26</v>
      </c>
      <c r="L1971">
        <v>0.12</v>
      </c>
      <c r="M1971" s="1" t="s">
        <v>32</v>
      </c>
      <c r="N1971" s="1" t="s">
        <v>22</v>
      </c>
      <c r="O1971" s="1" t="s">
        <v>77</v>
      </c>
      <c r="P1971">
        <v>71079.98</v>
      </c>
      <c r="Q1971">
        <v>2023</v>
      </c>
      <c r="R1971">
        <v>75720.233600000007</v>
      </c>
      <c r="S1971">
        <v>4640.2536000000109</v>
      </c>
      <c r="T1971" s="1" t="s">
        <v>165</v>
      </c>
      <c r="U1971">
        <v>6.1281554207989301E-2</v>
      </c>
    </row>
    <row r="1972" spans="1:21" x14ac:dyDescent="0.3">
      <c r="A1972" s="1" t="s">
        <v>155</v>
      </c>
      <c r="B1972" s="1" t="s">
        <v>153</v>
      </c>
      <c r="C1972" s="2">
        <v>45136</v>
      </c>
      <c r="D1972" s="1" t="s">
        <v>17</v>
      </c>
      <c r="E1972" s="1" t="s">
        <v>44</v>
      </c>
      <c r="F1972">
        <v>5677.61</v>
      </c>
      <c r="G1972">
        <v>46</v>
      </c>
      <c r="H1972" s="1" t="s">
        <v>57</v>
      </c>
      <c r="I1972">
        <v>1102.69</v>
      </c>
      <c r="J1972">
        <v>1437.12</v>
      </c>
      <c r="K1972" s="1" t="s">
        <v>26</v>
      </c>
      <c r="L1972">
        <v>0.11</v>
      </c>
      <c r="M1972" s="1" t="s">
        <v>27</v>
      </c>
      <c r="N1972" s="1" t="s">
        <v>22</v>
      </c>
      <c r="O1972" s="1" t="s">
        <v>49</v>
      </c>
      <c r="P1972">
        <v>50723.740000000005</v>
      </c>
      <c r="Q1972">
        <v>2023</v>
      </c>
      <c r="R1972">
        <v>58835.69279999999</v>
      </c>
      <c r="S1972">
        <v>8111.9527999999846</v>
      </c>
      <c r="T1972" s="1" t="s">
        <v>165</v>
      </c>
      <c r="U1972">
        <v>0.13787468820287199</v>
      </c>
    </row>
    <row r="1973" spans="1:21" x14ac:dyDescent="0.3">
      <c r="A1973" s="1" t="s">
        <v>155</v>
      </c>
      <c r="B1973" s="1" t="s">
        <v>93</v>
      </c>
      <c r="C1973" s="2">
        <v>45137</v>
      </c>
      <c r="D1973" s="1" t="s">
        <v>59</v>
      </c>
      <c r="E1973" s="1" t="s">
        <v>18</v>
      </c>
      <c r="F1973">
        <v>9527</v>
      </c>
      <c r="G1973">
        <v>6</v>
      </c>
      <c r="H1973" s="1" t="s">
        <v>31</v>
      </c>
      <c r="I1973">
        <v>1945.27</v>
      </c>
      <c r="J1973">
        <v>2309.4299999999998</v>
      </c>
      <c r="K1973" s="1" t="s">
        <v>26</v>
      </c>
      <c r="L1973">
        <v>0.26</v>
      </c>
      <c r="M1973" s="1" t="s">
        <v>27</v>
      </c>
      <c r="N1973" s="1" t="s">
        <v>22</v>
      </c>
      <c r="O1973" s="1" t="s">
        <v>77</v>
      </c>
      <c r="P1973">
        <v>11671.619999999999</v>
      </c>
      <c r="Q1973">
        <v>2023</v>
      </c>
      <c r="R1973">
        <v>10253.869199999999</v>
      </c>
      <c r="S1973">
        <v>-1417.7507999999998</v>
      </c>
      <c r="T1973" s="1" t="s">
        <v>165</v>
      </c>
      <c r="U1973">
        <v>-0.138264958558278</v>
      </c>
    </row>
    <row r="1974" spans="1:21" x14ac:dyDescent="0.3">
      <c r="A1974" s="1" t="s">
        <v>155</v>
      </c>
      <c r="B1974" s="1" t="s">
        <v>85</v>
      </c>
      <c r="C1974" s="2">
        <v>45137</v>
      </c>
      <c r="D1974" s="1" t="s">
        <v>17</v>
      </c>
      <c r="E1974" s="1" t="s">
        <v>44</v>
      </c>
      <c r="F1974">
        <v>7997.55</v>
      </c>
      <c r="G1974">
        <v>1</v>
      </c>
      <c r="H1974" s="1" t="s">
        <v>31</v>
      </c>
      <c r="I1974">
        <v>4384.6400000000003</v>
      </c>
      <c r="J1974">
        <v>4693.8999999999996</v>
      </c>
      <c r="K1974" s="1" t="s">
        <v>26</v>
      </c>
      <c r="L1974">
        <v>0.14000000000000001</v>
      </c>
      <c r="M1974" s="1" t="s">
        <v>21</v>
      </c>
      <c r="N1974" s="1" t="s">
        <v>33</v>
      </c>
      <c r="O1974" s="1" t="s">
        <v>49</v>
      </c>
      <c r="P1974">
        <v>4384.6400000000003</v>
      </c>
      <c r="Q1974">
        <v>2023</v>
      </c>
      <c r="R1974">
        <v>4036.7539999999995</v>
      </c>
      <c r="S1974">
        <v>-347.88600000000088</v>
      </c>
      <c r="T1974" s="1" t="s">
        <v>165</v>
      </c>
      <c r="U1974">
        <v>-8.6179638392629598E-2</v>
      </c>
    </row>
    <row r="1975" spans="1:21" x14ac:dyDescent="0.3">
      <c r="A1975" s="1" t="s">
        <v>155</v>
      </c>
      <c r="B1975" s="1" t="s">
        <v>51</v>
      </c>
      <c r="C1975" s="2">
        <v>45138</v>
      </c>
      <c r="D1975" s="1" t="s">
        <v>36</v>
      </c>
      <c r="E1975" s="1" t="s">
        <v>44</v>
      </c>
      <c r="F1975">
        <v>8090.84</v>
      </c>
      <c r="G1975">
        <v>21</v>
      </c>
      <c r="H1975" s="1" t="s">
        <v>19</v>
      </c>
      <c r="I1975">
        <v>4138.41</v>
      </c>
      <c r="J1975">
        <v>4361.7</v>
      </c>
      <c r="K1975" s="1" t="s">
        <v>20</v>
      </c>
      <c r="L1975">
        <v>7.0000000000000007E-2</v>
      </c>
      <c r="M1975" s="1" t="s">
        <v>27</v>
      </c>
      <c r="N1975" s="1" t="s">
        <v>33</v>
      </c>
      <c r="O1975" s="1" t="s">
        <v>71</v>
      </c>
      <c r="P1975">
        <v>86906.61</v>
      </c>
      <c r="Q1975">
        <v>2023</v>
      </c>
      <c r="R1975">
        <v>85184.000999999989</v>
      </c>
      <c r="S1975">
        <v>-1722.6090000000113</v>
      </c>
      <c r="T1975" s="1" t="s">
        <v>165</v>
      </c>
      <c r="U1975">
        <v>-2.0222212854266002E-2</v>
      </c>
    </row>
    <row r="1976" spans="1:21" x14ac:dyDescent="0.3">
      <c r="A1976" s="1" t="s">
        <v>155</v>
      </c>
      <c r="B1976" s="1" t="s">
        <v>144</v>
      </c>
      <c r="C1976" s="2">
        <v>45139</v>
      </c>
      <c r="D1976" s="1" t="s">
        <v>43</v>
      </c>
      <c r="E1976" s="1" t="s">
        <v>30</v>
      </c>
      <c r="F1976">
        <v>6346.13</v>
      </c>
      <c r="G1976">
        <v>4</v>
      </c>
      <c r="H1976" s="1" t="s">
        <v>37</v>
      </c>
      <c r="I1976">
        <v>1046.26</v>
      </c>
      <c r="J1976">
        <v>1475.29</v>
      </c>
      <c r="K1976" s="1" t="s">
        <v>20</v>
      </c>
      <c r="L1976">
        <v>0.09</v>
      </c>
      <c r="M1976" s="1" t="s">
        <v>32</v>
      </c>
      <c r="N1976" s="1" t="s">
        <v>33</v>
      </c>
      <c r="O1976" s="1" t="s">
        <v>54</v>
      </c>
      <c r="P1976">
        <v>4185.04</v>
      </c>
      <c r="Q1976">
        <v>2023</v>
      </c>
      <c r="R1976">
        <v>5370.0555999999997</v>
      </c>
      <c r="S1976">
        <v>1185.0155999999997</v>
      </c>
      <c r="T1976" s="1" t="s">
        <v>165</v>
      </c>
      <c r="U1976">
        <v>0.220671011302006</v>
      </c>
    </row>
    <row r="1977" spans="1:21" x14ac:dyDescent="0.3">
      <c r="A1977" s="1" t="s">
        <v>155</v>
      </c>
      <c r="B1977" s="1" t="s">
        <v>72</v>
      </c>
      <c r="C1977" s="2">
        <v>45139</v>
      </c>
      <c r="D1977" s="1" t="s">
        <v>17</v>
      </c>
      <c r="E1977" s="1" t="s">
        <v>40</v>
      </c>
      <c r="F1977">
        <v>7527.63</v>
      </c>
      <c r="G1977">
        <v>36</v>
      </c>
      <c r="H1977" s="1" t="s">
        <v>19</v>
      </c>
      <c r="I1977">
        <v>2919</v>
      </c>
      <c r="J1977">
        <v>3125.01</v>
      </c>
      <c r="K1977" s="1" t="s">
        <v>26</v>
      </c>
      <c r="L1977">
        <v>0.24</v>
      </c>
      <c r="M1977" s="1" t="s">
        <v>21</v>
      </c>
      <c r="N1977" s="1" t="s">
        <v>22</v>
      </c>
      <c r="O1977" s="1" t="s">
        <v>67</v>
      </c>
      <c r="P1977">
        <v>105084</v>
      </c>
      <c r="Q1977">
        <v>2023</v>
      </c>
      <c r="R1977">
        <v>85500.273600000015</v>
      </c>
      <c r="S1977">
        <v>-19583.726399999985</v>
      </c>
      <c r="T1977" s="1" t="s">
        <v>165</v>
      </c>
      <c r="U1977">
        <v>-0.229048698623112</v>
      </c>
    </row>
    <row r="1978" spans="1:21" x14ac:dyDescent="0.3">
      <c r="A1978" s="1" t="s">
        <v>155</v>
      </c>
      <c r="B1978" s="1" t="s">
        <v>117</v>
      </c>
      <c r="C1978" s="2">
        <v>45140</v>
      </c>
      <c r="D1978" s="1" t="s">
        <v>43</v>
      </c>
      <c r="E1978" s="1" t="s">
        <v>18</v>
      </c>
      <c r="F1978">
        <v>4815.72</v>
      </c>
      <c r="G1978">
        <v>30</v>
      </c>
      <c r="H1978" s="1" t="s">
        <v>37</v>
      </c>
      <c r="I1978">
        <v>3969.86</v>
      </c>
      <c r="J1978">
        <v>4281.79</v>
      </c>
      <c r="K1978" s="1" t="s">
        <v>20</v>
      </c>
      <c r="L1978">
        <v>0.08</v>
      </c>
      <c r="M1978" s="1" t="s">
        <v>32</v>
      </c>
      <c r="N1978" s="1" t="s">
        <v>33</v>
      </c>
      <c r="O1978" s="1" t="s">
        <v>62</v>
      </c>
      <c r="P1978">
        <v>119095.8</v>
      </c>
      <c r="Q1978">
        <v>2023</v>
      </c>
      <c r="R1978">
        <v>118177.40400000001</v>
      </c>
      <c r="S1978">
        <v>-918.39599999999336</v>
      </c>
      <c r="T1978" s="1" t="s">
        <v>165</v>
      </c>
      <c r="U1978">
        <v>-7.7713333422013003E-3</v>
      </c>
    </row>
    <row r="1979" spans="1:21" x14ac:dyDescent="0.3">
      <c r="A1979" s="1" t="s">
        <v>155</v>
      </c>
      <c r="B1979" s="1" t="s">
        <v>123</v>
      </c>
      <c r="C1979" s="2">
        <v>45140</v>
      </c>
      <c r="D1979" s="1" t="s">
        <v>59</v>
      </c>
      <c r="E1979" s="1" t="s">
        <v>44</v>
      </c>
      <c r="F1979">
        <v>8489.14</v>
      </c>
      <c r="G1979">
        <v>43</v>
      </c>
      <c r="H1979" s="1" t="s">
        <v>31</v>
      </c>
      <c r="I1979">
        <v>3031.17</v>
      </c>
      <c r="J1979">
        <v>3231.32</v>
      </c>
      <c r="K1979" s="1" t="s">
        <v>20</v>
      </c>
      <c r="L1979">
        <v>0.22</v>
      </c>
      <c r="M1979" s="1" t="s">
        <v>21</v>
      </c>
      <c r="N1979" s="1" t="s">
        <v>33</v>
      </c>
      <c r="O1979" s="1" t="s">
        <v>60</v>
      </c>
      <c r="P1979">
        <v>130340.31</v>
      </c>
      <c r="Q1979">
        <v>2023</v>
      </c>
      <c r="R1979">
        <v>108378.47280000002</v>
      </c>
      <c r="S1979">
        <v>-21961.83719999998</v>
      </c>
      <c r="T1979" s="1" t="s">
        <v>165</v>
      </c>
      <c r="U1979">
        <v>-0.202640216572603</v>
      </c>
    </row>
    <row r="1980" spans="1:21" x14ac:dyDescent="0.3">
      <c r="A1980" s="1" t="s">
        <v>155</v>
      </c>
      <c r="B1980" s="1" t="s">
        <v>107</v>
      </c>
      <c r="C1980" s="2">
        <v>45140</v>
      </c>
      <c r="D1980" s="1" t="s">
        <v>17</v>
      </c>
      <c r="E1980" s="1" t="s">
        <v>30</v>
      </c>
      <c r="F1980">
        <v>2855.85</v>
      </c>
      <c r="G1980">
        <v>46</v>
      </c>
      <c r="H1980" s="1" t="s">
        <v>31</v>
      </c>
      <c r="I1980">
        <v>4609.66</v>
      </c>
      <c r="J1980">
        <v>4879.1499999999996</v>
      </c>
      <c r="K1980" s="1" t="s">
        <v>20</v>
      </c>
      <c r="L1980">
        <v>0.3</v>
      </c>
      <c r="M1980" s="1" t="s">
        <v>21</v>
      </c>
      <c r="N1980" s="1" t="s">
        <v>33</v>
      </c>
      <c r="O1980" s="1" t="s">
        <v>34</v>
      </c>
      <c r="P1980">
        <v>212044.36</v>
      </c>
      <c r="Q1980">
        <v>2023</v>
      </c>
      <c r="R1980">
        <v>157108.62999999998</v>
      </c>
      <c r="S1980">
        <v>-54935.73000000001</v>
      </c>
      <c r="T1980" s="1" t="s">
        <v>165</v>
      </c>
      <c r="U1980">
        <v>-0.34966716977927997</v>
      </c>
    </row>
    <row r="1981" spans="1:21" x14ac:dyDescent="0.3">
      <c r="A1981" s="1" t="s">
        <v>155</v>
      </c>
      <c r="B1981" s="1" t="s">
        <v>134</v>
      </c>
      <c r="C1981" s="2">
        <v>45141</v>
      </c>
      <c r="D1981" s="1" t="s">
        <v>43</v>
      </c>
      <c r="E1981" s="1" t="s">
        <v>40</v>
      </c>
      <c r="F1981">
        <v>5879.35</v>
      </c>
      <c r="G1981">
        <v>20</v>
      </c>
      <c r="H1981" s="1" t="s">
        <v>57</v>
      </c>
      <c r="I1981">
        <v>2153.52</v>
      </c>
      <c r="J1981">
        <v>2303.6999999999998</v>
      </c>
      <c r="K1981" s="1" t="s">
        <v>20</v>
      </c>
      <c r="L1981">
        <v>0.01</v>
      </c>
      <c r="M1981" s="1" t="s">
        <v>21</v>
      </c>
      <c r="N1981" s="1" t="s">
        <v>33</v>
      </c>
      <c r="O1981" s="1" t="s">
        <v>99</v>
      </c>
      <c r="P1981">
        <v>43070.400000000001</v>
      </c>
      <c r="Q1981">
        <v>2023</v>
      </c>
      <c r="R1981">
        <v>45613.26</v>
      </c>
      <c r="S1981">
        <v>2542.8600000000006</v>
      </c>
      <c r="T1981" s="1" t="s">
        <v>165</v>
      </c>
      <c r="U1981">
        <v>5.5748262676248099E-2</v>
      </c>
    </row>
    <row r="1982" spans="1:21" x14ac:dyDescent="0.3">
      <c r="A1982" s="1" t="s">
        <v>155</v>
      </c>
      <c r="B1982" s="1" t="s">
        <v>95</v>
      </c>
      <c r="C1982" s="2">
        <v>45141</v>
      </c>
      <c r="D1982" s="1" t="s">
        <v>59</v>
      </c>
      <c r="E1982" s="1" t="s">
        <v>40</v>
      </c>
      <c r="F1982">
        <v>1103.5899999999999</v>
      </c>
      <c r="G1982">
        <v>40</v>
      </c>
      <c r="H1982" s="1" t="s">
        <v>57</v>
      </c>
      <c r="I1982">
        <v>541.19000000000005</v>
      </c>
      <c r="J1982">
        <v>595.20000000000005</v>
      </c>
      <c r="K1982" s="1" t="s">
        <v>20</v>
      </c>
      <c r="L1982">
        <v>0.19</v>
      </c>
      <c r="M1982" s="1" t="s">
        <v>27</v>
      </c>
      <c r="N1982" s="1" t="s">
        <v>22</v>
      </c>
      <c r="O1982" s="1" t="s">
        <v>90</v>
      </c>
      <c r="P1982">
        <v>21647.600000000002</v>
      </c>
      <c r="Q1982">
        <v>2023</v>
      </c>
      <c r="R1982">
        <v>19284.48</v>
      </c>
      <c r="S1982">
        <v>-2363.1200000000026</v>
      </c>
      <c r="T1982" s="1" t="s">
        <v>165</v>
      </c>
      <c r="U1982">
        <v>-0.122539990707554</v>
      </c>
    </row>
    <row r="1983" spans="1:21" x14ac:dyDescent="0.3">
      <c r="A1983" s="1" t="s">
        <v>155</v>
      </c>
      <c r="B1983" s="1" t="s">
        <v>156</v>
      </c>
      <c r="C1983" s="2">
        <v>45141</v>
      </c>
      <c r="D1983" s="1" t="s">
        <v>36</v>
      </c>
      <c r="E1983" s="1" t="s">
        <v>44</v>
      </c>
      <c r="F1983">
        <v>6601.89</v>
      </c>
      <c r="G1983">
        <v>22</v>
      </c>
      <c r="H1983" s="1" t="s">
        <v>37</v>
      </c>
      <c r="I1983">
        <v>4260</v>
      </c>
      <c r="J1983">
        <v>4656.58</v>
      </c>
      <c r="K1983" s="1" t="s">
        <v>26</v>
      </c>
      <c r="L1983">
        <v>0</v>
      </c>
      <c r="M1983" s="1" t="s">
        <v>32</v>
      </c>
      <c r="N1983" s="1" t="s">
        <v>22</v>
      </c>
      <c r="O1983" s="1" t="s">
        <v>71</v>
      </c>
      <c r="P1983">
        <v>93720</v>
      </c>
      <c r="Q1983">
        <v>2023</v>
      </c>
      <c r="R1983">
        <v>102444.76</v>
      </c>
      <c r="S1983">
        <v>8724.7599999999948</v>
      </c>
      <c r="T1983" s="1" t="s">
        <v>165</v>
      </c>
      <c r="U1983">
        <v>8.51655077331432E-2</v>
      </c>
    </row>
    <row r="1984" spans="1:21" x14ac:dyDescent="0.3">
      <c r="A1984" s="1" t="s">
        <v>155</v>
      </c>
      <c r="B1984" s="1" t="s">
        <v>105</v>
      </c>
      <c r="C1984" s="2">
        <v>45141</v>
      </c>
      <c r="D1984" s="1" t="s">
        <v>59</v>
      </c>
      <c r="E1984" s="1" t="s">
        <v>40</v>
      </c>
      <c r="F1984">
        <v>3080.36</v>
      </c>
      <c r="G1984">
        <v>16</v>
      </c>
      <c r="H1984" s="1" t="s">
        <v>31</v>
      </c>
      <c r="I1984">
        <v>4457.68</v>
      </c>
      <c r="J1984">
        <v>4743.03</v>
      </c>
      <c r="K1984" s="1" t="s">
        <v>20</v>
      </c>
      <c r="L1984">
        <v>0.19</v>
      </c>
      <c r="M1984" s="1" t="s">
        <v>21</v>
      </c>
      <c r="N1984" s="1" t="s">
        <v>22</v>
      </c>
      <c r="O1984" s="1" t="s">
        <v>90</v>
      </c>
      <c r="P1984">
        <v>71322.880000000005</v>
      </c>
      <c r="Q1984">
        <v>2023</v>
      </c>
      <c r="R1984">
        <v>61469.668799999999</v>
      </c>
      <c r="S1984">
        <v>-9853.2112000000052</v>
      </c>
      <c r="T1984" s="1" t="s">
        <v>165</v>
      </c>
      <c r="U1984">
        <v>-0.16029387163381001</v>
      </c>
    </row>
    <row r="1985" spans="1:21" x14ac:dyDescent="0.3">
      <c r="A1985" s="1" t="s">
        <v>155</v>
      </c>
      <c r="B1985" s="1" t="s">
        <v>51</v>
      </c>
      <c r="C1985" s="2">
        <v>45141</v>
      </c>
      <c r="D1985" s="1" t="s">
        <v>59</v>
      </c>
      <c r="E1985" s="1" t="s">
        <v>30</v>
      </c>
      <c r="F1985">
        <v>8302.7000000000007</v>
      </c>
      <c r="G1985">
        <v>16</v>
      </c>
      <c r="H1985" s="1" t="s">
        <v>31</v>
      </c>
      <c r="I1985">
        <v>2872.4</v>
      </c>
      <c r="J1985">
        <v>3193.76</v>
      </c>
      <c r="K1985" s="1" t="s">
        <v>20</v>
      </c>
      <c r="L1985">
        <v>0.04</v>
      </c>
      <c r="M1985" s="1" t="s">
        <v>27</v>
      </c>
      <c r="N1985" s="1" t="s">
        <v>22</v>
      </c>
      <c r="O1985" s="1" t="s">
        <v>86</v>
      </c>
      <c r="P1985">
        <v>45958.400000000001</v>
      </c>
      <c r="Q1985">
        <v>2023</v>
      </c>
      <c r="R1985">
        <v>49056.153600000005</v>
      </c>
      <c r="S1985">
        <v>3097.7536000000036</v>
      </c>
      <c r="T1985" s="1" t="s">
        <v>165</v>
      </c>
      <c r="U1985">
        <v>6.3147095168912801E-2</v>
      </c>
    </row>
    <row r="1986" spans="1:21" x14ac:dyDescent="0.3">
      <c r="A1986" s="1" t="s">
        <v>155</v>
      </c>
      <c r="B1986" s="1" t="s">
        <v>58</v>
      </c>
      <c r="C1986" s="2">
        <v>45141</v>
      </c>
      <c r="D1986" s="1" t="s">
        <v>36</v>
      </c>
      <c r="E1986" s="1" t="s">
        <v>40</v>
      </c>
      <c r="F1986">
        <v>8055.02</v>
      </c>
      <c r="G1986">
        <v>45</v>
      </c>
      <c r="H1986" s="1" t="s">
        <v>57</v>
      </c>
      <c r="I1986">
        <v>4692.24</v>
      </c>
      <c r="J1986">
        <v>4825.92</v>
      </c>
      <c r="K1986" s="1" t="s">
        <v>20</v>
      </c>
      <c r="L1986">
        <v>0.19</v>
      </c>
      <c r="M1986" s="1" t="s">
        <v>32</v>
      </c>
      <c r="N1986" s="1" t="s">
        <v>33</v>
      </c>
      <c r="O1986" s="1" t="s">
        <v>41</v>
      </c>
      <c r="P1986">
        <v>211150.8</v>
      </c>
      <c r="Q1986">
        <v>2023</v>
      </c>
      <c r="R1986">
        <v>175904.78400000001</v>
      </c>
      <c r="S1986">
        <v>-35246.015999999974</v>
      </c>
      <c r="T1986" s="1" t="s">
        <v>165</v>
      </c>
      <c r="U1986">
        <v>-0.20036985463681301</v>
      </c>
    </row>
    <row r="1987" spans="1:21" x14ac:dyDescent="0.3">
      <c r="A1987" s="1" t="s">
        <v>155</v>
      </c>
      <c r="B1987" s="1" t="s">
        <v>129</v>
      </c>
      <c r="C1987" s="2">
        <v>45142</v>
      </c>
      <c r="D1987" s="1" t="s">
        <v>59</v>
      </c>
      <c r="E1987" s="1" t="s">
        <v>18</v>
      </c>
      <c r="F1987">
        <v>2363.9</v>
      </c>
      <c r="G1987">
        <v>38</v>
      </c>
      <c r="H1987" s="1" t="s">
        <v>19</v>
      </c>
      <c r="I1987">
        <v>3350.32</v>
      </c>
      <c r="J1987">
        <v>3449.94</v>
      </c>
      <c r="K1987" s="1" t="s">
        <v>26</v>
      </c>
      <c r="L1987">
        <v>0.26</v>
      </c>
      <c r="M1987" s="1" t="s">
        <v>21</v>
      </c>
      <c r="N1987" s="1" t="s">
        <v>22</v>
      </c>
      <c r="O1987" s="1" t="s">
        <v>77</v>
      </c>
      <c r="P1987">
        <v>127312.16</v>
      </c>
      <c r="Q1987">
        <v>2023</v>
      </c>
      <c r="R1987">
        <v>97012.3128</v>
      </c>
      <c r="S1987">
        <v>-30299.847200000004</v>
      </c>
      <c r="T1987" s="1" t="s">
        <v>165</v>
      </c>
      <c r="U1987">
        <v>-0.31232991282731298</v>
      </c>
    </row>
    <row r="1988" spans="1:21" x14ac:dyDescent="0.3">
      <c r="A1988" s="1" t="s">
        <v>155</v>
      </c>
      <c r="B1988" s="1" t="s">
        <v>145</v>
      </c>
      <c r="C1988" s="2">
        <v>45142</v>
      </c>
      <c r="D1988" s="1" t="s">
        <v>17</v>
      </c>
      <c r="E1988" s="1" t="s">
        <v>30</v>
      </c>
      <c r="F1988">
        <v>733.66</v>
      </c>
      <c r="G1988">
        <v>47</v>
      </c>
      <c r="H1988" s="1" t="s">
        <v>19</v>
      </c>
      <c r="I1988">
        <v>4729.59</v>
      </c>
      <c r="J1988">
        <v>4976.68</v>
      </c>
      <c r="K1988" s="1" t="s">
        <v>20</v>
      </c>
      <c r="L1988">
        <v>0.18</v>
      </c>
      <c r="M1988" s="1" t="s">
        <v>27</v>
      </c>
      <c r="N1988" s="1" t="s">
        <v>33</v>
      </c>
      <c r="O1988" s="1" t="s">
        <v>34</v>
      </c>
      <c r="P1988">
        <v>222290.73</v>
      </c>
      <c r="Q1988">
        <v>2023</v>
      </c>
      <c r="R1988">
        <v>191801.24720000004</v>
      </c>
      <c r="S1988">
        <v>-30489.482799999969</v>
      </c>
      <c r="T1988" s="1" t="s">
        <v>165</v>
      </c>
      <c r="U1988">
        <v>-0.158963944422151</v>
      </c>
    </row>
    <row r="1989" spans="1:21" x14ac:dyDescent="0.3">
      <c r="A1989" s="1" t="s">
        <v>155</v>
      </c>
      <c r="B1989" s="1" t="s">
        <v>112</v>
      </c>
      <c r="C1989" s="2">
        <v>45142</v>
      </c>
      <c r="D1989" s="1" t="s">
        <v>36</v>
      </c>
      <c r="E1989" s="1" t="s">
        <v>30</v>
      </c>
      <c r="F1989">
        <v>3817.14</v>
      </c>
      <c r="G1989">
        <v>30</v>
      </c>
      <c r="H1989" s="1" t="s">
        <v>37</v>
      </c>
      <c r="I1989">
        <v>3813.62</v>
      </c>
      <c r="J1989">
        <v>3839.72</v>
      </c>
      <c r="K1989" s="1" t="s">
        <v>26</v>
      </c>
      <c r="L1989">
        <v>0.21</v>
      </c>
      <c r="M1989" s="1" t="s">
        <v>27</v>
      </c>
      <c r="N1989" s="1" t="s">
        <v>22</v>
      </c>
      <c r="O1989" s="1" t="s">
        <v>38</v>
      </c>
      <c r="P1989">
        <v>114408.59999999999</v>
      </c>
      <c r="Q1989">
        <v>2023</v>
      </c>
      <c r="R1989">
        <v>91001.364000000001</v>
      </c>
      <c r="S1989">
        <v>-23407.23599999999</v>
      </c>
      <c r="T1989" s="1" t="s">
        <v>165</v>
      </c>
      <c r="U1989">
        <v>-0.25721851817517799</v>
      </c>
    </row>
    <row r="1990" spans="1:21" x14ac:dyDescent="0.3">
      <c r="A1990" s="1" t="s">
        <v>155</v>
      </c>
      <c r="B1990" s="1" t="s">
        <v>134</v>
      </c>
      <c r="C1990" s="2">
        <v>45142</v>
      </c>
      <c r="D1990" s="1" t="s">
        <v>36</v>
      </c>
      <c r="E1990" s="1" t="s">
        <v>40</v>
      </c>
      <c r="F1990">
        <v>9087.6</v>
      </c>
      <c r="G1990">
        <v>20</v>
      </c>
      <c r="H1990" s="1" t="s">
        <v>57</v>
      </c>
      <c r="I1990">
        <v>3279.76</v>
      </c>
      <c r="J1990">
        <v>3563.97</v>
      </c>
      <c r="K1990" s="1" t="s">
        <v>20</v>
      </c>
      <c r="L1990">
        <v>0.25</v>
      </c>
      <c r="M1990" s="1" t="s">
        <v>21</v>
      </c>
      <c r="N1990" s="1" t="s">
        <v>33</v>
      </c>
      <c r="O1990" s="1" t="s">
        <v>41</v>
      </c>
      <c r="P1990">
        <v>65595.200000000012</v>
      </c>
      <c r="Q1990">
        <v>2023</v>
      </c>
      <c r="R1990">
        <v>53459.549999999996</v>
      </c>
      <c r="S1990">
        <v>-12135.650000000016</v>
      </c>
      <c r="T1990" s="1" t="s">
        <v>165</v>
      </c>
      <c r="U1990">
        <v>-0.22700621310878999</v>
      </c>
    </row>
    <row r="1991" spans="1:21" x14ac:dyDescent="0.3">
      <c r="A1991" s="1" t="s">
        <v>155</v>
      </c>
      <c r="B1991" s="1" t="s">
        <v>134</v>
      </c>
      <c r="C1991" s="2">
        <v>45143</v>
      </c>
      <c r="D1991" s="1" t="s">
        <v>43</v>
      </c>
      <c r="E1991" s="1" t="s">
        <v>18</v>
      </c>
      <c r="F1991">
        <v>8247.5400000000009</v>
      </c>
      <c r="G1991">
        <v>4</v>
      </c>
      <c r="H1991" s="1" t="s">
        <v>57</v>
      </c>
      <c r="I1991">
        <v>1791.83</v>
      </c>
      <c r="J1991">
        <v>1871.22</v>
      </c>
      <c r="K1991" s="1" t="s">
        <v>20</v>
      </c>
      <c r="L1991">
        <v>0.12</v>
      </c>
      <c r="M1991" s="1" t="s">
        <v>32</v>
      </c>
      <c r="N1991" s="1" t="s">
        <v>22</v>
      </c>
      <c r="O1991" s="1" t="s">
        <v>62</v>
      </c>
      <c r="P1991">
        <v>7167.32</v>
      </c>
      <c r="Q1991">
        <v>2023</v>
      </c>
      <c r="R1991">
        <v>6586.6944000000003</v>
      </c>
      <c r="S1991">
        <v>-580.62559999999939</v>
      </c>
      <c r="T1991" s="1" t="s">
        <v>165</v>
      </c>
      <c r="U1991">
        <v>-8.8151288755707199E-2</v>
      </c>
    </row>
    <row r="1992" spans="1:21" x14ac:dyDescent="0.3">
      <c r="A1992" s="1" t="s">
        <v>155</v>
      </c>
      <c r="B1992" s="1" t="s">
        <v>124</v>
      </c>
      <c r="C1992" s="2">
        <v>45143</v>
      </c>
      <c r="D1992" s="1" t="s">
        <v>43</v>
      </c>
      <c r="E1992" s="1" t="s">
        <v>40</v>
      </c>
      <c r="F1992">
        <v>9733.4599999999991</v>
      </c>
      <c r="G1992">
        <v>34</v>
      </c>
      <c r="H1992" s="1" t="s">
        <v>37</v>
      </c>
      <c r="I1992">
        <v>3125.07</v>
      </c>
      <c r="J1992">
        <v>3564.19</v>
      </c>
      <c r="K1992" s="1" t="s">
        <v>20</v>
      </c>
      <c r="L1992">
        <v>0.09</v>
      </c>
      <c r="M1992" s="1" t="s">
        <v>21</v>
      </c>
      <c r="N1992" s="1" t="s">
        <v>22</v>
      </c>
      <c r="O1992" s="1" t="s">
        <v>99</v>
      </c>
      <c r="P1992">
        <v>106252.38</v>
      </c>
      <c r="Q1992">
        <v>2023</v>
      </c>
      <c r="R1992">
        <v>110276.03860000001</v>
      </c>
      <c r="S1992">
        <v>4023.6586000000098</v>
      </c>
      <c r="T1992" s="1" t="s">
        <v>165</v>
      </c>
      <c r="U1992">
        <v>3.6487152159998003E-2</v>
      </c>
    </row>
    <row r="1993" spans="1:21" x14ac:dyDescent="0.3">
      <c r="A1993" s="1" t="s">
        <v>155</v>
      </c>
      <c r="B1993" s="1" t="s">
        <v>154</v>
      </c>
      <c r="C1993" s="2">
        <v>45144</v>
      </c>
      <c r="D1993" s="1" t="s">
        <v>36</v>
      </c>
      <c r="E1993" s="1" t="s">
        <v>18</v>
      </c>
      <c r="F1993">
        <v>1107.8599999999999</v>
      </c>
      <c r="G1993">
        <v>45</v>
      </c>
      <c r="H1993" s="1" t="s">
        <v>19</v>
      </c>
      <c r="I1993">
        <v>1406.9</v>
      </c>
      <c r="J1993">
        <v>1547.35</v>
      </c>
      <c r="K1993" s="1" t="s">
        <v>26</v>
      </c>
      <c r="L1993">
        <v>0.17</v>
      </c>
      <c r="M1993" s="1" t="s">
        <v>21</v>
      </c>
      <c r="N1993" s="1" t="s">
        <v>33</v>
      </c>
      <c r="O1993" s="1" t="s">
        <v>115</v>
      </c>
      <c r="P1993">
        <v>63310.500000000007</v>
      </c>
      <c r="Q1993">
        <v>2023</v>
      </c>
      <c r="R1993">
        <v>57793.522499999999</v>
      </c>
      <c r="S1993">
        <v>-5516.9775000000081</v>
      </c>
      <c r="T1993" s="1" t="s">
        <v>165</v>
      </c>
      <c r="U1993">
        <v>-9.5460135692542497E-2</v>
      </c>
    </row>
    <row r="1994" spans="1:21" x14ac:dyDescent="0.3">
      <c r="A1994" s="1" t="s">
        <v>155</v>
      </c>
      <c r="B1994" s="1" t="s">
        <v>65</v>
      </c>
      <c r="C1994" s="2">
        <v>45144</v>
      </c>
      <c r="D1994" s="1" t="s">
        <v>43</v>
      </c>
      <c r="E1994" s="1" t="s">
        <v>18</v>
      </c>
      <c r="F1994">
        <v>7936.43</v>
      </c>
      <c r="G1994">
        <v>4</v>
      </c>
      <c r="H1994" s="1" t="s">
        <v>37</v>
      </c>
      <c r="I1994">
        <v>2485.86</v>
      </c>
      <c r="J1994">
        <v>2532.87</v>
      </c>
      <c r="K1994" s="1" t="s">
        <v>26</v>
      </c>
      <c r="L1994">
        <v>0.01</v>
      </c>
      <c r="M1994" s="1" t="s">
        <v>27</v>
      </c>
      <c r="N1994" s="1" t="s">
        <v>22</v>
      </c>
      <c r="O1994" s="1" t="s">
        <v>62</v>
      </c>
      <c r="P1994">
        <v>9943.44</v>
      </c>
      <c r="Q1994">
        <v>2023</v>
      </c>
      <c r="R1994">
        <v>10030.165199999999</v>
      </c>
      <c r="S1994">
        <v>86.725199999998949</v>
      </c>
      <c r="T1994" s="1" t="s">
        <v>165</v>
      </c>
      <c r="U1994">
        <v>8.6464378473047401E-3</v>
      </c>
    </row>
    <row r="1995" spans="1:21" x14ac:dyDescent="0.3">
      <c r="A1995" s="1" t="s">
        <v>155</v>
      </c>
      <c r="B1995" s="1" t="s">
        <v>127</v>
      </c>
      <c r="C1995" s="2">
        <v>45145</v>
      </c>
      <c r="D1995" s="1" t="s">
        <v>59</v>
      </c>
      <c r="E1995" s="1" t="s">
        <v>44</v>
      </c>
      <c r="F1995">
        <v>1148.47</v>
      </c>
      <c r="G1995">
        <v>19</v>
      </c>
      <c r="H1995" s="1" t="s">
        <v>19</v>
      </c>
      <c r="I1995">
        <v>433.54</v>
      </c>
      <c r="J1995">
        <v>445.48</v>
      </c>
      <c r="K1995" s="1" t="s">
        <v>26</v>
      </c>
      <c r="L1995">
        <v>0.28999999999999998</v>
      </c>
      <c r="M1995" s="1" t="s">
        <v>32</v>
      </c>
      <c r="N1995" s="1" t="s">
        <v>33</v>
      </c>
      <c r="O1995" s="1" t="s">
        <v>60</v>
      </c>
      <c r="P1995">
        <v>8237.26</v>
      </c>
      <c r="Q1995">
        <v>2023</v>
      </c>
      <c r="R1995">
        <v>6009.5252</v>
      </c>
      <c r="S1995">
        <v>-2227.7348000000002</v>
      </c>
      <c r="T1995" s="1" t="s">
        <v>165</v>
      </c>
      <c r="U1995">
        <v>-0.37070063372061401</v>
      </c>
    </row>
    <row r="1996" spans="1:21" x14ac:dyDescent="0.3">
      <c r="A1996" s="1" t="s">
        <v>155</v>
      </c>
      <c r="B1996" s="1" t="s">
        <v>80</v>
      </c>
      <c r="C1996" s="2">
        <v>45145</v>
      </c>
      <c r="D1996" s="1" t="s">
        <v>25</v>
      </c>
      <c r="E1996" s="1" t="s">
        <v>44</v>
      </c>
      <c r="F1996">
        <v>242.38</v>
      </c>
      <c r="G1996">
        <v>43</v>
      </c>
      <c r="H1996" s="1" t="s">
        <v>57</v>
      </c>
      <c r="I1996">
        <v>4402.66</v>
      </c>
      <c r="J1996">
        <v>4724.7</v>
      </c>
      <c r="K1996" s="1" t="s">
        <v>26</v>
      </c>
      <c r="L1996">
        <v>0.1</v>
      </c>
      <c r="M1996" s="1" t="s">
        <v>32</v>
      </c>
      <c r="N1996" s="1" t="s">
        <v>33</v>
      </c>
      <c r="O1996" s="1" t="s">
        <v>47</v>
      </c>
      <c r="P1996">
        <v>189314.38</v>
      </c>
      <c r="Q1996">
        <v>2023</v>
      </c>
      <c r="R1996">
        <v>182845.89</v>
      </c>
      <c r="S1996">
        <v>-6468.4899999999907</v>
      </c>
      <c r="T1996" s="1" t="s">
        <v>165</v>
      </c>
      <c r="U1996">
        <v>-3.5376731738405401E-2</v>
      </c>
    </row>
    <row r="1997" spans="1:21" x14ac:dyDescent="0.3">
      <c r="A1997" s="1" t="s">
        <v>155</v>
      </c>
      <c r="B1997" s="1" t="s">
        <v>145</v>
      </c>
      <c r="C1997" s="2">
        <v>45146</v>
      </c>
      <c r="D1997" s="1" t="s">
        <v>36</v>
      </c>
      <c r="E1997" s="1" t="s">
        <v>18</v>
      </c>
      <c r="F1997">
        <v>1331.25</v>
      </c>
      <c r="G1997">
        <v>33</v>
      </c>
      <c r="H1997" s="1" t="s">
        <v>37</v>
      </c>
      <c r="I1997">
        <v>1341.55</v>
      </c>
      <c r="J1997">
        <v>1427.21</v>
      </c>
      <c r="K1997" s="1" t="s">
        <v>20</v>
      </c>
      <c r="L1997">
        <v>0.15</v>
      </c>
      <c r="M1997" s="1" t="s">
        <v>27</v>
      </c>
      <c r="N1997" s="1" t="s">
        <v>22</v>
      </c>
      <c r="O1997" s="1" t="s">
        <v>115</v>
      </c>
      <c r="P1997">
        <v>44271.15</v>
      </c>
      <c r="Q1997">
        <v>2023</v>
      </c>
      <c r="R1997">
        <v>40033.2405</v>
      </c>
      <c r="S1997">
        <v>-4237.9095000000016</v>
      </c>
      <c r="T1997" s="1" t="s">
        <v>165</v>
      </c>
      <c r="U1997">
        <v>-0.105859766710616</v>
      </c>
    </row>
    <row r="1998" spans="1:21" x14ac:dyDescent="0.3">
      <c r="A1998" s="1" t="s">
        <v>155</v>
      </c>
      <c r="B1998" s="1" t="s">
        <v>81</v>
      </c>
      <c r="C1998" s="2">
        <v>45146</v>
      </c>
      <c r="D1998" s="1" t="s">
        <v>59</v>
      </c>
      <c r="E1998" s="1" t="s">
        <v>18</v>
      </c>
      <c r="F1998">
        <v>4912.6899999999996</v>
      </c>
      <c r="G1998">
        <v>18</v>
      </c>
      <c r="H1998" s="1" t="s">
        <v>19</v>
      </c>
      <c r="I1998">
        <v>430.14</v>
      </c>
      <c r="J1998">
        <v>641.17999999999995</v>
      </c>
      <c r="K1998" s="1" t="s">
        <v>26</v>
      </c>
      <c r="L1998">
        <v>0.13</v>
      </c>
      <c r="M1998" s="1" t="s">
        <v>21</v>
      </c>
      <c r="N1998" s="1" t="s">
        <v>22</v>
      </c>
      <c r="O1998" s="1" t="s">
        <v>77</v>
      </c>
      <c r="P1998">
        <v>7742.5199999999995</v>
      </c>
      <c r="Q1998">
        <v>2023</v>
      </c>
      <c r="R1998">
        <v>10040.8788</v>
      </c>
      <c r="S1998">
        <v>2298.3588000000009</v>
      </c>
      <c r="T1998" s="1" t="s">
        <v>165</v>
      </c>
      <c r="U1998">
        <v>0.22890016359922599</v>
      </c>
    </row>
    <row r="1999" spans="1:21" x14ac:dyDescent="0.3">
      <c r="A1999" s="1" t="s">
        <v>155</v>
      </c>
      <c r="B1999" s="1" t="s">
        <v>145</v>
      </c>
      <c r="C1999" s="2">
        <v>45147</v>
      </c>
      <c r="D1999" s="1" t="s">
        <v>36</v>
      </c>
      <c r="E1999" s="1" t="s">
        <v>18</v>
      </c>
      <c r="F1999">
        <v>1910.09</v>
      </c>
      <c r="G1999">
        <v>41</v>
      </c>
      <c r="H1999" s="1" t="s">
        <v>19</v>
      </c>
      <c r="I1999">
        <v>2888.49</v>
      </c>
      <c r="J1999">
        <v>2929.45</v>
      </c>
      <c r="K1999" s="1" t="s">
        <v>26</v>
      </c>
      <c r="L1999">
        <v>0.06</v>
      </c>
      <c r="M1999" s="1" t="s">
        <v>21</v>
      </c>
      <c r="N1999" s="1" t="s">
        <v>33</v>
      </c>
      <c r="O1999" s="1" t="s">
        <v>115</v>
      </c>
      <c r="P1999">
        <v>118428.09</v>
      </c>
      <c r="Q1999">
        <v>2023</v>
      </c>
      <c r="R1999">
        <v>112901.003</v>
      </c>
      <c r="S1999">
        <v>-5527.0869999999995</v>
      </c>
      <c r="T1999" s="1" t="s">
        <v>165</v>
      </c>
      <c r="U1999">
        <v>-4.8955162958118303E-2</v>
      </c>
    </row>
    <row r="2000" spans="1:21" x14ac:dyDescent="0.3">
      <c r="A2000" s="1" t="s">
        <v>155</v>
      </c>
      <c r="B2000" s="1" t="s">
        <v>39</v>
      </c>
      <c r="C2000" s="2">
        <v>45148</v>
      </c>
      <c r="D2000" s="1" t="s">
        <v>25</v>
      </c>
      <c r="E2000" s="1" t="s">
        <v>18</v>
      </c>
      <c r="F2000">
        <v>9217.85</v>
      </c>
      <c r="G2000">
        <v>17</v>
      </c>
      <c r="H2000" s="1" t="s">
        <v>37</v>
      </c>
      <c r="I2000">
        <v>4966.66</v>
      </c>
      <c r="J2000">
        <v>5037.2700000000004</v>
      </c>
      <c r="K2000" s="1" t="s">
        <v>20</v>
      </c>
      <c r="L2000">
        <v>0.24</v>
      </c>
      <c r="M2000" s="1" t="s">
        <v>32</v>
      </c>
      <c r="N2000" s="1" t="s">
        <v>33</v>
      </c>
      <c r="O2000" s="1" t="s">
        <v>28</v>
      </c>
      <c r="P2000">
        <v>84433.22</v>
      </c>
      <c r="Q2000">
        <v>2023</v>
      </c>
      <c r="R2000">
        <v>65081.52840000001</v>
      </c>
      <c r="S2000">
        <v>-19351.691599999991</v>
      </c>
      <c r="T2000" s="1" t="s">
        <v>165</v>
      </c>
      <c r="U2000">
        <v>-0.29734537703327801</v>
      </c>
    </row>
    <row r="2001" spans="1:21" x14ac:dyDescent="0.3">
      <c r="A2001" s="1" t="s">
        <v>155</v>
      </c>
      <c r="B2001" s="1" t="s">
        <v>97</v>
      </c>
      <c r="C2001" s="2">
        <v>45148</v>
      </c>
      <c r="D2001" s="1" t="s">
        <v>17</v>
      </c>
      <c r="E2001" s="1" t="s">
        <v>30</v>
      </c>
      <c r="F2001">
        <v>4384.3900000000003</v>
      </c>
      <c r="G2001">
        <v>30</v>
      </c>
      <c r="H2001" s="1" t="s">
        <v>57</v>
      </c>
      <c r="I2001">
        <v>1543.96</v>
      </c>
      <c r="J2001">
        <v>1558.87</v>
      </c>
      <c r="K2001" s="1" t="s">
        <v>20</v>
      </c>
      <c r="L2001">
        <v>0.28000000000000003</v>
      </c>
      <c r="M2001" s="1" t="s">
        <v>27</v>
      </c>
      <c r="N2001" s="1" t="s">
        <v>22</v>
      </c>
      <c r="O2001" s="1" t="s">
        <v>34</v>
      </c>
      <c r="P2001">
        <v>46318.8</v>
      </c>
      <c r="Q2001">
        <v>2023</v>
      </c>
      <c r="R2001">
        <v>33671.591999999997</v>
      </c>
      <c r="S2001">
        <v>-12647.208000000006</v>
      </c>
      <c r="T2001" s="1" t="s">
        <v>165</v>
      </c>
      <c r="U2001">
        <v>-0.375604693713324</v>
      </c>
    </row>
    <row r="2002" spans="1:21" x14ac:dyDescent="0.3">
      <c r="A2002" s="1" t="s">
        <v>155</v>
      </c>
      <c r="B2002" s="1" t="s">
        <v>35</v>
      </c>
      <c r="C2002" s="2">
        <v>45148</v>
      </c>
      <c r="D2002" s="1" t="s">
        <v>43</v>
      </c>
      <c r="E2002" s="1" t="s">
        <v>30</v>
      </c>
      <c r="F2002">
        <v>322.02</v>
      </c>
      <c r="G2002">
        <v>5</v>
      </c>
      <c r="H2002" s="1" t="s">
        <v>57</v>
      </c>
      <c r="I2002">
        <v>421.05</v>
      </c>
      <c r="J2002">
        <v>488.23</v>
      </c>
      <c r="K2002" s="1" t="s">
        <v>20</v>
      </c>
      <c r="L2002">
        <v>7.0000000000000007E-2</v>
      </c>
      <c r="M2002" s="1" t="s">
        <v>27</v>
      </c>
      <c r="N2002" s="1" t="s">
        <v>33</v>
      </c>
      <c r="O2002" s="1" t="s">
        <v>54</v>
      </c>
      <c r="P2002">
        <v>2105.25</v>
      </c>
      <c r="Q2002">
        <v>2023</v>
      </c>
      <c r="R2002">
        <v>2270.2694999999999</v>
      </c>
      <c r="S2002">
        <v>165.01949999999988</v>
      </c>
      <c r="T2002" s="1" t="s">
        <v>165</v>
      </c>
      <c r="U2002">
        <v>7.2687185376009295E-2</v>
      </c>
    </row>
    <row r="2003" spans="1:21" x14ac:dyDescent="0.3">
      <c r="A2003" s="1" t="s">
        <v>155</v>
      </c>
      <c r="B2003" s="1" t="s">
        <v>102</v>
      </c>
      <c r="C2003" s="2">
        <v>45148</v>
      </c>
      <c r="D2003" s="1" t="s">
        <v>59</v>
      </c>
      <c r="E2003" s="1" t="s">
        <v>18</v>
      </c>
      <c r="F2003">
        <v>7400.52</v>
      </c>
      <c r="G2003">
        <v>43</v>
      </c>
      <c r="H2003" s="1" t="s">
        <v>31</v>
      </c>
      <c r="I2003">
        <v>1454.8</v>
      </c>
      <c r="J2003">
        <v>1674.97</v>
      </c>
      <c r="K2003" s="1" t="s">
        <v>26</v>
      </c>
      <c r="L2003">
        <v>0.03</v>
      </c>
      <c r="M2003" s="1" t="s">
        <v>27</v>
      </c>
      <c r="N2003" s="1" t="s">
        <v>22</v>
      </c>
      <c r="O2003" s="1" t="s">
        <v>77</v>
      </c>
      <c r="P2003">
        <v>62556.4</v>
      </c>
      <c r="Q2003">
        <v>2023</v>
      </c>
      <c r="R2003">
        <v>69862.998700000011</v>
      </c>
      <c r="S2003">
        <v>7306.5987000000096</v>
      </c>
      <c r="T2003" s="1" t="s">
        <v>165</v>
      </c>
      <c r="U2003">
        <v>0.10458467051171701</v>
      </c>
    </row>
    <row r="2004" spans="1:21" x14ac:dyDescent="0.3">
      <c r="A2004" s="1" t="s">
        <v>155</v>
      </c>
      <c r="B2004" s="1" t="s">
        <v>127</v>
      </c>
      <c r="C2004" s="2">
        <v>45149</v>
      </c>
      <c r="D2004" s="1" t="s">
        <v>17</v>
      </c>
      <c r="E2004" s="1" t="s">
        <v>44</v>
      </c>
      <c r="F2004">
        <v>3853.03</v>
      </c>
      <c r="G2004">
        <v>32</v>
      </c>
      <c r="H2004" s="1" t="s">
        <v>31</v>
      </c>
      <c r="I2004">
        <v>970.51</v>
      </c>
      <c r="J2004">
        <v>1330.84</v>
      </c>
      <c r="K2004" s="1" t="s">
        <v>20</v>
      </c>
      <c r="L2004">
        <v>0.06</v>
      </c>
      <c r="M2004" s="1" t="s">
        <v>21</v>
      </c>
      <c r="N2004" s="1" t="s">
        <v>33</v>
      </c>
      <c r="O2004" s="1" t="s">
        <v>49</v>
      </c>
      <c r="P2004">
        <v>31056.32</v>
      </c>
      <c r="Q2004">
        <v>2023</v>
      </c>
      <c r="R2004">
        <v>40031.667199999996</v>
      </c>
      <c r="S2004">
        <v>8975.3471999999965</v>
      </c>
      <c r="T2004" s="1" t="s">
        <v>165</v>
      </c>
      <c r="U2004">
        <v>0.22420618045106</v>
      </c>
    </row>
    <row r="2005" spans="1:21" x14ac:dyDescent="0.3">
      <c r="A2005" s="1" t="s">
        <v>155</v>
      </c>
      <c r="B2005" s="1" t="s">
        <v>48</v>
      </c>
      <c r="C2005" s="2">
        <v>45149</v>
      </c>
      <c r="D2005" s="1" t="s">
        <v>17</v>
      </c>
      <c r="E2005" s="1" t="s">
        <v>18</v>
      </c>
      <c r="F2005">
        <v>1657</v>
      </c>
      <c r="G2005">
        <v>43</v>
      </c>
      <c r="H2005" s="1" t="s">
        <v>19</v>
      </c>
      <c r="I2005">
        <v>4232.6099999999997</v>
      </c>
      <c r="J2005">
        <v>4572.21</v>
      </c>
      <c r="K2005" s="1" t="s">
        <v>26</v>
      </c>
      <c r="L2005">
        <v>0.01</v>
      </c>
      <c r="M2005" s="1" t="s">
        <v>21</v>
      </c>
      <c r="N2005" s="1" t="s">
        <v>33</v>
      </c>
      <c r="O2005" s="1" t="s">
        <v>23</v>
      </c>
      <c r="P2005">
        <v>182002.22999999998</v>
      </c>
      <c r="Q2005">
        <v>2023</v>
      </c>
      <c r="R2005">
        <v>194638.9797</v>
      </c>
      <c r="S2005">
        <v>12636.749700000015</v>
      </c>
      <c r="T2005" s="1" t="s">
        <v>165</v>
      </c>
      <c r="U2005">
        <v>6.4924044091667701E-2</v>
      </c>
    </row>
    <row r="2006" spans="1:21" x14ac:dyDescent="0.3">
      <c r="A2006" s="1" t="s">
        <v>155</v>
      </c>
      <c r="B2006" s="1" t="s">
        <v>140</v>
      </c>
      <c r="C2006" s="2">
        <v>45149</v>
      </c>
      <c r="D2006" s="1" t="s">
        <v>36</v>
      </c>
      <c r="E2006" s="1" t="s">
        <v>44</v>
      </c>
      <c r="F2006">
        <v>3147.18</v>
      </c>
      <c r="G2006">
        <v>5</v>
      </c>
      <c r="H2006" s="1" t="s">
        <v>57</v>
      </c>
      <c r="I2006">
        <v>4714.74</v>
      </c>
      <c r="J2006">
        <v>5129.1099999999997</v>
      </c>
      <c r="K2006" s="1" t="s">
        <v>26</v>
      </c>
      <c r="L2006">
        <v>0.25</v>
      </c>
      <c r="M2006" s="1" t="s">
        <v>32</v>
      </c>
      <c r="N2006" s="1" t="s">
        <v>22</v>
      </c>
      <c r="O2006" s="1" t="s">
        <v>71</v>
      </c>
      <c r="P2006">
        <v>23573.699999999997</v>
      </c>
      <c r="Q2006">
        <v>2023</v>
      </c>
      <c r="R2006">
        <v>19234.162499999999</v>
      </c>
      <c r="S2006">
        <v>-4339.5374999999985</v>
      </c>
      <c r="T2006" s="1" t="s">
        <v>165</v>
      </c>
      <c r="U2006">
        <v>-0.22561614003209099</v>
      </c>
    </row>
    <row r="2007" spans="1:21" x14ac:dyDescent="0.3">
      <c r="A2007" s="1" t="s">
        <v>155</v>
      </c>
      <c r="B2007" s="1" t="s">
        <v>129</v>
      </c>
      <c r="C2007" s="2">
        <v>45149</v>
      </c>
      <c r="D2007" s="1" t="s">
        <v>25</v>
      </c>
      <c r="E2007" s="1" t="s">
        <v>40</v>
      </c>
      <c r="F2007">
        <v>5809.35</v>
      </c>
      <c r="G2007">
        <v>45</v>
      </c>
      <c r="H2007" s="1" t="s">
        <v>19</v>
      </c>
      <c r="I2007">
        <v>4848.9799999999996</v>
      </c>
      <c r="J2007">
        <v>4985.75</v>
      </c>
      <c r="K2007" s="1" t="s">
        <v>20</v>
      </c>
      <c r="L2007">
        <v>0.2</v>
      </c>
      <c r="M2007" s="1" t="s">
        <v>32</v>
      </c>
      <c r="N2007" s="1" t="s">
        <v>22</v>
      </c>
      <c r="O2007" s="1" t="s">
        <v>83</v>
      </c>
      <c r="P2007">
        <v>218204.09999999998</v>
      </c>
      <c r="Q2007">
        <v>2023</v>
      </c>
      <c r="R2007">
        <v>179487</v>
      </c>
      <c r="S2007">
        <v>-38717.099999999977</v>
      </c>
      <c r="T2007" s="1" t="s">
        <v>165</v>
      </c>
      <c r="U2007">
        <v>-0.21570977285262999</v>
      </c>
    </row>
    <row r="2008" spans="1:21" x14ac:dyDescent="0.3">
      <c r="A2008" s="1" t="s">
        <v>155</v>
      </c>
      <c r="B2008" s="1" t="s">
        <v>153</v>
      </c>
      <c r="C2008" s="2">
        <v>45149</v>
      </c>
      <c r="D2008" s="1" t="s">
        <v>25</v>
      </c>
      <c r="E2008" s="1" t="s">
        <v>18</v>
      </c>
      <c r="F2008">
        <v>3207.37</v>
      </c>
      <c r="G2008">
        <v>43</v>
      </c>
      <c r="H2008" s="1" t="s">
        <v>31</v>
      </c>
      <c r="I2008">
        <v>2289.2199999999998</v>
      </c>
      <c r="J2008">
        <v>2581</v>
      </c>
      <c r="K2008" s="1" t="s">
        <v>26</v>
      </c>
      <c r="L2008">
        <v>0.05</v>
      </c>
      <c r="M2008" s="1" t="s">
        <v>32</v>
      </c>
      <c r="N2008" s="1" t="s">
        <v>22</v>
      </c>
      <c r="O2008" s="1" t="s">
        <v>28</v>
      </c>
      <c r="P2008">
        <v>98436.459999999992</v>
      </c>
      <c r="Q2008">
        <v>2023</v>
      </c>
      <c r="R2008">
        <v>105433.84999999999</v>
      </c>
      <c r="S2008">
        <v>6997.3899999999994</v>
      </c>
      <c r="T2008" s="1" t="s">
        <v>165</v>
      </c>
      <c r="U2008">
        <v>6.6367584983380606E-2</v>
      </c>
    </row>
    <row r="2009" spans="1:21" x14ac:dyDescent="0.3">
      <c r="A2009" s="1" t="s">
        <v>155</v>
      </c>
      <c r="B2009" s="1" t="s">
        <v>82</v>
      </c>
      <c r="C2009" s="2">
        <v>45150</v>
      </c>
      <c r="D2009" s="1" t="s">
        <v>36</v>
      </c>
      <c r="E2009" s="1" t="s">
        <v>18</v>
      </c>
      <c r="F2009">
        <v>1756.48</v>
      </c>
      <c r="G2009">
        <v>5</v>
      </c>
      <c r="H2009" s="1" t="s">
        <v>31</v>
      </c>
      <c r="I2009">
        <v>3970.08</v>
      </c>
      <c r="J2009">
        <v>4096.4799999999996</v>
      </c>
      <c r="K2009" s="1" t="s">
        <v>20</v>
      </c>
      <c r="L2009">
        <v>0.13</v>
      </c>
      <c r="M2009" s="1" t="s">
        <v>21</v>
      </c>
      <c r="N2009" s="1" t="s">
        <v>33</v>
      </c>
      <c r="O2009" s="1" t="s">
        <v>115</v>
      </c>
      <c r="P2009">
        <v>19850.400000000001</v>
      </c>
      <c r="Q2009">
        <v>2023</v>
      </c>
      <c r="R2009">
        <v>17819.687999999998</v>
      </c>
      <c r="S2009">
        <v>-2030.7120000000032</v>
      </c>
      <c r="T2009" s="1" t="s">
        <v>165</v>
      </c>
      <c r="U2009">
        <v>-0.11395889759686</v>
      </c>
    </row>
    <row r="2010" spans="1:21" x14ac:dyDescent="0.3">
      <c r="A2010" s="1" t="s">
        <v>155</v>
      </c>
      <c r="B2010" s="1" t="s">
        <v>114</v>
      </c>
      <c r="C2010" s="2">
        <v>45150</v>
      </c>
      <c r="D2010" s="1" t="s">
        <v>25</v>
      </c>
      <c r="E2010" s="1" t="s">
        <v>18</v>
      </c>
      <c r="F2010">
        <v>2835.56</v>
      </c>
      <c r="G2010">
        <v>9</v>
      </c>
      <c r="H2010" s="1" t="s">
        <v>37</v>
      </c>
      <c r="I2010">
        <v>3161.09</v>
      </c>
      <c r="J2010">
        <v>3216.42</v>
      </c>
      <c r="K2010" s="1" t="s">
        <v>26</v>
      </c>
      <c r="L2010">
        <v>0.17</v>
      </c>
      <c r="M2010" s="1" t="s">
        <v>32</v>
      </c>
      <c r="N2010" s="1" t="s">
        <v>22</v>
      </c>
      <c r="O2010" s="1" t="s">
        <v>28</v>
      </c>
      <c r="P2010">
        <v>28449.81</v>
      </c>
      <c r="Q2010">
        <v>2023</v>
      </c>
      <c r="R2010">
        <v>24026.657399999996</v>
      </c>
      <c r="S2010">
        <v>-4423.1526000000049</v>
      </c>
      <c r="T2010" s="1" t="s">
        <v>165</v>
      </c>
      <c r="U2010">
        <v>-0.184093547694238</v>
      </c>
    </row>
    <row r="2011" spans="1:21" x14ac:dyDescent="0.3">
      <c r="A2011" s="1" t="s">
        <v>155</v>
      </c>
      <c r="B2011" s="1" t="s">
        <v>52</v>
      </c>
      <c r="C2011" s="2">
        <v>45150</v>
      </c>
      <c r="D2011" s="1" t="s">
        <v>43</v>
      </c>
      <c r="E2011" s="1" t="s">
        <v>44</v>
      </c>
      <c r="F2011">
        <v>6011.84</v>
      </c>
      <c r="G2011">
        <v>2</v>
      </c>
      <c r="H2011" s="1" t="s">
        <v>57</v>
      </c>
      <c r="I2011">
        <v>2868.02</v>
      </c>
      <c r="J2011">
        <v>2994.74</v>
      </c>
      <c r="K2011" s="1" t="s">
        <v>20</v>
      </c>
      <c r="L2011">
        <v>0.18</v>
      </c>
      <c r="M2011" s="1" t="s">
        <v>32</v>
      </c>
      <c r="N2011" s="1" t="s">
        <v>22</v>
      </c>
      <c r="O2011" s="1" t="s">
        <v>45</v>
      </c>
      <c r="P2011">
        <v>5736.04</v>
      </c>
      <c r="Q2011">
        <v>2023</v>
      </c>
      <c r="R2011">
        <v>4911.3735999999999</v>
      </c>
      <c r="S2011">
        <v>-824.66640000000007</v>
      </c>
      <c r="T2011" s="1" t="s">
        <v>165</v>
      </c>
      <c r="U2011">
        <v>-0.16790952331543299</v>
      </c>
    </row>
    <row r="2012" spans="1:21" x14ac:dyDescent="0.3">
      <c r="A2012" s="1" t="s">
        <v>155</v>
      </c>
      <c r="B2012" s="1" t="s">
        <v>39</v>
      </c>
      <c r="C2012" s="2">
        <v>45150</v>
      </c>
      <c r="D2012" s="1" t="s">
        <v>36</v>
      </c>
      <c r="E2012" s="1" t="s">
        <v>44</v>
      </c>
      <c r="F2012">
        <v>8989.4</v>
      </c>
      <c r="G2012">
        <v>14</v>
      </c>
      <c r="H2012" s="1" t="s">
        <v>31</v>
      </c>
      <c r="I2012">
        <v>1612.93</v>
      </c>
      <c r="J2012">
        <v>1964.15</v>
      </c>
      <c r="K2012" s="1" t="s">
        <v>20</v>
      </c>
      <c r="L2012">
        <v>0.24</v>
      </c>
      <c r="M2012" s="1" t="s">
        <v>32</v>
      </c>
      <c r="N2012" s="1" t="s">
        <v>33</v>
      </c>
      <c r="O2012" s="1" t="s">
        <v>71</v>
      </c>
      <c r="P2012">
        <v>22581.02</v>
      </c>
      <c r="Q2012">
        <v>2023</v>
      </c>
      <c r="R2012">
        <v>20898.556</v>
      </c>
      <c r="S2012">
        <v>-1682.4639999999999</v>
      </c>
      <c r="T2012" s="1" t="s">
        <v>165</v>
      </c>
      <c r="U2012">
        <v>-8.0506232105222994E-2</v>
      </c>
    </row>
    <row r="2013" spans="1:21" x14ac:dyDescent="0.3">
      <c r="A2013" s="1" t="s">
        <v>155</v>
      </c>
      <c r="B2013" s="1" t="s">
        <v>129</v>
      </c>
      <c r="C2013" s="2">
        <v>45150</v>
      </c>
      <c r="D2013" s="1" t="s">
        <v>25</v>
      </c>
      <c r="E2013" s="1" t="s">
        <v>30</v>
      </c>
      <c r="F2013">
        <v>2490.8200000000002</v>
      </c>
      <c r="G2013">
        <v>41</v>
      </c>
      <c r="H2013" s="1" t="s">
        <v>19</v>
      </c>
      <c r="I2013">
        <v>3956.03</v>
      </c>
      <c r="J2013">
        <v>4163.68</v>
      </c>
      <c r="K2013" s="1" t="s">
        <v>26</v>
      </c>
      <c r="L2013">
        <v>0.12</v>
      </c>
      <c r="M2013" s="1" t="s">
        <v>32</v>
      </c>
      <c r="N2013" s="1" t="s">
        <v>33</v>
      </c>
      <c r="O2013" s="1" t="s">
        <v>92</v>
      </c>
      <c r="P2013">
        <v>162197.23000000001</v>
      </c>
      <c r="Q2013">
        <v>2023</v>
      </c>
      <c r="R2013">
        <v>150225.57440000001</v>
      </c>
      <c r="S2013">
        <v>-11971.655599999998</v>
      </c>
      <c r="T2013" s="1" t="s">
        <v>165</v>
      </c>
      <c r="U2013">
        <v>-7.9691195376118296E-2</v>
      </c>
    </row>
    <row r="2014" spans="1:21" x14ac:dyDescent="0.3">
      <c r="A2014" s="1" t="s">
        <v>155</v>
      </c>
      <c r="B2014" s="1" t="s">
        <v>84</v>
      </c>
      <c r="C2014" s="2">
        <v>45151</v>
      </c>
      <c r="D2014" s="1" t="s">
        <v>59</v>
      </c>
      <c r="E2014" s="1" t="s">
        <v>40</v>
      </c>
      <c r="F2014">
        <v>1290.05</v>
      </c>
      <c r="G2014">
        <v>21</v>
      </c>
      <c r="H2014" s="1" t="s">
        <v>31</v>
      </c>
      <c r="I2014">
        <v>3497.98</v>
      </c>
      <c r="J2014">
        <v>3765.31</v>
      </c>
      <c r="K2014" s="1" t="s">
        <v>26</v>
      </c>
      <c r="L2014">
        <v>0.08</v>
      </c>
      <c r="M2014" s="1" t="s">
        <v>21</v>
      </c>
      <c r="N2014" s="1" t="s">
        <v>22</v>
      </c>
      <c r="O2014" s="1" t="s">
        <v>90</v>
      </c>
      <c r="P2014">
        <v>73457.58</v>
      </c>
      <c r="Q2014">
        <v>2023</v>
      </c>
      <c r="R2014">
        <v>72745.789199999999</v>
      </c>
      <c r="S2014">
        <v>-711.79080000000249</v>
      </c>
      <c r="T2014" s="1" t="s">
        <v>165</v>
      </c>
      <c r="U2014">
        <v>-9.7846323179349402E-3</v>
      </c>
    </row>
    <row r="2015" spans="1:21" x14ac:dyDescent="0.3">
      <c r="A2015" s="1" t="s">
        <v>155</v>
      </c>
      <c r="B2015" s="1" t="s">
        <v>112</v>
      </c>
      <c r="C2015" s="2">
        <v>45151</v>
      </c>
      <c r="D2015" s="1" t="s">
        <v>59</v>
      </c>
      <c r="E2015" s="1" t="s">
        <v>40</v>
      </c>
      <c r="F2015">
        <v>2049.56</v>
      </c>
      <c r="G2015">
        <v>5</v>
      </c>
      <c r="H2015" s="1" t="s">
        <v>19</v>
      </c>
      <c r="I2015">
        <v>3991.69</v>
      </c>
      <c r="J2015">
        <v>4454.97</v>
      </c>
      <c r="K2015" s="1" t="s">
        <v>26</v>
      </c>
      <c r="L2015">
        <v>0.14000000000000001</v>
      </c>
      <c r="M2015" s="1" t="s">
        <v>27</v>
      </c>
      <c r="N2015" s="1" t="s">
        <v>33</v>
      </c>
      <c r="O2015" s="1" t="s">
        <v>90</v>
      </c>
      <c r="P2015">
        <v>19958.45</v>
      </c>
      <c r="Q2015">
        <v>2023</v>
      </c>
      <c r="R2015">
        <v>19156.371000000003</v>
      </c>
      <c r="S2015">
        <v>-802.0789999999979</v>
      </c>
      <c r="T2015" s="1" t="s">
        <v>165</v>
      </c>
      <c r="U2015">
        <v>-4.1870091156618203E-2</v>
      </c>
    </row>
    <row r="2016" spans="1:21" x14ac:dyDescent="0.3">
      <c r="A2016" s="1" t="s">
        <v>155</v>
      </c>
      <c r="B2016" s="1" t="s">
        <v>58</v>
      </c>
      <c r="C2016" s="2">
        <v>45151</v>
      </c>
      <c r="D2016" s="1" t="s">
        <v>43</v>
      </c>
      <c r="E2016" s="1" t="s">
        <v>44</v>
      </c>
      <c r="F2016">
        <v>4896.93</v>
      </c>
      <c r="G2016">
        <v>38</v>
      </c>
      <c r="H2016" s="1" t="s">
        <v>19</v>
      </c>
      <c r="I2016">
        <v>324.45</v>
      </c>
      <c r="J2016">
        <v>336.37</v>
      </c>
      <c r="K2016" s="1" t="s">
        <v>26</v>
      </c>
      <c r="L2016">
        <v>0.28000000000000003</v>
      </c>
      <c r="M2016" s="1" t="s">
        <v>27</v>
      </c>
      <c r="N2016" s="1" t="s">
        <v>33</v>
      </c>
      <c r="O2016" s="1" t="s">
        <v>45</v>
      </c>
      <c r="P2016">
        <v>12329.1</v>
      </c>
      <c r="Q2016">
        <v>2023</v>
      </c>
      <c r="R2016">
        <v>9203.0831999999991</v>
      </c>
      <c r="S2016">
        <v>-3126.0168000000012</v>
      </c>
      <c r="T2016" s="1" t="s">
        <v>165</v>
      </c>
      <c r="U2016">
        <v>-0.33967060082647099</v>
      </c>
    </row>
    <row r="2017" spans="1:21" x14ac:dyDescent="0.3">
      <c r="A2017" s="1" t="s">
        <v>155</v>
      </c>
      <c r="B2017" s="1" t="s">
        <v>136</v>
      </c>
      <c r="C2017" s="2">
        <v>45152</v>
      </c>
      <c r="D2017" s="1" t="s">
        <v>43</v>
      </c>
      <c r="E2017" s="1" t="s">
        <v>40</v>
      </c>
      <c r="F2017">
        <v>2198.7399999999998</v>
      </c>
      <c r="G2017">
        <v>43</v>
      </c>
      <c r="H2017" s="1" t="s">
        <v>57</v>
      </c>
      <c r="I2017">
        <v>1100.81</v>
      </c>
      <c r="J2017">
        <v>1137.44</v>
      </c>
      <c r="K2017" s="1" t="s">
        <v>20</v>
      </c>
      <c r="L2017">
        <v>0.08</v>
      </c>
      <c r="M2017" s="1" t="s">
        <v>32</v>
      </c>
      <c r="N2017" s="1" t="s">
        <v>22</v>
      </c>
      <c r="O2017" s="1" t="s">
        <v>99</v>
      </c>
      <c r="P2017">
        <v>47334.829999999994</v>
      </c>
      <c r="Q2017">
        <v>2023</v>
      </c>
      <c r="R2017">
        <v>44997.126400000008</v>
      </c>
      <c r="S2017">
        <v>-2337.7035999999862</v>
      </c>
      <c r="T2017" s="1" t="s">
        <v>165</v>
      </c>
      <c r="U2017">
        <v>-5.1952286446451501E-2</v>
      </c>
    </row>
    <row r="2018" spans="1:21" x14ac:dyDescent="0.3">
      <c r="A2018" s="1" t="s">
        <v>155</v>
      </c>
      <c r="B2018" s="1" t="s">
        <v>149</v>
      </c>
      <c r="C2018" s="2">
        <v>45152</v>
      </c>
      <c r="D2018" s="1" t="s">
        <v>36</v>
      </c>
      <c r="E2018" s="1" t="s">
        <v>40</v>
      </c>
      <c r="F2018">
        <v>6885.89</v>
      </c>
      <c r="G2018">
        <v>6</v>
      </c>
      <c r="H2018" s="1" t="s">
        <v>57</v>
      </c>
      <c r="I2018">
        <v>235.12</v>
      </c>
      <c r="J2018">
        <v>677.5</v>
      </c>
      <c r="K2018" s="1" t="s">
        <v>20</v>
      </c>
      <c r="L2018">
        <v>0.16</v>
      </c>
      <c r="M2018" s="1" t="s">
        <v>27</v>
      </c>
      <c r="N2018" s="1" t="s">
        <v>22</v>
      </c>
      <c r="O2018" s="1" t="s">
        <v>41</v>
      </c>
      <c r="P2018">
        <v>1410.72</v>
      </c>
      <c r="Q2018">
        <v>2023</v>
      </c>
      <c r="R2018">
        <v>3414.6</v>
      </c>
      <c r="S2018">
        <v>2003.8799999999999</v>
      </c>
      <c r="T2018" s="1" t="s">
        <v>165</v>
      </c>
      <c r="U2018">
        <v>0.58685643999297099</v>
      </c>
    </row>
    <row r="2019" spans="1:21" x14ac:dyDescent="0.3">
      <c r="A2019" s="1" t="s">
        <v>155</v>
      </c>
      <c r="B2019" s="1" t="s">
        <v>89</v>
      </c>
      <c r="C2019" s="2">
        <v>45152</v>
      </c>
      <c r="D2019" s="1" t="s">
        <v>59</v>
      </c>
      <c r="E2019" s="1" t="s">
        <v>44</v>
      </c>
      <c r="F2019">
        <v>4250.79</v>
      </c>
      <c r="G2019">
        <v>26</v>
      </c>
      <c r="H2019" s="1" t="s">
        <v>19</v>
      </c>
      <c r="I2019">
        <v>3749.12</v>
      </c>
      <c r="J2019">
        <v>4138.83</v>
      </c>
      <c r="K2019" s="1" t="s">
        <v>26</v>
      </c>
      <c r="L2019">
        <v>0.13</v>
      </c>
      <c r="M2019" s="1" t="s">
        <v>27</v>
      </c>
      <c r="N2019" s="1" t="s">
        <v>22</v>
      </c>
      <c r="O2019" s="1" t="s">
        <v>60</v>
      </c>
      <c r="P2019">
        <v>97477.119999999995</v>
      </c>
      <c r="Q2019">
        <v>2023</v>
      </c>
      <c r="R2019">
        <v>93620.334600000002</v>
      </c>
      <c r="S2019">
        <v>-3856.7853999999934</v>
      </c>
      <c r="T2019" s="1" t="s">
        <v>165</v>
      </c>
      <c r="U2019">
        <v>-4.1196022386358701E-2</v>
      </c>
    </row>
    <row r="2020" spans="1:21" x14ac:dyDescent="0.3">
      <c r="A2020" s="1" t="s">
        <v>155</v>
      </c>
      <c r="B2020" s="1" t="s">
        <v>118</v>
      </c>
      <c r="C2020" s="2">
        <v>45152</v>
      </c>
      <c r="D2020" s="1" t="s">
        <v>17</v>
      </c>
      <c r="E2020" s="1" t="s">
        <v>40</v>
      </c>
      <c r="F2020">
        <v>4902.4399999999996</v>
      </c>
      <c r="G2020">
        <v>42</v>
      </c>
      <c r="H2020" s="1" t="s">
        <v>19</v>
      </c>
      <c r="I2020">
        <v>2505.41</v>
      </c>
      <c r="J2020">
        <v>2638.96</v>
      </c>
      <c r="K2020" s="1" t="s">
        <v>26</v>
      </c>
      <c r="L2020">
        <v>0.1</v>
      </c>
      <c r="M2020" s="1" t="s">
        <v>32</v>
      </c>
      <c r="N2020" s="1" t="s">
        <v>22</v>
      </c>
      <c r="O2020" s="1" t="s">
        <v>67</v>
      </c>
      <c r="P2020">
        <v>105227.22</v>
      </c>
      <c r="Q2020">
        <v>2023</v>
      </c>
      <c r="R2020">
        <v>99752.688000000009</v>
      </c>
      <c r="S2020">
        <v>-5474.531999999992</v>
      </c>
      <c r="T2020" s="1" t="s">
        <v>165</v>
      </c>
      <c r="U2020">
        <v>-5.4881047415985297E-2</v>
      </c>
    </row>
    <row r="2021" spans="1:21" x14ac:dyDescent="0.3">
      <c r="A2021" s="1" t="s">
        <v>155</v>
      </c>
      <c r="B2021" s="1" t="s">
        <v>76</v>
      </c>
      <c r="C2021" s="2">
        <v>45152</v>
      </c>
      <c r="D2021" s="1" t="s">
        <v>59</v>
      </c>
      <c r="E2021" s="1" t="s">
        <v>30</v>
      </c>
      <c r="F2021">
        <v>4891.49</v>
      </c>
      <c r="G2021">
        <v>20</v>
      </c>
      <c r="H2021" s="1" t="s">
        <v>37</v>
      </c>
      <c r="I2021">
        <v>955.18</v>
      </c>
      <c r="J2021">
        <v>1072.82</v>
      </c>
      <c r="K2021" s="1" t="s">
        <v>26</v>
      </c>
      <c r="L2021">
        <v>0.03</v>
      </c>
      <c r="M2021" s="1" t="s">
        <v>32</v>
      </c>
      <c r="N2021" s="1" t="s">
        <v>33</v>
      </c>
      <c r="O2021" s="1" t="s">
        <v>86</v>
      </c>
      <c r="P2021">
        <v>19103.599999999999</v>
      </c>
      <c r="Q2021">
        <v>2023</v>
      </c>
      <c r="R2021">
        <v>20812.707999999999</v>
      </c>
      <c r="S2021">
        <v>1709.1080000000002</v>
      </c>
      <c r="T2021" s="1" t="s">
        <v>165</v>
      </c>
      <c r="U2021">
        <v>8.2118482611681295E-2</v>
      </c>
    </row>
    <row r="2022" spans="1:21" x14ac:dyDescent="0.3">
      <c r="A2022" s="1" t="s">
        <v>155</v>
      </c>
      <c r="B2022" s="1" t="s">
        <v>68</v>
      </c>
      <c r="C2022" s="2">
        <v>45152</v>
      </c>
      <c r="D2022" s="1" t="s">
        <v>43</v>
      </c>
      <c r="E2022" s="1" t="s">
        <v>40</v>
      </c>
      <c r="F2022">
        <v>5878.76</v>
      </c>
      <c r="G2022">
        <v>26</v>
      </c>
      <c r="H2022" s="1" t="s">
        <v>19</v>
      </c>
      <c r="I2022">
        <v>4337.8500000000004</v>
      </c>
      <c r="J2022">
        <v>4612.49</v>
      </c>
      <c r="K2022" s="1" t="s">
        <v>20</v>
      </c>
      <c r="L2022">
        <v>0.01</v>
      </c>
      <c r="M2022" s="1" t="s">
        <v>21</v>
      </c>
      <c r="N2022" s="1" t="s">
        <v>33</v>
      </c>
      <c r="O2022" s="1" t="s">
        <v>99</v>
      </c>
      <c r="P2022">
        <v>112784.1</v>
      </c>
      <c r="Q2022">
        <v>2023</v>
      </c>
      <c r="R2022">
        <v>118725.49259999998</v>
      </c>
      <c r="S2022">
        <v>5941.3925999999774</v>
      </c>
      <c r="T2022" s="1" t="s">
        <v>165</v>
      </c>
      <c r="U2022">
        <v>5.0043107591199697E-2</v>
      </c>
    </row>
    <row r="2023" spans="1:21" x14ac:dyDescent="0.3">
      <c r="A2023" s="1" t="s">
        <v>155</v>
      </c>
      <c r="B2023" s="1" t="s">
        <v>144</v>
      </c>
      <c r="C2023" s="2">
        <v>45152</v>
      </c>
      <c r="D2023" s="1" t="s">
        <v>43</v>
      </c>
      <c r="E2023" s="1" t="s">
        <v>18</v>
      </c>
      <c r="F2023">
        <v>9956.75</v>
      </c>
      <c r="G2023">
        <v>27</v>
      </c>
      <c r="H2023" s="1" t="s">
        <v>19</v>
      </c>
      <c r="I2023">
        <v>3760.25</v>
      </c>
      <c r="J2023">
        <v>4147.1099999999997</v>
      </c>
      <c r="K2023" s="1" t="s">
        <v>26</v>
      </c>
      <c r="L2023">
        <v>0.22</v>
      </c>
      <c r="M2023" s="1" t="s">
        <v>21</v>
      </c>
      <c r="N2023" s="1" t="s">
        <v>22</v>
      </c>
      <c r="O2023" s="1" t="s">
        <v>62</v>
      </c>
      <c r="P2023">
        <v>101526.75</v>
      </c>
      <c r="Q2023">
        <v>2023</v>
      </c>
      <c r="R2023">
        <v>87338.136599999998</v>
      </c>
      <c r="S2023">
        <v>-14188.613400000002</v>
      </c>
      <c r="T2023" s="1" t="s">
        <v>165</v>
      </c>
      <c r="U2023">
        <v>-0.16245610396959201</v>
      </c>
    </row>
    <row r="2024" spans="1:21" x14ac:dyDescent="0.3">
      <c r="A2024" s="1" t="s">
        <v>155</v>
      </c>
      <c r="B2024" s="1" t="s">
        <v>137</v>
      </c>
      <c r="C2024" s="2">
        <v>45153</v>
      </c>
      <c r="D2024" s="1" t="s">
        <v>59</v>
      </c>
      <c r="E2024" s="1" t="s">
        <v>30</v>
      </c>
      <c r="F2024">
        <v>7262.13</v>
      </c>
      <c r="G2024">
        <v>21</v>
      </c>
      <c r="H2024" s="1" t="s">
        <v>57</v>
      </c>
      <c r="I2024">
        <v>1142.53</v>
      </c>
      <c r="J2024">
        <v>1384.3</v>
      </c>
      <c r="K2024" s="1" t="s">
        <v>20</v>
      </c>
      <c r="L2024">
        <v>0.02</v>
      </c>
      <c r="M2024" s="1" t="s">
        <v>27</v>
      </c>
      <c r="N2024" s="1" t="s">
        <v>33</v>
      </c>
      <c r="O2024" s="1" t="s">
        <v>86</v>
      </c>
      <c r="P2024">
        <v>23993.13</v>
      </c>
      <c r="Q2024">
        <v>2023</v>
      </c>
      <c r="R2024">
        <v>28488.894</v>
      </c>
      <c r="S2024">
        <v>4495.7639999999992</v>
      </c>
      <c r="T2024" s="1" t="s">
        <v>165</v>
      </c>
      <c r="U2024">
        <v>0.157807600393332</v>
      </c>
    </row>
    <row r="2025" spans="1:21" x14ac:dyDescent="0.3">
      <c r="A2025" s="1" t="s">
        <v>155</v>
      </c>
      <c r="B2025" s="1" t="s">
        <v>144</v>
      </c>
      <c r="C2025" s="2">
        <v>45153</v>
      </c>
      <c r="D2025" s="1" t="s">
        <v>59</v>
      </c>
      <c r="E2025" s="1" t="s">
        <v>44</v>
      </c>
      <c r="F2025">
        <v>2780.98</v>
      </c>
      <c r="G2025">
        <v>26</v>
      </c>
      <c r="H2025" s="1" t="s">
        <v>57</v>
      </c>
      <c r="I2025">
        <v>1046.96</v>
      </c>
      <c r="J2025">
        <v>1528.15</v>
      </c>
      <c r="K2025" s="1" t="s">
        <v>26</v>
      </c>
      <c r="L2025">
        <v>7.0000000000000007E-2</v>
      </c>
      <c r="M2025" s="1" t="s">
        <v>27</v>
      </c>
      <c r="N2025" s="1" t="s">
        <v>33</v>
      </c>
      <c r="O2025" s="1" t="s">
        <v>60</v>
      </c>
      <c r="P2025">
        <v>27220.959999999999</v>
      </c>
      <c r="Q2025">
        <v>2023</v>
      </c>
      <c r="R2025">
        <v>36950.667000000001</v>
      </c>
      <c r="S2025">
        <v>9729.7070000000022</v>
      </c>
      <c r="T2025" s="1" t="s">
        <v>165</v>
      </c>
      <c r="U2025">
        <v>0.26331613986832803</v>
      </c>
    </row>
    <row r="2026" spans="1:21" x14ac:dyDescent="0.3">
      <c r="A2026" s="1" t="s">
        <v>155</v>
      </c>
      <c r="B2026" s="1" t="s">
        <v>109</v>
      </c>
      <c r="C2026" s="2">
        <v>45153</v>
      </c>
      <c r="D2026" s="1" t="s">
        <v>59</v>
      </c>
      <c r="E2026" s="1" t="s">
        <v>30</v>
      </c>
      <c r="F2026">
        <v>2373.02</v>
      </c>
      <c r="G2026">
        <v>4</v>
      </c>
      <c r="H2026" s="1" t="s">
        <v>31</v>
      </c>
      <c r="I2026">
        <v>4095.1</v>
      </c>
      <c r="J2026">
        <v>4134.55</v>
      </c>
      <c r="K2026" s="1" t="s">
        <v>20</v>
      </c>
      <c r="L2026">
        <v>0.09</v>
      </c>
      <c r="M2026" s="1" t="s">
        <v>32</v>
      </c>
      <c r="N2026" s="1" t="s">
        <v>33</v>
      </c>
      <c r="O2026" s="1" t="s">
        <v>86</v>
      </c>
      <c r="P2026">
        <v>16380.4</v>
      </c>
      <c r="Q2026">
        <v>2023</v>
      </c>
      <c r="R2026">
        <v>15049.762000000001</v>
      </c>
      <c r="S2026">
        <v>-1330.637999999999</v>
      </c>
      <c r="T2026" s="1" t="s">
        <v>165</v>
      </c>
      <c r="U2026">
        <v>-8.84158832544992E-2</v>
      </c>
    </row>
    <row r="2027" spans="1:21" x14ac:dyDescent="0.3">
      <c r="A2027" s="1" t="s">
        <v>155</v>
      </c>
      <c r="B2027" s="1" t="s">
        <v>52</v>
      </c>
      <c r="C2027" s="2">
        <v>45153</v>
      </c>
      <c r="D2027" s="1" t="s">
        <v>36</v>
      </c>
      <c r="E2027" s="1" t="s">
        <v>40</v>
      </c>
      <c r="F2027">
        <v>289.38</v>
      </c>
      <c r="G2027">
        <v>29</v>
      </c>
      <c r="H2027" s="1" t="s">
        <v>31</v>
      </c>
      <c r="I2027">
        <v>1723.01</v>
      </c>
      <c r="J2027">
        <v>2197.42</v>
      </c>
      <c r="K2027" s="1" t="s">
        <v>26</v>
      </c>
      <c r="L2027">
        <v>7.0000000000000007E-2</v>
      </c>
      <c r="M2027" s="1" t="s">
        <v>32</v>
      </c>
      <c r="N2027" s="1" t="s">
        <v>33</v>
      </c>
      <c r="O2027" s="1" t="s">
        <v>41</v>
      </c>
      <c r="P2027">
        <v>49967.29</v>
      </c>
      <c r="Q2027">
        <v>2023</v>
      </c>
      <c r="R2027">
        <v>59264.417399999998</v>
      </c>
      <c r="S2027">
        <v>9297.1273999999976</v>
      </c>
      <c r="T2027" s="1" t="s">
        <v>165</v>
      </c>
      <c r="U2027">
        <v>0.156875369874133</v>
      </c>
    </row>
    <row r="2028" spans="1:21" x14ac:dyDescent="0.3">
      <c r="A2028" s="1" t="s">
        <v>155</v>
      </c>
      <c r="B2028" s="1" t="s">
        <v>39</v>
      </c>
      <c r="C2028" s="2">
        <v>45153</v>
      </c>
      <c r="D2028" s="1" t="s">
        <v>25</v>
      </c>
      <c r="E2028" s="1" t="s">
        <v>18</v>
      </c>
      <c r="F2028">
        <v>9972.11</v>
      </c>
      <c r="G2028">
        <v>28</v>
      </c>
      <c r="H2028" s="1" t="s">
        <v>19</v>
      </c>
      <c r="I2028">
        <v>2570.2199999999998</v>
      </c>
      <c r="J2028">
        <v>2610.84</v>
      </c>
      <c r="K2028" s="1" t="s">
        <v>20</v>
      </c>
      <c r="L2028">
        <v>0.27</v>
      </c>
      <c r="M2028" s="1" t="s">
        <v>32</v>
      </c>
      <c r="N2028" s="1" t="s">
        <v>33</v>
      </c>
      <c r="O2028" s="1" t="s">
        <v>28</v>
      </c>
      <c r="P2028">
        <v>71966.159999999989</v>
      </c>
      <c r="Q2028">
        <v>2023</v>
      </c>
      <c r="R2028">
        <v>53365.569600000003</v>
      </c>
      <c r="S2028">
        <v>-18600.590399999986</v>
      </c>
      <c r="T2028" s="1" t="s">
        <v>165</v>
      </c>
      <c r="U2028">
        <v>-0.34855039568433599</v>
      </c>
    </row>
    <row r="2029" spans="1:21" x14ac:dyDescent="0.3">
      <c r="A2029" s="1" t="s">
        <v>155</v>
      </c>
      <c r="B2029" s="1" t="s">
        <v>95</v>
      </c>
      <c r="C2029" s="2">
        <v>45153</v>
      </c>
      <c r="D2029" s="1" t="s">
        <v>17</v>
      </c>
      <c r="E2029" s="1" t="s">
        <v>44</v>
      </c>
      <c r="F2029">
        <v>3953.38</v>
      </c>
      <c r="G2029">
        <v>29</v>
      </c>
      <c r="H2029" s="1" t="s">
        <v>19</v>
      </c>
      <c r="I2029">
        <v>1412.09</v>
      </c>
      <c r="J2029">
        <v>1596.65</v>
      </c>
      <c r="K2029" s="1" t="s">
        <v>20</v>
      </c>
      <c r="L2029">
        <v>7.0000000000000007E-2</v>
      </c>
      <c r="M2029" s="1" t="s">
        <v>21</v>
      </c>
      <c r="N2029" s="1" t="s">
        <v>22</v>
      </c>
      <c r="O2029" s="1" t="s">
        <v>49</v>
      </c>
      <c r="P2029">
        <v>40950.61</v>
      </c>
      <c r="Q2029">
        <v>2023</v>
      </c>
      <c r="R2029">
        <v>43061.650500000003</v>
      </c>
      <c r="S2029">
        <v>2111.0405000000028</v>
      </c>
      <c r="T2029" s="1" t="s">
        <v>165</v>
      </c>
      <c r="U2029">
        <v>4.90236782726199E-2</v>
      </c>
    </row>
    <row r="2030" spans="1:21" x14ac:dyDescent="0.3">
      <c r="A2030" s="1" t="s">
        <v>155</v>
      </c>
      <c r="B2030" s="1" t="s">
        <v>147</v>
      </c>
      <c r="C2030" s="2">
        <v>45154</v>
      </c>
      <c r="D2030" s="1" t="s">
        <v>59</v>
      </c>
      <c r="E2030" s="1" t="s">
        <v>40</v>
      </c>
      <c r="F2030">
        <v>3634.59</v>
      </c>
      <c r="G2030">
        <v>21</v>
      </c>
      <c r="H2030" s="1" t="s">
        <v>19</v>
      </c>
      <c r="I2030">
        <v>3110.54</v>
      </c>
      <c r="J2030">
        <v>3192.99</v>
      </c>
      <c r="K2030" s="1" t="s">
        <v>26</v>
      </c>
      <c r="L2030">
        <v>0.17</v>
      </c>
      <c r="M2030" s="1" t="s">
        <v>27</v>
      </c>
      <c r="N2030" s="1" t="s">
        <v>22</v>
      </c>
      <c r="O2030" s="1" t="s">
        <v>90</v>
      </c>
      <c r="P2030">
        <v>65321.34</v>
      </c>
      <c r="Q2030">
        <v>2023</v>
      </c>
      <c r="R2030">
        <v>55653.815699999992</v>
      </c>
      <c r="S2030">
        <v>-9667.5243000000046</v>
      </c>
      <c r="T2030" s="1" t="s">
        <v>165</v>
      </c>
      <c r="U2030">
        <v>-0.17370820272436399</v>
      </c>
    </row>
    <row r="2031" spans="1:21" x14ac:dyDescent="0.3">
      <c r="A2031" s="1" t="s">
        <v>155</v>
      </c>
      <c r="B2031" s="1" t="s">
        <v>130</v>
      </c>
      <c r="C2031" s="2">
        <v>45154</v>
      </c>
      <c r="D2031" s="1" t="s">
        <v>36</v>
      </c>
      <c r="E2031" s="1" t="s">
        <v>30</v>
      </c>
      <c r="F2031">
        <v>8983.92</v>
      </c>
      <c r="G2031">
        <v>26</v>
      </c>
      <c r="H2031" s="1" t="s">
        <v>31</v>
      </c>
      <c r="I2031">
        <v>433.19</v>
      </c>
      <c r="J2031">
        <v>800.6</v>
      </c>
      <c r="K2031" s="1" t="s">
        <v>20</v>
      </c>
      <c r="L2031">
        <v>0.2</v>
      </c>
      <c r="M2031" s="1" t="s">
        <v>21</v>
      </c>
      <c r="N2031" s="1" t="s">
        <v>22</v>
      </c>
      <c r="O2031" s="1" t="s">
        <v>38</v>
      </c>
      <c r="P2031">
        <v>11262.94</v>
      </c>
      <c r="Q2031">
        <v>2023</v>
      </c>
      <c r="R2031">
        <v>16652.480000000003</v>
      </c>
      <c r="S2031">
        <v>5389.5400000000027</v>
      </c>
      <c r="T2031" s="1" t="s">
        <v>165</v>
      </c>
      <c r="U2031">
        <v>0.32364788908318798</v>
      </c>
    </row>
    <row r="2032" spans="1:21" x14ac:dyDescent="0.3">
      <c r="A2032" s="1" t="s">
        <v>155</v>
      </c>
      <c r="B2032" s="1" t="s">
        <v>53</v>
      </c>
      <c r="C2032" s="2">
        <v>45154</v>
      </c>
      <c r="D2032" s="1" t="s">
        <v>59</v>
      </c>
      <c r="E2032" s="1" t="s">
        <v>44</v>
      </c>
      <c r="F2032">
        <v>4923.93</v>
      </c>
      <c r="G2032">
        <v>48</v>
      </c>
      <c r="H2032" s="1" t="s">
        <v>57</v>
      </c>
      <c r="I2032">
        <v>2632.58</v>
      </c>
      <c r="J2032">
        <v>2926.68</v>
      </c>
      <c r="K2032" s="1" t="s">
        <v>20</v>
      </c>
      <c r="L2032">
        <v>0.14000000000000001</v>
      </c>
      <c r="M2032" s="1" t="s">
        <v>21</v>
      </c>
      <c r="N2032" s="1" t="s">
        <v>22</v>
      </c>
      <c r="O2032" s="1" t="s">
        <v>60</v>
      </c>
      <c r="P2032">
        <v>126363.84</v>
      </c>
      <c r="Q2032">
        <v>2023</v>
      </c>
      <c r="R2032">
        <v>120813.35039999998</v>
      </c>
      <c r="S2032">
        <v>-5550.4896000000153</v>
      </c>
      <c r="T2032" s="1" t="s">
        <v>165</v>
      </c>
      <c r="U2032">
        <v>-4.5942684162163697E-2</v>
      </c>
    </row>
    <row r="2033" spans="1:21" x14ac:dyDescent="0.3">
      <c r="A2033" s="1" t="s">
        <v>155</v>
      </c>
      <c r="B2033" s="1" t="s">
        <v>87</v>
      </c>
      <c r="C2033" s="2">
        <v>45155</v>
      </c>
      <c r="D2033" s="1" t="s">
        <v>25</v>
      </c>
      <c r="E2033" s="1" t="s">
        <v>30</v>
      </c>
      <c r="F2033">
        <v>8813.5499999999993</v>
      </c>
      <c r="G2033">
        <v>21</v>
      </c>
      <c r="H2033" s="1" t="s">
        <v>57</v>
      </c>
      <c r="I2033">
        <v>2537.1999999999998</v>
      </c>
      <c r="J2033">
        <v>2869.6</v>
      </c>
      <c r="K2033" s="1" t="s">
        <v>26</v>
      </c>
      <c r="L2033">
        <v>0.28999999999999998</v>
      </c>
      <c r="M2033" s="1" t="s">
        <v>32</v>
      </c>
      <c r="N2033" s="1" t="s">
        <v>33</v>
      </c>
      <c r="O2033" s="1" t="s">
        <v>92</v>
      </c>
      <c r="P2033">
        <v>53281.2</v>
      </c>
      <c r="Q2033">
        <v>2023</v>
      </c>
      <c r="R2033">
        <v>42785.735999999997</v>
      </c>
      <c r="S2033">
        <v>-10495.464</v>
      </c>
      <c r="T2033" s="1" t="s">
        <v>165</v>
      </c>
      <c r="U2033">
        <v>-0.245302873836271</v>
      </c>
    </row>
    <row r="2034" spans="1:21" x14ac:dyDescent="0.3">
      <c r="A2034" s="1" t="s">
        <v>155</v>
      </c>
      <c r="B2034" s="1" t="s">
        <v>82</v>
      </c>
      <c r="C2034" s="2">
        <v>45155</v>
      </c>
      <c r="D2034" s="1" t="s">
        <v>43</v>
      </c>
      <c r="E2034" s="1" t="s">
        <v>44</v>
      </c>
      <c r="F2034">
        <v>8371.25</v>
      </c>
      <c r="G2034">
        <v>16</v>
      </c>
      <c r="H2034" s="1" t="s">
        <v>19</v>
      </c>
      <c r="I2034">
        <v>3975.99</v>
      </c>
      <c r="J2034">
        <v>4422.59</v>
      </c>
      <c r="K2034" s="1" t="s">
        <v>26</v>
      </c>
      <c r="L2034">
        <v>0.24</v>
      </c>
      <c r="M2034" s="1" t="s">
        <v>21</v>
      </c>
      <c r="N2034" s="1" t="s">
        <v>22</v>
      </c>
      <c r="O2034" s="1" t="s">
        <v>45</v>
      </c>
      <c r="P2034">
        <v>63615.839999999997</v>
      </c>
      <c r="Q2034">
        <v>2023</v>
      </c>
      <c r="R2034">
        <v>53778.6944</v>
      </c>
      <c r="S2034">
        <v>-9837.1455999999962</v>
      </c>
      <c r="T2034" s="1" t="s">
        <v>165</v>
      </c>
      <c r="U2034">
        <v>-0.182919011139103</v>
      </c>
    </row>
    <row r="2035" spans="1:21" x14ac:dyDescent="0.3">
      <c r="A2035" s="1" t="s">
        <v>155</v>
      </c>
      <c r="B2035" s="1" t="s">
        <v>104</v>
      </c>
      <c r="C2035" s="2">
        <v>45155</v>
      </c>
      <c r="D2035" s="1" t="s">
        <v>43</v>
      </c>
      <c r="E2035" s="1" t="s">
        <v>40</v>
      </c>
      <c r="F2035">
        <v>8912.4</v>
      </c>
      <c r="G2035">
        <v>33</v>
      </c>
      <c r="H2035" s="1" t="s">
        <v>19</v>
      </c>
      <c r="I2035">
        <v>450.72</v>
      </c>
      <c r="J2035">
        <v>918.17</v>
      </c>
      <c r="K2035" s="1" t="s">
        <v>20</v>
      </c>
      <c r="L2035">
        <v>0.11</v>
      </c>
      <c r="M2035" s="1" t="s">
        <v>21</v>
      </c>
      <c r="N2035" s="1" t="s">
        <v>22</v>
      </c>
      <c r="O2035" s="1" t="s">
        <v>99</v>
      </c>
      <c r="P2035">
        <v>14873.76</v>
      </c>
      <c r="Q2035">
        <v>2023</v>
      </c>
      <c r="R2035">
        <v>26966.652899999997</v>
      </c>
      <c r="S2035">
        <v>12092.892899999997</v>
      </c>
      <c r="T2035" s="1" t="s">
        <v>165</v>
      </c>
      <c r="U2035">
        <v>0.44843877899285001</v>
      </c>
    </row>
    <row r="2036" spans="1:21" x14ac:dyDescent="0.3">
      <c r="A2036" s="1" t="s">
        <v>155</v>
      </c>
      <c r="B2036" s="1" t="s">
        <v>121</v>
      </c>
      <c r="C2036" s="2">
        <v>45155</v>
      </c>
      <c r="D2036" s="1" t="s">
        <v>17</v>
      </c>
      <c r="E2036" s="1" t="s">
        <v>44</v>
      </c>
      <c r="F2036">
        <v>2426.2399999999998</v>
      </c>
      <c r="G2036">
        <v>16</v>
      </c>
      <c r="H2036" s="1" t="s">
        <v>31</v>
      </c>
      <c r="I2036">
        <v>4310.3100000000004</v>
      </c>
      <c r="J2036">
        <v>4633.1000000000004</v>
      </c>
      <c r="K2036" s="1" t="s">
        <v>26</v>
      </c>
      <c r="L2036">
        <v>0.28000000000000003</v>
      </c>
      <c r="M2036" s="1" t="s">
        <v>27</v>
      </c>
      <c r="N2036" s="1" t="s">
        <v>33</v>
      </c>
      <c r="O2036" s="1" t="s">
        <v>49</v>
      </c>
      <c r="P2036">
        <v>68964.960000000006</v>
      </c>
      <c r="Q2036">
        <v>2023</v>
      </c>
      <c r="R2036">
        <v>53373.312000000005</v>
      </c>
      <c r="S2036">
        <v>-15591.648000000001</v>
      </c>
      <c r="T2036" s="1" t="s">
        <v>165</v>
      </c>
      <c r="U2036">
        <v>-0.29212442353211998</v>
      </c>
    </row>
    <row r="2037" spans="1:21" x14ac:dyDescent="0.3">
      <c r="A2037" s="1" t="s">
        <v>155</v>
      </c>
      <c r="B2037" s="1" t="s">
        <v>105</v>
      </c>
      <c r="C2037" s="2">
        <v>45155</v>
      </c>
      <c r="D2037" s="1" t="s">
        <v>17</v>
      </c>
      <c r="E2037" s="1" t="s">
        <v>40</v>
      </c>
      <c r="F2037">
        <v>777.74</v>
      </c>
      <c r="G2037">
        <v>7</v>
      </c>
      <c r="H2037" s="1" t="s">
        <v>57</v>
      </c>
      <c r="I2037">
        <v>282.94</v>
      </c>
      <c r="J2037">
        <v>779.33</v>
      </c>
      <c r="K2037" s="1" t="s">
        <v>20</v>
      </c>
      <c r="L2037">
        <v>0.28000000000000003</v>
      </c>
      <c r="M2037" s="1" t="s">
        <v>27</v>
      </c>
      <c r="N2037" s="1" t="s">
        <v>22</v>
      </c>
      <c r="O2037" s="1" t="s">
        <v>67</v>
      </c>
      <c r="P2037">
        <v>1980.58</v>
      </c>
      <c r="Q2037">
        <v>2023</v>
      </c>
      <c r="R2037">
        <v>3927.8232000000003</v>
      </c>
      <c r="S2037">
        <v>1947.2432000000003</v>
      </c>
      <c r="T2037" s="1" t="s">
        <v>165</v>
      </c>
      <c r="U2037">
        <v>0.49575632630307798</v>
      </c>
    </row>
    <row r="2038" spans="1:21" x14ac:dyDescent="0.3">
      <c r="A2038" s="1" t="s">
        <v>155</v>
      </c>
      <c r="B2038" s="1" t="s">
        <v>55</v>
      </c>
      <c r="C2038" s="2">
        <v>45157</v>
      </c>
      <c r="D2038" s="1" t="s">
        <v>43</v>
      </c>
      <c r="E2038" s="1" t="s">
        <v>40</v>
      </c>
      <c r="F2038">
        <v>9088.2000000000007</v>
      </c>
      <c r="G2038">
        <v>31</v>
      </c>
      <c r="H2038" s="1" t="s">
        <v>19</v>
      </c>
      <c r="I2038">
        <v>2347.81</v>
      </c>
      <c r="J2038">
        <v>2668.02</v>
      </c>
      <c r="K2038" s="1" t="s">
        <v>20</v>
      </c>
      <c r="L2038">
        <v>0.09</v>
      </c>
      <c r="M2038" s="1" t="s">
        <v>32</v>
      </c>
      <c r="N2038" s="1" t="s">
        <v>33</v>
      </c>
      <c r="O2038" s="1" t="s">
        <v>99</v>
      </c>
      <c r="P2038">
        <v>72782.11</v>
      </c>
      <c r="Q2038">
        <v>2023</v>
      </c>
      <c r="R2038">
        <v>75264.844199999992</v>
      </c>
      <c r="S2038">
        <v>2482.7341999999917</v>
      </c>
      <c r="T2038" s="1" t="s">
        <v>165</v>
      </c>
      <c r="U2038">
        <v>3.2986638401890103E-2</v>
      </c>
    </row>
    <row r="2039" spans="1:21" x14ac:dyDescent="0.3">
      <c r="A2039" s="1" t="s">
        <v>155</v>
      </c>
      <c r="B2039" s="1" t="s">
        <v>139</v>
      </c>
      <c r="C2039" s="2">
        <v>45158</v>
      </c>
      <c r="D2039" s="1" t="s">
        <v>43</v>
      </c>
      <c r="E2039" s="1" t="s">
        <v>18</v>
      </c>
      <c r="F2039">
        <v>4400.59</v>
      </c>
      <c r="G2039">
        <v>21</v>
      </c>
      <c r="H2039" s="1" t="s">
        <v>57</v>
      </c>
      <c r="I2039">
        <v>4376.37</v>
      </c>
      <c r="J2039">
        <v>4818.95</v>
      </c>
      <c r="K2039" s="1" t="s">
        <v>26</v>
      </c>
      <c r="L2039">
        <v>0</v>
      </c>
      <c r="M2039" s="1" t="s">
        <v>27</v>
      </c>
      <c r="N2039" s="1" t="s">
        <v>33</v>
      </c>
      <c r="O2039" s="1" t="s">
        <v>62</v>
      </c>
      <c r="P2039">
        <v>91903.77</v>
      </c>
      <c r="Q2039">
        <v>2023</v>
      </c>
      <c r="R2039">
        <v>101197.95</v>
      </c>
      <c r="S2039">
        <v>9294.179999999993</v>
      </c>
      <c r="T2039" s="1" t="s">
        <v>165</v>
      </c>
      <c r="U2039">
        <v>9.1841583747496805E-2</v>
      </c>
    </row>
    <row r="2040" spans="1:21" x14ac:dyDescent="0.3">
      <c r="A2040" s="1" t="s">
        <v>155</v>
      </c>
      <c r="B2040" s="1" t="s">
        <v>126</v>
      </c>
      <c r="C2040" s="2">
        <v>45159</v>
      </c>
      <c r="D2040" s="1" t="s">
        <v>59</v>
      </c>
      <c r="E2040" s="1" t="s">
        <v>40</v>
      </c>
      <c r="F2040">
        <v>8271.6200000000008</v>
      </c>
      <c r="G2040">
        <v>12</v>
      </c>
      <c r="H2040" s="1" t="s">
        <v>19</v>
      </c>
      <c r="I2040">
        <v>710.99</v>
      </c>
      <c r="J2040">
        <v>876.46</v>
      </c>
      <c r="K2040" s="1" t="s">
        <v>20</v>
      </c>
      <c r="L2040">
        <v>0.03</v>
      </c>
      <c r="M2040" s="1" t="s">
        <v>27</v>
      </c>
      <c r="N2040" s="1" t="s">
        <v>22</v>
      </c>
      <c r="O2040" s="1" t="s">
        <v>90</v>
      </c>
      <c r="P2040">
        <v>8531.880000000001</v>
      </c>
      <c r="Q2040">
        <v>2023</v>
      </c>
      <c r="R2040">
        <v>10201.9944</v>
      </c>
      <c r="S2040">
        <v>1670.1143999999986</v>
      </c>
      <c r="T2040" s="1" t="s">
        <v>165</v>
      </c>
      <c r="U2040">
        <v>0.16370469679928401</v>
      </c>
    </row>
    <row r="2041" spans="1:21" x14ac:dyDescent="0.3">
      <c r="A2041" s="1" t="s">
        <v>155</v>
      </c>
      <c r="B2041" s="1" t="s">
        <v>131</v>
      </c>
      <c r="C2041" s="2">
        <v>45159</v>
      </c>
      <c r="D2041" s="1" t="s">
        <v>36</v>
      </c>
      <c r="E2041" s="1" t="s">
        <v>18</v>
      </c>
      <c r="F2041">
        <v>9976.52</v>
      </c>
      <c r="G2041">
        <v>17</v>
      </c>
      <c r="H2041" s="1" t="s">
        <v>31</v>
      </c>
      <c r="I2041">
        <v>2346.8000000000002</v>
      </c>
      <c r="J2041">
        <v>2654.65</v>
      </c>
      <c r="K2041" s="1" t="s">
        <v>26</v>
      </c>
      <c r="L2041">
        <v>0.13</v>
      </c>
      <c r="M2041" s="1" t="s">
        <v>21</v>
      </c>
      <c r="N2041" s="1" t="s">
        <v>33</v>
      </c>
      <c r="O2041" s="1" t="s">
        <v>115</v>
      </c>
      <c r="P2041">
        <v>39895.600000000006</v>
      </c>
      <c r="Q2041">
        <v>2023</v>
      </c>
      <c r="R2041">
        <v>39262.273500000003</v>
      </c>
      <c r="S2041">
        <v>-633.32650000000285</v>
      </c>
      <c r="T2041" s="1" t="s">
        <v>165</v>
      </c>
      <c r="U2041">
        <v>-1.6130662937794499E-2</v>
      </c>
    </row>
    <row r="2042" spans="1:21" x14ac:dyDescent="0.3">
      <c r="A2042" s="1" t="s">
        <v>155</v>
      </c>
      <c r="B2042" s="1" t="s">
        <v>103</v>
      </c>
      <c r="C2042" s="2">
        <v>45159</v>
      </c>
      <c r="D2042" s="1" t="s">
        <v>36</v>
      </c>
      <c r="E2042" s="1" t="s">
        <v>30</v>
      </c>
      <c r="F2042">
        <v>5677.74</v>
      </c>
      <c r="G2042">
        <v>12</v>
      </c>
      <c r="H2042" s="1" t="s">
        <v>37</v>
      </c>
      <c r="I2042">
        <v>2316.13</v>
      </c>
      <c r="J2042">
        <v>2525.27</v>
      </c>
      <c r="K2042" s="1" t="s">
        <v>20</v>
      </c>
      <c r="L2042">
        <v>0.12</v>
      </c>
      <c r="M2042" s="1" t="s">
        <v>27</v>
      </c>
      <c r="N2042" s="1" t="s">
        <v>33</v>
      </c>
      <c r="O2042" s="1" t="s">
        <v>38</v>
      </c>
      <c r="P2042">
        <v>27793.56</v>
      </c>
      <c r="Q2042">
        <v>2023</v>
      </c>
      <c r="R2042">
        <v>26666.851199999997</v>
      </c>
      <c r="S2042">
        <v>-1126.708800000004</v>
      </c>
      <c r="T2042" s="1" t="s">
        <v>165</v>
      </c>
      <c r="U2042">
        <v>-4.2251287621089803E-2</v>
      </c>
    </row>
    <row r="2043" spans="1:21" x14ac:dyDescent="0.3">
      <c r="A2043" s="1" t="s">
        <v>155</v>
      </c>
      <c r="B2043" s="1" t="s">
        <v>108</v>
      </c>
      <c r="C2043" s="2">
        <v>45160</v>
      </c>
      <c r="D2043" s="1" t="s">
        <v>36</v>
      </c>
      <c r="E2043" s="1" t="s">
        <v>44</v>
      </c>
      <c r="F2043">
        <v>6250.8</v>
      </c>
      <c r="G2043">
        <v>29</v>
      </c>
      <c r="H2043" s="1" t="s">
        <v>19</v>
      </c>
      <c r="I2043">
        <v>1742.24</v>
      </c>
      <c r="J2043">
        <v>2070.52</v>
      </c>
      <c r="K2043" s="1" t="s">
        <v>26</v>
      </c>
      <c r="L2043">
        <v>0.12</v>
      </c>
      <c r="M2043" s="1" t="s">
        <v>21</v>
      </c>
      <c r="N2043" s="1" t="s">
        <v>22</v>
      </c>
      <c r="O2043" s="1" t="s">
        <v>71</v>
      </c>
      <c r="P2043">
        <v>50524.959999999999</v>
      </c>
      <c r="Q2043">
        <v>2023</v>
      </c>
      <c r="R2043">
        <v>52839.670400000003</v>
      </c>
      <c r="S2043">
        <v>2314.7104000000036</v>
      </c>
      <c r="T2043" s="1" t="s">
        <v>165</v>
      </c>
      <c r="U2043">
        <v>4.38062989885721E-2</v>
      </c>
    </row>
    <row r="2044" spans="1:21" x14ac:dyDescent="0.3">
      <c r="A2044" s="1" t="s">
        <v>155</v>
      </c>
      <c r="B2044" s="1" t="s">
        <v>48</v>
      </c>
      <c r="C2044" s="2">
        <v>45161</v>
      </c>
      <c r="D2044" s="1" t="s">
        <v>43</v>
      </c>
      <c r="E2044" s="1" t="s">
        <v>44</v>
      </c>
      <c r="F2044">
        <v>4036.36</v>
      </c>
      <c r="G2044">
        <v>4</v>
      </c>
      <c r="H2044" s="1" t="s">
        <v>37</v>
      </c>
      <c r="I2044">
        <v>282.61</v>
      </c>
      <c r="J2044">
        <v>548.25</v>
      </c>
      <c r="K2044" s="1" t="s">
        <v>26</v>
      </c>
      <c r="L2044">
        <v>0.17</v>
      </c>
      <c r="M2044" s="1" t="s">
        <v>27</v>
      </c>
      <c r="N2044" s="1" t="s">
        <v>22</v>
      </c>
      <c r="O2044" s="1" t="s">
        <v>45</v>
      </c>
      <c r="P2044">
        <v>1130.44</v>
      </c>
      <c r="Q2044">
        <v>2023</v>
      </c>
      <c r="R2044">
        <v>1820.1899999999998</v>
      </c>
      <c r="S2044">
        <v>689.74999999999977</v>
      </c>
      <c r="T2044" s="1" t="s">
        <v>165</v>
      </c>
      <c r="U2044">
        <v>0.37894395640015599</v>
      </c>
    </row>
    <row r="2045" spans="1:21" x14ac:dyDescent="0.3">
      <c r="A2045" s="1" t="s">
        <v>155</v>
      </c>
      <c r="B2045" s="1" t="s">
        <v>125</v>
      </c>
      <c r="C2045" s="2">
        <v>45161</v>
      </c>
      <c r="D2045" s="1" t="s">
        <v>36</v>
      </c>
      <c r="E2045" s="1" t="s">
        <v>44</v>
      </c>
      <c r="F2045">
        <v>8167.9</v>
      </c>
      <c r="G2045">
        <v>25</v>
      </c>
      <c r="H2045" s="1" t="s">
        <v>57</v>
      </c>
      <c r="I2045">
        <v>2520.9699999999998</v>
      </c>
      <c r="J2045">
        <v>2707.11</v>
      </c>
      <c r="K2045" s="1" t="s">
        <v>26</v>
      </c>
      <c r="L2045">
        <v>0.25</v>
      </c>
      <c r="M2045" s="1" t="s">
        <v>21</v>
      </c>
      <c r="N2045" s="1" t="s">
        <v>33</v>
      </c>
      <c r="O2045" s="1" t="s">
        <v>71</v>
      </c>
      <c r="P2045">
        <v>63024.249999999993</v>
      </c>
      <c r="Q2045">
        <v>2023</v>
      </c>
      <c r="R2045">
        <v>50758.3125</v>
      </c>
      <c r="S2045">
        <v>-12265.937499999993</v>
      </c>
      <c r="T2045" s="1" t="s">
        <v>165</v>
      </c>
      <c r="U2045">
        <v>-0.24165376853298601</v>
      </c>
    </row>
    <row r="2046" spans="1:21" x14ac:dyDescent="0.3">
      <c r="A2046" s="1" t="s">
        <v>155</v>
      </c>
      <c r="B2046" s="1" t="s">
        <v>126</v>
      </c>
      <c r="C2046" s="2">
        <v>45162</v>
      </c>
      <c r="D2046" s="1" t="s">
        <v>43</v>
      </c>
      <c r="E2046" s="1" t="s">
        <v>30</v>
      </c>
      <c r="F2046">
        <v>2167.94</v>
      </c>
      <c r="G2046">
        <v>39</v>
      </c>
      <c r="H2046" s="1" t="s">
        <v>19</v>
      </c>
      <c r="I2046">
        <v>4330.03</v>
      </c>
      <c r="J2046">
        <v>4467.75</v>
      </c>
      <c r="K2046" s="1" t="s">
        <v>26</v>
      </c>
      <c r="L2046">
        <v>0.02</v>
      </c>
      <c r="M2046" s="1" t="s">
        <v>27</v>
      </c>
      <c r="N2046" s="1" t="s">
        <v>33</v>
      </c>
      <c r="O2046" s="1" t="s">
        <v>54</v>
      </c>
      <c r="P2046">
        <v>168871.16999999998</v>
      </c>
      <c r="Q2046">
        <v>2023</v>
      </c>
      <c r="R2046">
        <v>170757.405</v>
      </c>
      <c r="S2046">
        <v>1886.2350000000151</v>
      </c>
      <c r="T2046" s="1" t="s">
        <v>165</v>
      </c>
      <c r="U2046">
        <v>1.1046285225522199E-2</v>
      </c>
    </row>
    <row r="2047" spans="1:21" x14ac:dyDescent="0.3">
      <c r="A2047" s="1" t="s">
        <v>155</v>
      </c>
      <c r="B2047" s="1" t="s">
        <v>103</v>
      </c>
      <c r="C2047" s="2">
        <v>45162</v>
      </c>
      <c r="D2047" s="1" t="s">
        <v>43</v>
      </c>
      <c r="E2047" s="1" t="s">
        <v>40</v>
      </c>
      <c r="F2047">
        <v>1493.95</v>
      </c>
      <c r="G2047">
        <v>17</v>
      </c>
      <c r="H2047" s="1" t="s">
        <v>31</v>
      </c>
      <c r="I2047">
        <v>2742.67</v>
      </c>
      <c r="J2047">
        <v>2979.64</v>
      </c>
      <c r="K2047" s="1" t="s">
        <v>20</v>
      </c>
      <c r="L2047">
        <v>0.01</v>
      </c>
      <c r="M2047" s="1" t="s">
        <v>21</v>
      </c>
      <c r="N2047" s="1" t="s">
        <v>33</v>
      </c>
      <c r="O2047" s="1" t="s">
        <v>99</v>
      </c>
      <c r="P2047">
        <v>46625.39</v>
      </c>
      <c r="Q2047">
        <v>2023</v>
      </c>
      <c r="R2047">
        <v>50147.341199999995</v>
      </c>
      <c r="S2047">
        <v>3521.9511999999959</v>
      </c>
      <c r="T2047" s="1" t="s">
        <v>165</v>
      </c>
      <c r="U2047">
        <v>7.0232062472735807E-2</v>
      </c>
    </row>
    <row r="2048" spans="1:21" x14ac:dyDescent="0.3">
      <c r="A2048" s="1" t="s">
        <v>155</v>
      </c>
      <c r="B2048" s="1" t="s">
        <v>39</v>
      </c>
      <c r="C2048" s="2">
        <v>45162</v>
      </c>
      <c r="D2048" s="1" t="s">
        <v>25</v>
      </c>
      <c r="E2048" s="1" t="s">
        <v>40</v>
      </c>
      <c r="F2048">
        <v>2301.38</v>
      </c>
      <c r="G2048">
        <v>42</v>
      </c>
      <c r="H2048" s="1" t="s">
        <v>19</v>
      </c>
      <c r="I2048">
        <v>967.77</v>
      </c>
      <c r="J2048">
        <v>1414.88</v>
      </c>
      <c r="K2048" s="1" t="s">
        <v>26</v>
      </c>
      <c r="L2048">
        <v>0.17</v>
      </c>
      <c r="M2048" s="1" t="s">
        <v>32</v>
      </c>
      <c r="N2048" s="1" t="s">
        <v>22</v>
      </c>
      <c r="O2048" s="1" t="s">
        <v>83</v>
      </c>
      <c r="P2048">
        <v>40646.339999999997</v>
      </c>
      <c r="Q2048">
        <v>2023</v>
      </c>
      <c r="R2048">
        <v>49322.716800000002</v>
      </c>
      <c r="S2048">
        <v>8676.3768000000055</v>
      </c>
      <c r="T2048" s="1" t="s">
        <v>165</v>
      </c>
      <c r="U2048">
        <v>0.17591035861187601</v>
      </c>
    </row>
    <row r="2049" spans="1:21" x14ac:dyDescent="0.3">
      <c r="A2049" s="1" t="s">
        <v>155</v>
      </c>
      <c r="B2049" s="1" t="s">
        <v>24</v>
      </c>
      <c r="C2049" s="2">
        <v>45162</v>
      </c>
      <c r="D2049" s="1" t="s">
        <v>17</v>
      </c>
      <c r="E2049" s="1" t="s">
        <v>18</v>
      </c>
      <c r="F2049">
        <v>2528.9899999999998</v>
      </c>
      <c r="G2049">
        <v>4</v>
      </c>
      <c r="H2049" s="1" t="s">
        <v>31</v>
      </c>
      <c r="I2049">
        <v>4231.75</v>
      </c>
      <c r="J2049">
        <v>4727.75</v>
      </c>
      <c r="K2049" s="1" t="s">
        <v>20</v>
      </c>
      <c r="L2049">
        <v>0.12</v>
      </c>
      <c r="M2049" s="1" t="s">
        <v>27</v>
      </c>
      <c r="N2049" s="1" t="s">
        <v>33</v>
      </c>
      <c r="O2049" s="1" t="s">
        <v>23</v>
      </c>
      <c r="P2049">
        <v>16927</v>
      </c>
      <c r="Q2049">
        <v>2023</v>
      </c>
      <c r="R2049">
        <v>16641.68</v>
      </c>
      <c r="S2049">
        <v>-285.31999999999971</v>
      </c>
      <c r="T2049" s="1" t="s">
        <v>165</v>
      </c>
      <c r="U2049">
        <v>-1.7144903639536399E-2</v>
      </c>
    </row>
    <row r="2050" spans="1:21" x14ac:dyDescent="0.3">
      <c r="A2050" s="1" t="s">
        <v>155</v>
      </c>
      <c r="B2050" s="1" t="s">
        <v>138</v>
      </c>
      <c r="C2050" s="2">
        <v>45162</v>
      </c>
      <c r="D2050" s="1" t="s">
        <v>43</v>
      </c>
      <c r="E2050" s="1" t="s">
        <v>40</v>
      </c>
      <c r="F2050">
        <v>2825.35</v>
      </c>
      <c r="G2050">
        <v>20</v>
      </c>
      <c r="H2050" s="1" t="s">
        <v>57</v>
      </c>
      <c r="I2050">
        <v>729.27</v>
      </c>
      <c r="J2050">
        <v>999.18</v>
      </c>
      <c r="K2050" s="1" t="s">
        <v>26</v>
      </c>
      <c r="L2050">
        <v>0.1</v>
      </c>
      <c r="M2050" s="1" t="s">
        <v>32</v>
      </c>
      <c r="N2050" s="1" t="s">
        <v>22</v>
      </c>
      <c r="O2050" s="1" t="s">
        <v>99</v>
      </c>
      <c r="P2050">
        <v>14585.4</v>
      </c>
      <c r="Q2050">
        <v>2023</v>
      </c>
      <c r="R2050">
        <v>17985.239999999998</v>
      </c>
      <c r="S2050">
        <v>3399.8399999999983</v>
      </c>
      <c r="T2050" s="1" t="s">
        <v>165</v>
      </c>
      <c r="U2050">
        <v>0.18903500870713999</v>
      </c>
    </row>
    <row r="2051" spans="1:21" x14ac:dyDescent="0.3">
      <c r="A2051" s="1" t="s">
        <v>155</v>
      </c>
      <c r="B2051" s="1" t="s">
        <v>154</v>
      </c>
      <c r="C2051" s="2">
        <v>45162</v>
      </c>
      <c r="D2051" s="1" t="s">
        <v>59</v>
      </c>
      <c r="E2051" s="1" t="s">
        <v>18</v>
      </c>
      <c r="F2051">
        <v>9972.66</v>
      </c>
      <c r="G2051">
        <v>8</v>
      </c>
      <c r="H2051" s="1" t="s">
        <v>19</v>
      </c>
      <c r="I2051">
        <v>3808.23</v>
      </c>
      <c r="J2051">
        <v>3891.62</v>
      </c>
      <c r="K2051" s="1" t="s">
        <v>20</v>
      </c>
      <c r="L2051">
        <v>0.26</v>
      </c>
      <c r="M2051" s="1" t="s">
        <v>32</v>
      </c>
      <c r="N2051" s="1" t="s">
        <v>22</v>
      </c>
      <c r="O2051" s="1" t="s">
        <v>77</v>
      </c>
      <c r="P2051">
        <v>30465.84</v>
      </c>
      <c r="Q2051">
        <v>2023</v>
      </c>
      <c r="R2051">
        <v>23038.3904</v>
      </c>
      <c r="S2051">
        <v>-7427.4495999999999</v>
      </c>
      <c r="T2051" s="1" t="s">
        <v>165</v>
      </c>
      <c r="U2051">
        <v>-0.32239446728014498</v>
      </c>
    </row>
    <row r="2052" spans="1:21" x14ac:dyDescent="0.3">
      <c r="A2052" s="1" t="s">
        <v>155</v>
      </c>
      <c r="B2052" s="1" t="s">
        <v>70</v>
      </c>
      <c r="C2052" s="2">
        <v>45163</v>
      </c>
      <c r="D2052" s="1" t="s">
        <v>43</v>
      </c>
      <c r="E2052" s="1" t="s">
        <v>30</v>
      </c>
      <c r="F2052">
        <v>854.77</v>
      </c>
      <c r="G2052">
        <v>31</v>
      </c>
      <c r="H2052" s="1" t="s">
        <v>57</v>
      </c>
      <c r="I2052">
        <v>1604.52</v>
      </c>
      <c r="J2052">
        <v>1756.34</v>
      </c>
      <c r="K2052" s="1" t="s">
        <v>20</v>
      </c>
      <c r="L2052">
        <v>0.17</v>
      </c>
      <c r="M2052" s="1" t="s">
        <v>21</v>
      </c>
      <c r="N2052" s="1" t="s">
        <v>33</v>
      </c>
      <c r="O2052" s="1" t="s">
        <v>54</v>
      </c>
      <c r="P2052">
        <v>49740.12</v>
      </c>
      <c r="Q2052">
        <v>2023</v>
      </c>
      <c r="R2052">
        <v>45190.628199999999</v>
      </c>
      <c r="S2052">
        <v>-4549.4918000000034</v>
      </c>
      <c r="T2052" s="1" t="s">
        <v>165</v>
      </c>
      <c r="U2052">
        <v>-0.100673347134396</v>
      </c>
    </row>
    <row r="2053" spans="1:21" x14ac:dyDescent="0.3">
      <c r="A2053" s="1" t="s">
        <v>155</v>
      </c>
      <c r="B2053" s="1" t="s">
        <v>97</v>
      </c>
      <c r="C2053" s="2">
        <v>45163</v>
      </c>
      <c r="D2053" s="1" t="s">
        <v>36</v>
      </c>
      <c r="E2053" s="1" t="s">
        <v>30</v>
      </c>
      <c r="F2053">
        <v>1221.7</v>
      </c>
      <c r="G2053">
        <v>42</v>
      </c>
      <c r="H2053" s="1" t="s">
        <v>37</v>
      </c>
      <c r="I2053">
        <v>1586.02</v>
      </c>
      <c r="J2053">
        <v>2047.13</v>
      </c>
      <c r="K2053" s="1" t="s">
        <v>26</v>
      </c>
      <c r="L2053">
        <v>0.25</v>
      </c>
      <c r="M2053" s="1" t="s">
        <v>21</v>
      </c>
      <c r="N2053" s="1" t="s">
        <v>33</v>
      </c>
      <c r="O2053" s="1" t="s">
        <v>38</v>
      </c>
      <c r="P2053">
        <v>66612.84</v>
      </c>
      <c r="Q2053">
        <v>2023</v>
      </c>
      <c r="R2053">
        <v>64484.595000000001</v>
      </c>
      <c r="S2053">
        <v>-2128.2449999999953</v>
      </c>
      <c r="T2053" s="1" t="s">
        <v>165</v>
      </c>
      <c r="U2053">
        <v>-3.3003929077944798E-2</v>
      </c>
    </row>
    <row r="2054" spans="1:21" x14ac:dyDescent="0.3">
      <c r="A2054" s="1" t="s">
        <v>155</v>
      </c>
      <c r="B2054" s="1" t="s">
        <v>140</v>
      </c>
      <c r="C2054" s="2">
        <v>45163</v>
      </c>
      <c r="D2054" s="1" t="s">
        <v>43</v>
      </c>
      <c r="E2054" s="1" t="s">
        <v>18</v>
      </c>
      <c r="F2054">
        <v>8841.64</v>
      </c>
      <c r="G2054">
        <v>23</v>
      </c>
      <c r="H2054" s="1" t="s">
        <v>37</v>
      </c>
      <c r="I2054">
        <v>4673.1899999999996</v>
      </c>
      <c r="J2054">
        <v>4761.18</v>
      </c>
      <c r="K2054" s="1" t="s">
        <v>20</v>
      </c>
      <c r="L2054">
        <v>0.17</v>
      </c>
      <c r="M2054" s="1" t="s">
        <v>27</v>
      </c>
      <c r="N2054" s="1" t="s">
        <v>33</v>
      </c>
      <c r="O2054" s="1" t="s">
        <v>62</v>
      </c>
      <c r="P2054">
        <v>107483.37</v>
      </c>
      <c r="Q2054">
        <v>2023</v>
      </c>
      <c r="R2054">
        <v>90890.926200000002</v>
      </c>
      <c r="S2054">
        <v>-16592.443799999994</v>
      </c>
      <c r="T2054" s="1" t="s">
        <v>165</v>
      </c>
      <c r="U2054">
        <v>-0.182553358115081</v>
      </c>
    </row>
    <row r="2055" spans="1:21" x14ac:dyDescent="0.3">
      <c r="A2055" s="1" t="s">
        <v>155</v>
      </c>
      <c r="B2055" s="1" t="s">
        <v>126</v>
      </c>
      <c r="C2055" s="2">
        <v>45163</v>
      </c>
      <c r="D2055" s="1" t="s">
        <v>25</v>
      </c>
      <c r="E2055" s="1" t="s">
        <v>30</v>
      </c>
      <c r="F2055">
        <v>2490.86</v>
      </c>
      <c r="G2055">
        <v>12</v>
      </c>
      <c r="H2055" s="1" t="s">
        <v>57</v>
      </c>
      <c r="I2055">
        <v>1517.4</v>
      </c>
      <c r="J2055">
        <v>1545.02</v>
      </c>
      <c r="K2055" s="1" t="s">
        <v>26</v>
      </c>
      <c r="L2055">
        <v>0.03</v>
      </c>
      <c r="M2055" s="1" t="s">
        <v>32</v>
      </c>
      <c r="N2055" s="1" t="s">
        <v>33</v>
      </c>
      <c r="O2055" s="1" t="s">
        <v>92</v>
      </c>
      <c r="P2055">
        <v>18208.800000000003</v>
      </c>
      <c r="Q2055">
        <v>2023</v>
      </c>
      <c r="R2055">
        <v>17984.032799999997</v>
      </c>
      <c r="S2055">
        <v>-224.76720000000569</v>
      </c>
      <c r="T2055" s="1" t="s">
        <v>165</v>
      </c>
      <c r="U2055">
        <v>-1.24981533619092E-2</v>
      </c>
    </row>
    <row r="2056" spans="1:21" x14ac:dyDescent="0.3">
      <c r="A2056" s="1" t="s">
        <v>155</v>
      </c>
      <c r="B2056" s="1" t="s">
        <v>42</v>
      </c>
      <c r="C2056" s="2">
        <v>45164</v>
      </c>
      <c r="D2056" s="1" t="s">
        <v>36</v>
      </c>
      <c r="E2056" s="1" t="s">
        <v>40</v>
      </c>
      <c r="F2056">
        <v>1934.18</v>
      </c>
      <c r="G2056">
        <v>17</v>
      </c>
      <c r="H2056" s="1" t="s">
        <v>57</v>
      </c>
      <c r="I2056">
        <v>2471.73</v>
      </c>
      <c r="J2056">
        <v>2568.73</v>
      </c>
      <c r="K2056" s="1" t="s">
        <v>26</v>
      </c>
      <c r="L2056">
        <v>0.05</v>
      </c>
      <c r="M2056" s="1" t="s">
        <v>21</v>
      </c>
      <c r="N2056" s="1" t="s">
        <v>33</v>
      </c>
      <c r="O2056" s="1" t="s">
        <v>41</v>
      </c>
      <c r="P2056">
        <v>42019.41</v>
      </c>
      <c r="Q2056">
        <v>2023</v>
      </c>
      <c r="R2056">
        <v>41484.989500000003</v>
      </c>
      <c r="S2056">
        <v>-534.42050000000017</v>
      </c>
      <c r="T2056" s="1" t="s">
        <v>165</v>
      </c>
      <c r="U2056">
        <v>-1.288226190825E-2</v>
      </c>
    </row>
    <row r="2057" spans="1:21" x14ac:dyDescent="0.3">
      <c r="A2057" s="1" t="s">
        <v>155</v>
      </c>
      <c r="B2057" s="1" t="s">
        <v>16</v>
      </c>
      <c r="C2057" s="2">
        <v>45165</v>
      </c>
      <c r="D2057" s="1" t="s">
        <v>36</v>
      </c>
      <c r="E2057" s="1" t="s">
        <v>30</v>
      </c>
      <c r="F2057">
        <v>4432.8500000000004</v>
      </c>
      <c r="G2057">
        <v>40</v>
      </c>
      <c r="H2057" s="1" t="s">
        <v>19</v>
      </c>
      <c r="I2057">
        <v>2687.49</v>
      </c>
      <c r="J2057">
        <v>3001.56</v>
      </c>
      <c r="K2057" s="1" t="s">
        <v>20</v>
      </c>
      <c r="L2057">
        <v>0.26</v>
      </c>
      <c r="M2057" s="1" t="s">
        <v>32</v>
      </c>
      <c r="N2057" s="1" t="s">
        <v>22</v>
      </c>
      <c r="O2057" s="1" t="s">
        <v>38</v>
      </c>
      <c r="P2057">
        <v>107499.59999999999</v>
      </c>
      <c r="Q2057">
        <v>2023</v>
      </c>
      <c r="R2057">
        <v>88846.175999999992</v>
      </c>
      <c r="S2057">
        <v>-18653.423999999999</v>
      </c>
      <c r="T2057" s="1" t="s">
        <v>165</v>
      </c>
      <c r="U2057">
        <v>-0.20995190608991399</v>
      </c>
    </row>
    <row r="2058" spans="1:21" x14ac:dyDescent="0.3">
      <c r="A2058" s="1" t="s">
        <v>155</v>
      </c>
      <c r="B2058" s="1" t="s">
        <v>152</v>
      </c>
      <c r="C2058" s="2">
        <v>45165</v>
      </c>
      <c r="D2058" s="1" t="s">
        <v>25</v>
      </c>
      <c r="E2058" s="1" t="s">
        <v>18</v>
      </c>
      <c r="F2058">
        <v>2558.92</v>
      </c>
      <c r="G2058">
        <v>18</v>
      </c>
      <c r="H2058" s="1" t="s">
        <v>57</v>
      </c>
      <c r="I2058">
        <v>3591.14</v>
      </c>
      <c r="J2058">
        <v>3822.99</v>
      </c>
      <c r="K2058" s="1" t="s">
        <v>20</v>
      </c>
      <c r="L2058">
        <v>0.09</v>
      </c>
      <c r="M2058" s="1" t="s">
        <v>27</v>
      </c>
      <c r="N2058" s="1" t="s">
        <v>22</v>
      </c>
      <c r="O2058" s="1" t="s">
        <v>28</v>
      </c>
      <c r="P2058">
        <v>64640.52</v>
      </c>
      <c r="Q2058">
        <v>2023</v>
      </c>
      <c r="R2058">
        <v>62620.576199999996</v>
      </c>
      <c r="S2058">
        <v>-2019.9438000000009</v>
      </c>
      <c r="T2058" s="1" t="s">
        <v>165</v>
      </c>
      <c r="U2058">
        <v>-3.2256870226626898E-2</v>
      </c>
    </row>
    <row r="2059" spans="1:21" x14ac:dyDescent="0.3">
      <c r="A2059" s="1" t="s">
        <v>155</v>
      </c>
      <c r="B2059" s="1" t="s">
        <v>64</v>
      </c>
      <c r="C2059" s="2">
        <v>45165</v>
      </c>
      <c r="D2059" s="1" t="s">
        <v>17</v>
      </c>
      <c r="E2059" s="1" t="s">
        <v>18</v>
      </c>
      <c r="F2059">
        <v>671.55</v>
      </c>
      <c r="G2059">
        <v>19</v>
      </c>
      <c r="H2059" s="1" t="s">
        <v>19</v>
      </c>
      <c r="I2059">
        <v>444.05</v>
      </c>
      <c r="J2059">
        <v>584.44000000000005</v>
      </c>
      <c r="K2059" s="1" t="s">
        <v>20</v>
      </c>
      <c r="L2059">
        <v>0.28000000000000003</v>
      </c>
      <c r="M2059" s="1" t="s">
        <v>21</v>
      </c>
      <c r="N2059" s="1" t="s">
        <v>33</v>
      </c>
      <c r="O2059" s="1" t="s">
        <v>23</v>
      </c>
      <c r="P2059">
        <v>8436.9500000000007</v>
      </c>
      <c r="Q2059">
        <v>2023</v>
      </c>
      <c r="R2059">
        <v>7995.1392000000005</v>
      </c>
      <c r="S2059">
        <v>-441.8108000000002</v>
      </c>
      <c r="T2059" s="1" t="s">
        <v>165</v>
      </c>
      <c r="U2059">
        <v>-5.5259925930995699E-2</v>
      </c>
    </row>
    <row r="2060" spans="1:21" x14ac:dyDescent="0.3">
      <c r="A2060" s="1" t="s">
        <v>155</v>
      </c>
      <c r="B2060" s="1" t="s">
        <v>42</v>
      </c>
      <c r="C2060" s="2">
        <v>45167</v>
      </c>
      <c r="D2060" s="1" t="s">
        <v>59</v>
      </c>
      <c r="E2060" s="1" t="s">
        <v>40</v>
      </c>
      <c r="F2060">
        <v>4567.8100000000004</v>
      </c>
      <c r="G2060">
        <v>44</v>
      </c>
      <c r="H2060" s="1" t="s">
        <v>19</v>
      </c>
      <c r="I2060">
        <v>4933.1099999999997</v>
      </c>
      <c r="J2060">
        <v>5245.86</v>
      </c>
      <c r="K2060" s="1" t="s">
        <v>20</v>
      </c>
      <c r="L2060">
        <v>0.13</v>
      </c>
      <c r="M2060" s="1" t="s">
        <v>32</v>
      </c>
      <c r="N2060" s="1" t="s">
        <v>33</v>
      </c>
      <c r="O2060" s="1" t="s">
        <v>90</v>
      </c>
      <c r="P2060">
        <v>217056.84</v>
      </c>
      <c r="Q2060">
        <v>2023</v>
      </c>
      <c r="R2060">
        <v>200811.5208</v>
      </c>
      <c r="S2060">
        <v>-16245.319199999998</v>
      </c>
      <c r="T2060" s="1" t="s">
        <v>165</v>
      </c>
      <c r="U2060">
        <v>-8.0898342561628603E-2</v>
      </c>
    </row>
    <row r="2061" spans="1:21" x14ac:dyDescent="0.3">
      <c r="A2061" s="1" t="s">
        <v>155</v>
      </c>
      <c r="B2061" s="1" t="s">
        <v>100</v>
      </c>
      <c r="C2061" s="2">
        <v>45167</v>
      </c>
      <c r="D2061" s="1" t="s">
        <v>17</v>
      </c>
      <c r="E2061" s="1" t="s">
        <v>30</v>
      </c>
      <c r="F2061">
        <v>3955.11</v>
      </c>
      <c r="G2061">
        <v>27</v>
      </c>
      <c r="H2061" s="1" t="s">
        <v>19</v>
      </c>
      <c r="I2061">
        <v>1139.45</v>
      </c>
      <c r="J2061">
        <v>1454.41</v>
      </c>
      <c r="K2061" s="1" t="s">
        <v>20</v>
      </c>
      <c r="L2061">
        <v>0.3</v>
      </c>
      <c r="M2061" s="1" t="s">
        <v>32</v>
      </c>
      <c r="N2061" s="1" t="s">
        <v>22</v>
      </c>
      <c r="O2061" s="1" t="s">
        <v>34</v>
      </c>
      <c r="P2061">
        <v>30765.15</v>
      </c>
      <c r="Q2061">
        <v>2023</v>
      </c>
      <c r="R2061">
        <v>27488.348999999998</v>
      </c>
      <c r="S2061">
        <v>-3276.8010000000031</v>
      </c>
      <c r="T2061" s="1" t="s">
        <v>165</v>
      </c>
      <c r="U2061">
        <v>-0.11920690471443</v>
      </c>
    </row>
    <row r="2062" spans="1:21" x14ac:dyDescent="0.3">
      <c r="A2062" s="1" t="s">
        <v>155</v>
      </c>
      <c r="B2062" s="1" t="s">
        <v>95</v>
      </c>
      <c r="C2062" s="2">
        <v>45168</v>
      </c>
      <c r="D2062" s="1" t="s">
        <v>43</v>
      </c>
      <c r="E2062" s="1" t="s">
        <v>44</v>
      </c>
      <c r="F2062">
        <v>6577.99</v>
      </c>
      <c r="G2062">
        <v>14</v>
      </c>
      <c r="H2062" s="1" t="s">
        <v>57</v>
      </c>
      <c r="I2062">
        <v>504.3</v>
      </c>
      <c r="J2062">
        <v>735.95</v>
      </c>
      <c r="K2062" s="1" t="s">
        <v>20</v>
      </c>
      <c r="L2062">
        <v>0.21</v>
      </c>
      <c r="M2062" s="1" t="s">
        <v>21</v>
      </c>
      <c r="N2062" s="1" t="s">
        <v>33</v>
      </c>
      <c r="O2062" s="1" t="s">
        <v>45</v>
      </c>
      <c r="P2062">
        <v>7060.2</v>
      </c>
      <c r="Q2062">
        <v>2023</v>
      </c>
      <c r="R2062">
        <v>8139.6070000000009</v>
      </c>
      <c r="S2062">
        <v>1079.4070000000011</v>
      </c>
      <c r="T2062" s="1" t="s">
        <v>165</v>
      </c>
      <c r="U2062">
        <v>0.13261168506047</v>
      </c>
    </row>
    <row r="2063" spans="1:21" x14ac:dyDescent="0.3">
      <c r="A2063" s="1" t="s">
        <v>155</v>
      </c>
      <c r="B2063" s="1" t="s">
        <v>80</v>
      </c>
      <c r="C2063" s="2">
        <v>45168</v>
      </c>
      <c r="D2063" s="1" t="s">
        <v>59</v>
      </c>
      <c r="E2063" s="1" t="s">
        <v>40</v>
      </c>
      <c r="F2063">
        <v>8660.1200000000008</v>
      </c>
      <c r="G2063">
        <v>25</v>
      </c>
      <c r="H2063" s="1" t="s">
        <v>37</v>
      </c>
      <c r="I2063">
        <v>61.5</v>
      </c>
      <c r="J2063">
        <v>258.92</v>
      </c>
      <c r="K2063" s="1" t="s">
        <v>26</v>
      </c>
      <c r="L2063">
        <v>0.17</v>
      </c>
      <c r="M2063" s="1" t="s">
        <v>27</v>
      </c>
      <c r="N2063" s="1" t="s">
        <v>22</v>
      </c>
      <c r="O2063" s="1" t="s">
        <v>90</v>
      </c>
      <c r="P2063">
        <v>1537.5</v>
      </c>
      <c r="Q2063">
        <v>2023</v>
      </c>
      <c r="R2063">
        <v>5372.59</v>
      </c>
      <c r="S2063">
        <v>3835.09</v>
      </c>
      <c r="T2063" s="1" t="s">
        <v>165</v>
      </c>
      <c r="U2063">
        <v>0.71382517556709102</v>
      </c>
    </row>
    <row r="2064" spans="1:21" x14ac:dyDescent="0.3">
      <c r="A2064" s="1" t="s">
        <v>155</v>
      </c>
      <c r="B2064" s="1" t="s">
        <v>147</v>
      </c>
      <c r="C2064" s="2">
        <v>45169</v>
      </c>
      <c r="D2064" s="1" t="s">
        <v>59</v>
      </c>
      <c r="E2064" s="1" t="s">
        <v>18</v>
      </c>
      <c r="F2064">
        <v>1203.97</v>
      </c>
      <c r="G2064">
        <v>35</v>
      </c>
      <c r="H2064" s="1" t="s">
        <v>57</v>
      </c>
      <c r="I2064">
        <v>3333.64</v>
      </c>
      <c r="J2064">
        <v>3764.52</v>
      </c>
      <c r="K2064" s="1" t="s">
        <v>20</v>
      </c>
      <c r="L2064">
        <v>0.02</v>
      </c>
      <c r="M2064" s="1" t="s">
        <v>27</v>
      </c>
      <c r="N2064" s="1" t="s">
        <v>22</v>
      </c>
      <c r="O2064" s="1" t="s">
        <v>77</v>
      </c>
      <c r="P2064">
        <v>116677.4</v>
      </c>
      <c r="Q2064">
        <v>2023</v>
      </c>
      <c r="R2064">
        <v>129123.03600000001</v>
      </c>
      <c r="S2064">
        <v>12445.636000000013</v>
      </c>
      <c r="T2064" s="1" t="s">
        <v>165</v>
      </c>
      <c r="U2064">
        <v>9.6385868746147005E-2</v>
      </c>
    </row>
    <row r="2065" spans="1:21" x14ac:dyDescent="0.3">
      <c r="A2065" s="1" t="s">
        <v>155</v>
      </c>
      <c r="B2065" s="1" t="s">
        <v>108</v>
      </c>
      <c r="C2065" s="2">
        <v>45169</v>
      </c>
      <c r="D2065" s="1" t="s">
        <v>17</v>
      </c>
      <c r="E2065" s="1" t="s">
        <v>30</v>
      </c>
      <c r="F2065">
        <v>9203.36</v>
      </c>
      <c r="G2065">
        <v>47</v>
      </c>
      <c r="H2065" s="1" t="s">
        <v>57</v>
      </c>
      <c r="I2065">
        <v>4284.9799999999996</v>
      </c>
      <c r="J2065">
        <v>4462.3999999999996</v>
      </c>
      <c r="K2065" s="1" t="s">
        <v>26</v>
      </c>
      <c r="L2065">
        <v>0.28000000000000003</v>
      </c>
      <c r="M2065" s="1" t="s">
        <v>27</v>
      </c>
      <c r="N2065" s="1" t="s">
        <v>33</v>
      </c>
      <c r="O2065" s="1" t="s">
        <v>34</v>
      </c>
      <c r="P2065">
        <v>201394.05999999997</v>
      </c>
      <c r="Q2065">
        <v>2023</v>
      </c>
      <c r="R2065">
        <v>151007.61599999998</v>
      </c>
      <c r="S2065">
        <v>-50386.443999999989</v>
      </c>
      <c r="T2065" s="1" t="s">
        <v>165</v>
      </c>
      <c r="U2065">
        <v>-0.33366823034938797</v>
      </c>
    </row>
    <row r="2066" spans="1:21" x14ac:dyDescent="0.3">
      <c r="A2066" s="1" t="s">
        <v>155</v>
      </c>
      <c r="B2066" s="1" t="s">
        <v>129</v>
      </c>
      <c r="C2066" s="2">
        <v>45169</v>
      </c>
      <c r="D2066" s="1" t="s">
        <v>17</v>
      </c>
      <c r="E2066" s="1" t="s">
        <v>18</v>
      </c>
      <c r="F2066">
        <v>5403</v>
      </c>
      <c r="G2066">
        <v>28</v>
      </c>
      <c r="H2066" s="1" t="s">
        <v>31</v>
      </c>
      <c r="I2066">
        <v>2055.2800000000002</v>
      </c>
      <c r="J2066">
        <v>2449.64</v>
      </c>
      <c r="K2066" s="1" t="s">
        <v>26</v>
      </c>
      <c r="L2066">
        <v>0.19</v>
      </c>
      <c r="M2066" s="1" t="s">
        <v>27</v>
      </c>
      <c r="N2066" s="1" t="s">
        <v>22</v>
      </c>
      <c r="O2066" s="1" t="s">
        <v>23</v>
      </c>
      <c r="P2066">
        <v>57547.840000000004</v>
      </c>
      <c r="Q2066">
        <v>2023</v>
      </c>
      <c r="R2066">
        <v>55557.835200000001</v>
      </c>
      <c r="S2066">
        <v>-1990.0048000000024</v>
      </c>
      <c r="T2066" s="1" t="s">
        <v>165</v>
      </c>
      <c r="U2066">
        <v>-3.5818616633212598E-2</v>
      </c>
    </row>
    <row r="2067" spans="1:21" x14ac:dyDescent="0.3">
      <c r="A2067" s="1" t="s">
        <v>155</v>
      </c>
      <c r="B2067" s="1" t="s">
        <v>120</v>
      </c>
      <c r="C2067" s="2">
        <v>45169</v>
      </c>
      <c r="D2067" s="1" t="s">
        <v>59</v>
      </c>
      <c r="E2067" s="1" t="s">
        <v>44</v>
      </c>
      <c r="F2067">
        <v>3784.52</v>
      </c>
      <c r="G2067">
        <v>25</v>
      </c>
      <c r="H2067" s="1" t="s">
        <v>37</v>
      </c>
      <c r="I2067">
        <v>1156.8800000000001</v>
      </c>
      <c r="J2067">
        <v>1454.68</v>
      </c>
      <c r="K2067" s="1" t="s">
        <v>20</v>
      </c>
      <c r="L2067">
        <v>0.06</v>
      </c>
      <c r="M2067" s="1" t="s">
        <v>27</v>
      </c>
      <c r="N2067" s="1" t="s">
        <v>22</v>
      </c>
      <c r="O2067" s="1" t="s">
        <v>60</v>
      </c>
      <c r="P2067">
        <v>28922.000000000004</v>
      </c>
      <c r="Q2067">
        <v>2023</v>
      </c>
      <c r="R2067">
        <v>34184.979999999996</v>
      </c>
      <c r="S2067">
        <v>5262.9799999999923</v>
      </c>
      <c r="T2067" s="1" t="s">
        <v>165</v>
      </c>
      <c r="U2067">
        <v>0.15395591865199301</v>
      </c>
    </row>
    <row r="2068" spans="1:21" x14ac:dyDescent="0.3">
      <c r="A2068" s="1" t="s">
        <v>155</v>
      </c>
      <c r="B2068" s="1" t="s">
        <v>114</v>
      </c>
      <c r="C2068" s="2">
        <v>45169</v>
      </c>
      <c r="D2068" s="1" t="s">
        <v>59</v>
      </c>
      <c r="E2068" s="1" t="s">
        <v>44</v>
      </c>
      <c r="F2068">
        <v>2260.25</v>
      </c>
      <c r="G2068">
        <v>1</v>
      </c>
      <c r="H2068" s="1" t="s">
        <v>37</v>
      </c>
      <c r="I2068">
        <v>2315.83</v>
      </c>
      <c r="J2068">
        <v>2333.19</v>
      </c>
      <c r="K2068" s="1" t="s">
        <v>26</v>
      </c>
      <c r="L2068">
        <v>0.01</v>
      </c>
      <c r="M2068" s="1" t="s">
        <v>21</v>
      </c>
      <c r="N2068" s="1" t="s">
        <v>33</v>
      </c>
      <c r="O2068" s="1" t="s">
        <v>60</v>
      </c>
      <c r="P2068">
        <v>2315.83</v>
      </c>
      <c r="Q2068">
        <v>2023</v>
      </c>
      <c r="R2068">
        <v>2309.8580999999999</v>
      </c>
      <c r="S2068">
        <v>-5.9719000000000051</v>
      </c>
      <c r="T2068" s="1" t="s">
        <v>165</v>
      </c>
      <c r="U2068">
        <v>-2.58539691247701E-3</v>
      </c>
    </row>
    <row r="2069" spans="1:21" x14ac:dyDescent="0.3">
      <c r="A2069" s="1" t="s">
        <v>155</v>
      </c>
      <c r="B2069" s="1" t="s">
        <v>53</v>
      </c>
      <c r="C2069" s="2">
        <v>45170</v>
      </c>
      <c r="D2069" s="1" t="s">
        <v>25</v>
      </c>
      <c r="E2069" s="1" t="s">
        <v>40</v>
      </c>
      <c r="F2069">
        <v>5437.04</v>
      </c>
      <c r="G2069">
        <v>17</v>
      </c>
      <c r="H2069" s="1" t="s">
        <v>37</v>
      </c>
      <c r="I2069">
        <v>4075.08</v>
      </c>
      <c r="J2069">
        <v>4262.21</v>
      </c>
      <c r="K2069" s="1" t="s">
        <v>26</v>
      </c>
      <c r="L2069">
        <v>0.17</v>
      </c>
      <c r="M2069" s="1" t="s">
        <v>21</v>
      </c>
      <c r="N2069" s="1" t="s">
        <v>22</v>
      </c>
      <c r="O2069" s="1" t="s">
        <v>83</v>
      </c>
      <c r="P2069">
        <v>69276.36</v>
      </c>
      <c r="Q2069">
        <v>2023</v>
      </c>
      <c r="R2069">
        <v>60139.783100000001</v>
      </c>
      <c r="S2069">
        <v>-9136.5769</v>
      </c>
      <c r="T2069" s="1" t="s">
        <v>165</v>
      </c>
      <c r="U2069">
        <v>-0.151922345393361</v>
      </c>
    </row>
    <row r="2070" spans="1:21" x14ac:dyDescent="0.3">
      <c r="A2070" s="1" t="s">
        <v>155</v>
      </c>
      <c r="B2070" s="1" t="s">
        <v>152</v>
      </c>
      <c r="C2070" s="2">
        <v>45170</v>
      </c>
      <c r="D2070" s="1" t="s">
        <v>36</v>
      </c>
      <c r="E2070" s="1" t="s">
        <v>40</v>
      </c>
      <c r="F2070">
        <v>2550.84</v>
      </c>
      <c r="G2070">
        <v>16</v>
      </c>
      <c r="H2070" s="1" t="s">
        <v>19</v>
      </c>
      <c r="I2070">
        <v>97.24</v>
      </c>
      <c r="J2070">
        <v>487.03</v>
      </c>
      <c r="K2070" s="1" t="s">
        <v>26</v>
      </c>
      <c r="L2070">
        <v>0.22</v>
      </c>
      <c r="M2070" s="1" t="s">
        <v>32</v>
      </c>
      <c r="N2070" s="1" t="s">
        <v>33</v>
      </c>
      <c r="O2070" s="1" t="s">
        <v>41</v>
      </c>
      <c r="P2070">
        <v>1555.84</v>
      </c>
      <c r="Q2070">
        <v>2023</v>
      </c>
      <c r="R2070">
        <v>6078.1343999999999</v>
      </c>
      <c r="S2070">
        <v>4522.2943999999998</v>
      </c>
      <c r="T2070" s="1" t="s">
        <v>165</v>
      </c>
      <c r="U2070">
        <v>0.74402671977769996</v>
      </c>
    </row>
    <row r="2071" spans="1:21" x14ac:dyDescent="0.3">
      <c r="A2071" s="1" t="s">
        <v>155</v>
      </c>
      <c r="B2071" s="1" t="s">
        <v>96</v>
      </c>
      <c r="C2071" s="2">
        <v>45171</v>
      </c>
      <c r="D2071" s="1" t="s">
        <v>36</v>
      </c>
      <c r="E2071" s="1" t="s">
        <v>30</v>
      </c>
      <c r="F2071">
        <v>1142.92</v>
      </c>
      <c r="G2071">
        <v>9</v>
      </c>
      <c r="H2071" s="1" t="s">
        <v>31</v>
      </c>
      <c r="I2071">
        <v>760.55</v>
      </c>
      <c r="J2071">
        <v>1086.8900000000001</v>
      </c>
      <c r="K2071" s="1" t="s">
        <v>20</v>
      </c>
      <c r="L2071">
        <v>0.15</v>
      </c>
      <c r="M2071" s="1" t="s">
        <v>21</v>
      </c>
      <c r="N2071" s="1" t="s">
        <v>33</v>
      </c>
      <c r="O2071" s="1" t="s">
        <v>38</v>
      </c>
      <c r="P2071">
        <v>6844.95</v>
      </c>
      <c r="Q2071">
        <v>2023</v>
      </c>
      <c r="R2071">
        <v>8314.7085000000006</v>
      </c>
      <c r="S2071">
        <v>1469.7585000000008</v>
      </c>
      <c r="T2071" s="1" t="s">
        <v>165</v>
      </c>
      <c r="U2071">
        <v>0.176766088672862</v>
      </c>
    </row>
    <row r="2072" spans="1:21" x14ac:dyDescent="0.3">
      <c r="A2072" s="1" t="s">
        <v>155</v>
      </c>
      <c r="B2072" s="1" t="s">
        <v>58</v>
      </c>
      <c r="C2072" s="2">
        <v>45172</v>
      </c>
      <c r="D2072" s="1" t="s">
        <v>36</v>
      </c>
      <c r="E2072" s="1" t="s">
        <v>30</v>
      </c>
      <c r="F2072">
        <v>4285.01</v>
      </c>
      <c r="G2072">
        <v>32</v>
      </c>
      <c r="H2072" s="1" t="s">
        <v>37</v>
      </c>
      <c r="I2072">
        <v>4775.04</v>
      </c>
      <c r="J2072">
        <v>4785.66</v>
      </c>
      <c r="K2072" s="1" t="s">
        <v>26</v>
      </c>
      <c r="L2072">
        <v>0.03</v>
      </c>
      <c r="M2072" s="1" t="s">
        <v>21</v>
      </c>
      <c r="N2072" s="1" t="s">
        <v>22</v>
      </c>
      <c r="O2072" s="1" t="s">
        <v>38</v>
      </c>
      <c r="P2072">
        <v>152801.28</v>
      </c>
      <c r="Q2072">
        <v>2023</v>
      </c>
      <c r="R2072">
        <v>148546.88639999999</v>
      </c>
      <c r="S2072">
        <v>-4254.3936000000103</v>
      </c>
      <c r="T2072" s="1" t="s">
        <v>165</v>
      </c>
      <c r="U2072">
        <v>-2.86400725259497E-2</v>
      </c>
    </row>
    <row r="2073" spans="1:21" x14ac:dyDescent="0.3">
      <c r="A2073" s="1" t="s">
        <v>155</v>
      </c>
      <c r="B2073" s="1" t="s">
        <v>143</v>
      </c>
      <c r="C2073" s="2">
        <v>45172</v>
      </c>
      <c r="D2073" s="1" t="s">
        <v>25</v>
      </c>
      <c r="E2073" s="1" t="s">
        <v>40</v>
      </c>
      <c r="F2073">
        <v>7169.12</v>
      </c>
      <c r="G2073">
        <v>12</v>
      </c>
      <c r="H2073" s="1" t="s">
        <v>37</v>
      </c>
      <c r="I2073">
        <v>2538.61</v>
      </c>
      <c r="J2073">
        <v>2971.75</v>
      </c>
      <c r="K2073" s="1" t="s">
        <v>20</v>
      </c>
      <c r="L2073">
        <v>0.24</v>
      </c>
      <c r="M2073" s="1" t="s">
        <v>21</v>
      </c>
      <c r="N2073" s="1" t="s">
        <v>22</v>
      </c>
      <c r="O2073" s="1" t="s">
        <v>83</v>
      </c>
      <c r="P2073">
        <v>30463.32</v>
      </c>
      <c r="Q2073">
        <v>2023</v>
      </c>
      <c r="R2073">
        <v>27102.36</v>
      </c>
      <c r="S2073">
        <v>-3360.9599999999991</v>
      </c>
      <c r="T2073" s="1" t="s">
        <v>165</v>
      </c>
      <c r="U2073">
        <v>-0.12400986482357999</v>
      </c>
    </row>
    <row r="2074" spans="1:21" x14ac:dyDescent="0.3">
      <c r="A2074" s="1" t="s">
        <v>155</v>
      </c>
      <c r="B2074" s="1" t="s">
        <v>148</v>
      </c>
      <c r="C2074" s="2">
        <v>45173</v>
      </c>
      <c r="D2074" s="1" t="s">
        <v>25</v>
      </c>
      <c r="E2074" s="1" t="s">
        <v>30</v>
      </c>
      <c r="F2074">
        <v>675.11</v>
      </c>
      <c r="G2074">
        <v>44</v>
      </c>
      <c r="H2074" s="1" t="s">
        <v>57</v>
      </c>
      <c r="I2074">
        <v>2085.46</v>
      </c>
      <c r="J2074">
        <v>2406.58</v>
      </c>
      <c r="K2074" s="1" t="s">
        <v>20</v>
      </c>
      <c r="L2074">
        <v>0.06</v>
      </c>
      <c r="M2074" s="1" t="s">
        <v>32</v>
      </c>
      <c r="N2074" s="1" t="s">
        <v>33</v>
      </c>
      <c r="O2074" s="1" t="s">
        <v>92</v>
      </c>
      <c r="P2074">
        <v>91760.24</v>
      </c>
      <c r="Q2074">
        <v>2023</v>
      </c>
      <c r="R2074">
        <v>99536.148799999981</v>
      </c>
      <c r="S2074">
        <v>7775.9087999999756</v>
      </c>
      <c r="T2074" s="1" t="s">
        <v>165</v>
      </c>
      <c r="U2074">
        <v>7.8121455307903001E-2</v>
      </c>
    </row>
    <row r="2075" spans="1:21" x14ac:dyDescent="0.3">
      <c r="A2075" s="1" t="s">
        <v>155</v>
      </c>
      <c r="B2075" s="1" t="s">
        <v>137</v>
      </c>
      <c r="C2075" s="2">
        <v>45173</v>
      </c>
      <c r="D2075" s="1" t="s">
        <v>17</v>
      </c>
      <c r="E2075" s="1" t="s">
        <v>44</v>
      </c>
      <c r="F2075">
        <v>3905.11</v>
      </c>
      <c r="G2075">
        <v>14</v>
      </c>
      <c r="H2075" s="1" t="s">
        <v>57</v>
      </c>
      <c r="I2075">
        <v>1140.58</v>
      </c>
      <c r="J2075">
        <v>1438.76</v>
      </c>
      <c r="K2075" s="1" t="s">
        <v>20</v>
      </c>
      <c r="L2075">
        <v>0.03</v>
      </c>
      <c r="M2075" s="1" t="s">
        <v>32</v>
      </c>
      <c r="N2075" s="1" t="s">
        <v>22</v>
      </c>
      <c r="O2075" s="1" t="s">
        <v>49</v>
      </c>
      <c r="P2075">
        <v>15968.119999999999</v>
      </c>
      <c r="Q2075">
        <v>2023</v>
      </c>
      <c r="R2075">
        <v>19538.360799999999</v>
      </c>
      <c r="S2075">
        <v>3570.2407999999996</v>
      </c>
      <c r="T2075" s="1" t="s">
        <v>165</v>
      </c>
      <c r="U2075">
        <v>0.18272980198011299</v>
      </c>
    </row>
    <row r="2076" spans="1:21" x14ac:dyDescent="0.3">
      <c r="A2076" s="1" t="s">
        <v>155</v>
      </c>
      <c r="B2076" s="1" t="s">
        <v>56</v>
      </c>
      <c r="C2076" s="2">
        <v>45173</v>
      </c>
      <c r="D2076" s="1" t="s">
        <v>59</v>
      </c>
      <c r="E2076" s="1" t="s">
        <v>18</v>
      </c>
      <c r="F2076">
        <v>7215.52</v>
      </c>
      <c r="G2076">
        <v>23</v>
      </c>
      <c r="H2076" s="1" t="s">
        <v>37</v>
      </c>
      <c r="I2076">
        <v>1236.25</v>
      </c>
      <c r="J2076">
        <v>1543.38</v>
      </c>
      <c r="K2076" s="1" t="s">
        <v>26</v>
      </c>
      <c r="L2076">
        <v>0.1</v>
      </c>
      <c r="M2076" s="1" t="s">
        <v>32</v>
      </c>
      <c r="N2076" s="1" t="s">
        <v>22</v>
      </c>
      <c r="O2076" s="1" t="s">
        <v>77</v>
      </c>
      <c r="P2076">
        <v>28433.75</v>
      </c>
      <c r="Q2076">
        <v>2023</v>
      </c>
      <c r="R2076">
        <v>31947.966000000004</v>
      </c>
      <c r="S2076">
        <v>3514.216000000004</v>
      </c>
      <c r="T2076" s="1" t="s">
        <v>165</v>
      </c>
      <c r="U2076">
        <v>0.10999811380793401</v>
      </c>
    </row>
    <row r="2077" spans="1:21" x14ac:dyDescent="0.3">
      <c r="A2077" s="1" t="s">
        <v>155</v>
      </c>
      <c r="B2077" s="1" t="s">
        <v>128</v>
      </c>
      <c r="C2077" s="2">
        <v>45175</v>
      </c>
      <c r="D2077" s="1" t="s">
        <v>25</v>
      </c>
      <c r="E2077" s="1" t="s">
        <v>44</v>
      </c>
      <c r="F2077">
        <v>9705.5499999999993</v>
      </c>
      <c r="G2077">
        <v>4</v>
      </c>
      <c r="H2077" s="1" t="s">
        <v>19</v>
      </c>
      <c r="I2077">
        <v>3730</v>
      </c>
      <c r="J2077">
        <v>3893.6</v>
      </c>
      <c r="K2077" s="1" t="s">
        <v>26</v>
      </c>
      <c r="L2077">
        <v>0.25</v>
      </c>
      <c r="M2077" s="1" t="s">
        <v>32</v>
      </c>
      <c r="N2077" s="1" t="s">
        <v>33</v>
      </c>
      <c r="O2077" s="1" t="s">
        <v>47</v>
      </c>
      <c r="P2077">
        <v>14920</v>
      </c>
      <c r="Q2077">
        <v>2023</v>
      </c>
      <c r="R2077">
        <v>11680.8</v>
      </c>
      <c r="S2077">
        <v>-3239.2000000000007</v>
      </c>
      <c r="T2077" s="1" t="s">
        <v>165</v>
      </c>
      <c r="U2077">
        <v>-0.277309773303198</v>
      </c>
    </row>
    <row r="2078" spans="1:21" x14ac:dyDescent="0.3">
      <c r="A2078" s="1" t="s">
        <v>155</v>
      </c>
      <c r="B2078" s="1" t="s">
        <v>128</v>
      </c>
      <c r="C2078" s="2">
        <v>45175</v>
      </c>
      <c r="D2078" s="1" t="s">
        <v>43</v>
      </c>
      <c r="E2078" s="1" t="s">
        <v>44</v>
      </c>
      <c r="F2078">
        <v>1958.45</v>
      </c>
      <c r="G2078">
        <v>45</v>
      </c>
      <c r="H2078" s="1" t="s">
        <v>19</v>
      </c>
      <c r="I2078">
        <v>2188.4499999999998</v>
      </c>
      <c r="J2078">
        <v>2255.0500000000002</v>
      </c>
      <c r="K2078" s="1" t="s">
        <v>26</v>
      </c>
      <c r="L2078">
        <v>0.11</v>
      </c>
      <c r="M2078" s="1" t="s">
        <v>32</v>
      </c>
      <c r="N2078" s="1" t="s">
        <v>33</v>
      </c>
      <c r="O2078" s="1" t="s">
        <v>45</v>
      </c>
      <c r="P2078">
        <v>98480.249999999985</v>
      </c>
      <c r="Q2078">
        <v>2023</v>
      </c>
      <c r="R2078">
        <v>90314.752500000017</v>
      </c>
      <c r="S2078">
        <v>-8165.4974999999686</v>
      </c>
      <c r="T2078" s="1" t="s">
        <v>165</v>
      </c>
      <c r="U2078">
        <v>-9.04115581781611E-2</v>
      </c>
    </row>
    <row r="2079" spans="1:21" x14ac:dyDescent="0.3">
      <c r="A2079" s="1" t="s">
        <v>155</v>
      </c>
      <c r="B2079" s="1" t="s">
        <v>89</v>
      </c>
      <c r="C2079" s="2">
        <v>45176</v>
      </c>
      <c r="D2079" s="1" t="s">
        <v>59</v>
      </c>
      <c r="E2079" s="1" t="s">
        <v>40</v>
      </c>
      <c r="F2079">
        <v>7413.36</v>
      </c>
      <c r="G2079">
        <v>16</v>
      </c>
      <c r="H2079" s="1" t="s">
        <v>31</v>
      </c>
      <c r="I2079">
        <v>919.58</v>
      </c>
      <c r="J2079">
        <v>1258.3</v>
      </c>
      <c r="K2079" s="1" t="s">
        <v>20</v>
      </c>
      <c r="L2079">
        <v>0.14000000000000001</v>
      </c>
      <c r="M2079" s="1" t="s">
        <v>32</v>
      </c>
      <c r="N2079" s="1" t="s">
        <v>22</v>
      </c>
      <c r="O2079" s="1" t="s">
        <v>90</v>
      </c>
      <c r="P2079">
        <v>14713.28</v>
      </c>
      <c r="Q2079">
        <v>2023</v>
      </c>
      <c r="R2079">
        <v>17314.207999999999</v>
      </c>
      <c r="S2079">
        <v>2600.9279999999981</v>
      </c>
      <c r="T2079" s="1" t="s">
        <v>165</v>
      </c>
      <c r="U2079">
        <v>0.150219288112976</v>
      </c>
    </row>
    <row r="2080" spans="1:21" x14ac:dyDescent="0.3">
      <c r="A2080" s="1" t="s">
        <v>155</v>
      </c>
      <c r="B2080" s="1" t="s">
        <v>152</v>
      </c>
      <c r="C2080" s="2">
        <v>45176</v>
      </c>
      <c r="D2080" s="1" t="s">
        <v>43</v>
      </c>
      <c r="E2080" s="1" t="s">
        <v>40</v>
      </c>
      <c r="F2080">
        <v>6882.83</v>
      </c>
      <c r="G2080">
        <v>27</v>
      </c>
      <c r="H2080" s="1" t="s">
        <v>37</v>
      </c>
      <c r="I2080">
        <v>2387.52</v>
      </c>
      <c r="J2080">
        <v>2604.06</v>
      </c>
      <c r="K2080" s="1" t="s">
        <v>20</v>
      </c>
      <c r="L2080">
        <v>0.16</v>
      </c>
      <c r="M2080" s="1" t="s">
        <v>21</v>
      </c>
      <c r="N2080" s="1" t="s">
        <v>22</v>
      </c>
      <c r="O2080" s="1" t="s">
        <v>99</v>
      </c>
      <c r="P2080">
        <v>64463.040000000001</v>
      </c>
      <c r="Q2080">
        <v>2023</v>
      </c>
      <c r="R2080">
        <v>59060.080799999996</v>
      </c>
      <c r="S2080">
        <v>-5402.9592000000048</v>
      </c>
      <c r="T2080" s="1" t="s">
        <v>165</v>
      </c>
      <c r="U2080">
        <v>-9.1482421405695194E-2</v>
      </c>
    </row>
    <row r="2081" spans="1:21" x14ac:dyDescent="0.3">
      <c r="A2081" s="1" t="s">
        <v>155</v>
      </c>
      <c r="B2081" s="1" t="s">
        <v>73</v>
      </c>
      <c r="C2081" s="2">
        <v>45176</v>
      </c>
      <c r="D2081" s="1" t="s">
        <v>43</v>
      </c>
      <c r="E2081" s="1" t="s">
        <v>18</v>
      </c>
      <c r="F2081">
        <v>4716.3599999999997</v>
      </c>
      <c r="G2081">
        <v>37</v>
      </c>
      <c r="H2081" s="1" t="s">
        <v>19</v>
      </c>
      <c r="I2081">
        <v>1754.32</v>
      </c>
      <c r="J2081">
        <v>1856.4</v>
      </c>
      <c r="K2081" s="1" t="s">
        <v>26</v>
      </c>
      <c r="L2081">
        <v>0.21</v>
      </c>
      <c r="M2081" s="1" t="s">
        <v>32</v>
      </c>
      <c r="N2081" s="1" t="s">
        <v>33</v>
      </c>
      <c r="O2081" s="1" t="s">
        <v>62</v>
      </c>
      <c r="P2081">
        <v>64909.84</v>
      </c>
      <c r="Q2081">
        <v>2023</v>
      </c>
      <c r="R2081">
        <v>54262.572000000007</v>
      </c>
      <c r="S2081">
        <v>-10647.267999999989</v>
      </c>
      <c r="T2081" s="1" t="s">
        <v>165</v>
      </c>
      <c r="U2081">
        <v>-0.196217532777473</v>
      </c>
    </row>
    <row r="2082" spans="1:21" x14ac:dyDescent="0.3">
      <c r="A2082" s="1" t="s">
        <v>155</v>
      </c>
      <c r="B2082" s="1" t="s">
        <v>128</v>
      </c>
      <c r="C2082" s="2">
        <v>45177</v>
      </c>
      <c r="D2082" s="1" t="s">
        <v>17</v>
      </c>
      <c r="E2082" s="1" t="s">
        <v>18</v>
      </c>
      <c r="F2082">
        <v>9733.4699999999993</v>
      </c>
      <c r="G2082">
        <v>26</v>
      </c>
      <c r="H2082" s="1" t="s">
        <v>19</v>
      </c>
      <c r="I2082">
        <v>4472.3500000000004</v>
      </c>
      <c r="J2082">
        <v>4770.42</v>
      </c>
      <c r="K2082" s="1" t="s">
        <v>26</v>
      </c>
      <c r="L2082">
        <v>0.01</v>
      </c>
      <c r="M2082" s="1" t="s">
        <v>27</v>
      </c>
      <c r="N2082" s="1" t="s">
        <v>33</v>
      </c>
      <c r="O2082" s="1" t="s">
        <v>23</v>
      </c>
      <c r="P2082">
        <v>116281.1</v>
      </c>
      <c r="Q2082">
        <v>2023</v>
      </c>
      <c r="R2082">
        <v>122790.61079999999</v>
      </c>
      <c r="S2082">
        <v>6509.5107999999891</v>
      </c>
      <c r="T2082" s="1" t="s">
        <v>165</v>
      </c>
      <c r="U2082">
        <v>5.3013098946161401E-2</v>
      </c>
    </row>
    <row r="2083" spans="1:21" x14ac:dyDescent="0.3">
      <c r="A2083" s="1" t="s">
        <v>155</v>
      </c>
      <c r="B2083" s="1" t="s">
        <v>46</v>
      </c>
      <c r="C2083" s="2">
        <v>45177</v>
      </c>
      <c r="D2083" s="1" t="s">
        <v>25</v>
      </c>
      <c r="E2083" s="1" t="s">
        <v>18</v>
      </c>
      <c r="F2083">
        <v>119.72</v>
      </c>
      <c r="G2083">
        <v>20</v>
      </c>
      <c r="H2083" s="1" t="s">
        <v>19</v>
      </c>
      <c r="I2083">
        <v>193.27</v>
      </c>
      <c r="J2083">
        <v>297.69</v>
      </c>
      <c r="K2083" s="1" t="s">
        <v>26</v>
      </c>
      <c r="L2083">
        <v>0.22</v>
      </c>
      <c r="M2083" s="1" t="s">
        <v>21</v>
      </c>
      <c r="N2083" s="1" t="s">
        <v>22</v>
      </c>
      <c r="O2083" s="1" t="s">
        <v>28</v>
      </c>
      <c r="P2083">
        <v>3865.4</v>
      </c>
      <c r="Q2083">
        <v>2023</v>
      </c>
      <c r="R2083">
        <v>4643.9639999999999</v>
      </c>
      <c r="S2083">
        <v>778.56399999999985</v>
      </c>
      <c r="T2083" s="1" t="s">
        <v>165</v>
      </c>
      <c r="U2083">
        <v>0.16765073975594999</v>
      </c>
    </row>
    <row r="2084" spans="1:21" x14ac:dyDescent="0.3">
      <c r="A2084" s="1" t="s">
        <v>155</v>
      </c>
      <c r="B2084" s="1" t="s">
        <v>24</v>
      </c>
      <c r="C2084" s="2">
        <v>45177</v>
      </c>
      <c r="D2084" s="1" t="s">
        <v>43</v>
      </c>
      <c r="E2084" s="1" t="s">
        <v>40</v>
      </c>
      <c r="F2084">
        <v>5228.28</v>
      </c>
      <c r="G2084">
        <v>40</v>
      </c>
      <c r="H2084" s="1" t="s">
        <v>31</v>
      </c>
      <c r="I2084">
        <v>4089.66</v>
      </c>
      <c r="J2084">
        <v>4275.96</v>
      </c>
      <c r="K2084" s="1" t="s">
        <v>26</v>
      </c>
      <c r="L2084">
        <v>0.23</v>
      </c>
      <c r="M2084" s="1" t="s">
        <v>27</v>
      </c>
      <c r="N2084" s="1" t="s">
        <v>22</v>
      </c>
      <c r="O2084" s="1" t="s">
        <v>99</v>
      </c>
      <c r="P2084">
        <v>163586.4</v>
      </c>
      <c r="Q2084">
        <v>2023</v>
      </c>
      <c r="R2084">
        <v>131699.568</v>
      </c>
      <c r="S2084">
        <v>-31886.831999999995</v>
      </c>
      <c r="T2084" s="1" t="s">
        <v>165</v>
      </c>
      <c r="U2084">
        <v>-0.242117969589695</v>
      </c>
    </row>
    <row r="2085" spans="1:21" x14ac:dyDescent="0.3">
      <c r="A2085" s="1" t="s">
        <v>155</v>
      </c>
      <c r="B2085" s="1" t="s">
        <v>139</v>
      </c>
      <c r="C2085" s="2">
        <v>45177</v>
      </c>
      <c r="D2085" s="1" t="s">
        <v>17</v>
      </c>
      <c r="E2085" s="1" t="s">
        <v>18</v>
      </c>
      <c r="F2085">
        <v>7103.23</v>
      </c>
      <c r="G2085">
        <v>9</v>
      </c>
      <c r="H2085" s="1" t="s">
        <v>37</v>
      </c>
      <c r="I2085">
        <v>4737.0600000000004</v>
      </c>
      <c r="J2085">
        <v>4869.5</v>
      </c>
      <c r="K2085" s="1" t="s">
        <v>26</v>
      </c>
      <c r="L2085">
        <v>7.0000000000000007E-2</v>
      </c>
      <c r="M2085" s="1" t="s">
        <v>21</v>
      </c>
      <c r="N2085" s="1" t="s">
        <v>22</v>
      </c>
      <c r="O2085" s="1" t="s">
        <v>23</v>
      </c>
      <c r="P2085">
        <v>42633.54</v>
      </c>
      <c r="Q2085">
        <v>2023</v>
      </c>
      <c r="R2085">
        <v>40757.714999999997</v>
      </c>
      <c r="S2085">
        <v>-1875.8250000000044</v>
      </c>
      <c r="T2085" s="1" t="s">
        <v>165</v>
      </c>
      <c r="U2085">
        <v>-4.6023801874074698E-2</v>
      </c>
    </row>
    <row r="2086" spans="1:21" x14ac:dyDescent="0.3">
      <c r="A2086" s="1" t="s">
        <v>155</v>
      </c>
      <c r="B2086" s="1" t="s">
        <v>109</v>
      </c>
      <c r="C2086" s="2">
        <v>45177</v>
      </c>
      <c r="D2086" s="1" t="s">
        <v>59</v>
      </c>
      <c r="E2086" s="1" t="s">
        <v>18</v>
      </c>
      <c r="F2086">
        <v>8398.48</v>
      </c>
      <c r="G2086">
        <v>30</v>
      </c>
      <c r="H2086" s="1" t="s">
        <v>31</v>
      </c>
      <c r="I2086">
        <v>320.73</v>
      </c>
      <c r="J2086">
        <v>678.04</v>
      </c>
      <c r="K2086" s="1" t="s">
        <v>20</v>
      </c>
      <c r="L2086">
        <v>0.08</v>
      </c>
      <c r="M2086" s="1" t="s">
        <v>21</v>
      </c>
      <c r="N2086" s="1" t="s">
        <v>33</v>
      </c>
      <c r="O2086" s="1" t="s">
        <v>77</v>
      </c>
      <c r="P2086">
        <v>9621.9000000000015</v>
      </c>
      <c r="Q2086">
        <v>2023</v>
      </c>
      <c r="R2086">
        <v>18713.903999999999</v>
      </c>
      <c r="S2086">
        <v>9092.0039999999972</v>
      </c>
      <c r="T2086" s="1" t="s">
        <v>165</v>
      </c>
      <c r="U2086">
        <v>0.48584218450623601</v>
      </c>
    </row>
    <row r="2087" spans="1:21" x14ac:dyDescent="0.3">
      <c r="A2087" s="1" t="s">
        <v>155</v>
      </c>
      <c r="B2087" s="1" t="s">
        <v>117</v>
      </c>
      <c r="C2087" s="2">
        <v>45180</v>
      </c>
      <c r="D2087" s="1" t="s">
        <v>17</v>
      </c>
      <c r="E2087" s="1" t="s">
        <v>30</v>
      </c>
      <c r="F2087">
        <v>7597.37</v>
      </c>
      <c r="G2087">
        <v>23</v>
      </c>
      <c r="H2087" s="1" t="s">
        <v>37</v>
      </c>
      <c r="I2087">
        <v>608.57000000000005</v>
      </c>
      <c r="J2087">
        <v>1032.22</v>
      </c>
      <c r="K2087" s="1" t="s">
        <v>26</v>
      </c>
      <c r="L2087">
        <v>0.25</v>
      </c>
      <c r="M2087" s="1" t="s">
        <v>21</v>
      </c>
      <c r="N2087" s="1" t="s">
        <v>33</v>
      </c>
      <c r="O2087" s="1" t="s">
        <v>34</v>
      </c>
      <c r="P2087">
        <v>13997.11</v>
      </c>
      <c r="Q2087">
        <v>2023</v>
      </c>
      <c r="R2087">
        <v>17805.795000000002</v>
      </c>
      <c r="S2087">
        <v>3808.6850000000013</v>
      </c>
      <c r="T2087" s="1" t="s">
        <v>165</v>
      </c>
      <c r="U2087">
        <v>0.213901429281871</v>
      </c>
    </row>
    <row r="2088" spans="1:21" x14ac:dyDescent="0.3">
      <c r="A2088" s="1" t="s">
        <v>155</v>
      </c>
      <c r="B2088" s="1" t="s">
        <v>111</v>
      </c>
      <c r="C2088" s="2">
        <v>45180</v>
      </c>
      <c r="D2088" s="1" t="s">
        <v>36</v>
      </c>
      <c r="E2088" s="1" t="s">
        <v>44</v>
      </c>
      <c r="F2088">
        <v>9514.19</v>
      </c>
      <c r="G2088">
        <v>22</v>
      </c>
      <c r="H2088" s="1" t="s">
        <v>57</v>
      </c>
      <c r="I2088">
        <v>4218.43</v>
      </c>
      <c r="J2088">
        <v>4331.42</v>
      </c>
      <c r="K2088" s="1" t="s">
        <v>26</v>
      </c>
      <c r="L2088">
        <v>0.26</v>
      </c>
      <c r="M2088" s="1" t="s">
        <v>32</v>
      </c>
      <c r="N2088" s="1" t="s">
        <v>22</v>
      </c>
      <c r="O2088" s="1" t="s">
        <v>71</v>
      </c>
      <c r="P2088">
        <v>92805.46</v>
      </c>
      <c r="Q2088">
        <v>2023</v>
      </c>
      <c r="R2088">
        <v>70515.517600000006</v>
      </c>
      <c r="S2088">
        <v>-22289.9424</v>
      </c>
      <c r="T2088" s="1" t="s">
        <v>165</v>
      </c>
      <c r="U2088">
        <v>-0.31609981970833601</v>
      </c>
    </row>
    <row r="2089" spans="1:21" x14ac:dyDescent="0.3">
      <c r="A2089" s="1" t="s">
        <v>155</v>
      </c>
      <c r="B2089" s="1" t="s">
        <v>130</v>
      </c>
      <c r="C2089" s="2">
        <v>45181</v>
      </c>
      <c r="D2089" s="1" t="s">
        <v>25</v>
      </c>
      <c r="E2089" s="1" t="s">
        <v>44</v>
      </c>
      <c r="F2089">
        <v>8406.07</v>
      </c>
      <c r="G2089">
        <v>48</v>
      </c>
      <c r="H2089" s="1" t="s">
        <v>31</v>
      </c>
      <c r="I2089">
        <v>556.72</v>
      </c>
      <c r="J2089">
        <v>665.07</v>
      </c>
      <c r="K2089" s="1" t="s">
        <v>20</v>
      </c>
      <c r="L2089">
        <v>0.01</v>
      </c>
      <c r="M2089" s="1" t="s">
        <v>32</v>
      </c>
      <c r="N2089" s="1" t="s">
        <v>33</v>
      </c>
      <c r="O2089" s="1" t="s">
        <v>47</v>
      </c>
      <c r="P2089">
        <v>26722.560000000001</v>
      </c>
      <c r="Q2089">
        <v>2023</v>
      </c>
      <c r="R2089">
        <v>31604.126400000001</v>
      </c>
      <c r="S2089">
        <v>4881.5663999999997</v>
      </c>
      <c r="T2089" s="1" t="s">
        <v>165</v>
      </c>
      <c r="U2089">
        <v>0.15445977965712701</v>
      </c>
    </row>
    <row r="2090" spans="1:21" x14ac:dyDescent="0.3">
      <c r="A2090" s="1" t="s">
        <v>155</v>
      </c>
      <c r="B2090" s="1" t="s">
        <v>75</v>
      </c>
      <c r="C2090" s="2">
        <v>45182</v>
      </c>
      <c r="D2090" s="1" t="s">
        <v>43</v>
      </c>
      <c r="E2090" s="1" t="s">
        <v>30</v>
      </c>
      <c r="F2090">
        <v>2929.01</v>
      </c>
      <c r="G2090">
        <v>5</v>
      </c>
      <c r="H2090" s="1" t="s">
        <v>31</v>
      </c>
      <c r="I2090">
        <v>1941.56</v>
      </c>
      <c r="J2090">
        <v>2385.48</v>
      </c>
      <c r="K2090" s="1" t="s">
        <v>20</v>
      </c>
      <c r="L2090">
        <v>0.15</v>
      </c>
      <c r="M2090" s="1" t="s">
        <v>27</v>
      </c>
      <c r="N2090" s="1" t="s">
        <v>22</v>
      </c>
      <c r="O2090" s="1" t="s">
        <v>54</v>
      </c>
      <c r="P2090">
        <v>9707.7999999999993</v>
      </c>
      <c r="Q2090">
        <v>2023</v>
      </c>
      <c r="R2090">
        <v>10138.289999999999</v>
      </c>
      <c r="S2090">
        <v>430.48999999999978</v>
      </c>
      <c r="T2090" s="1" t="s">
        <v>165</v>
      </c>
      <c r="U2090">
        <v>4.2461795825528698E-2</v>
      </c>
    </row>
    <row r="2091" spans="1:21" x14ac:dyDescent="0.3">
      <c r="A2091" s="1" t="s">
        <v>155</v>
      </c>
      <c r="B2091" s="1" t="s">
        <v>134</v>
      </c>
      <c r="C2091" s="2">
        <v>45183</v>
      </c>
      <c r="D2091" s="1" t="s">
        <v>17</v>
      </c>
      <c r="E2091" s="1" t="s">
        <v>30</v>
      </c>
      <c r="F2091">
        <v>2126.33</v>
      </c>
      <c r="G2091">
        <v>39</v>
      </c>
      <c r="H2091" s="1" t="s">
        <v>57</v>
      </c>
      <c r="I2091">
        <v>2437.2600000000002</v>
      </c>
      <c r="J2091">
        <v>2889.67</v>
      </c>
      <c r="K2091" s="1" t="s">
        <v>20</v>
      </c>
      <c r="L2091">
        <v>0.25</v>
      </c>
      <c r="M2091" s="1" t="s">
        <v>21</v>
      </c>
      <c r="N2091" s="1" t="s">
        <v>22</v>
      </c>
      <c r="O2091" s="1" t="s">
        <v>34</v>
      </c>
      <c r="P2091">
        <v>95053.140000000014</v>
      </c>
      <c r="Q2091">
        <v>2023</v>
      </c>
      <c r="R2091">
        <v>84522.847500000003</v>
      </c>
      <c r="S2091">
        <v>-10530.29250000001</v>
      </c>
      <c r="T2091" s="1" t="s">
        <v>165</v>
      </c>
      <c r="U2091">
        <v>-0.12458516024321099</v>
      </c>
    </row>
    <row r="2092" spans="1:21" x14ac:dyDescent="0.3">
      <c r="A2092" s="1" t="s">
        <v>155</v>
      </c>
      <c r="B2092" s="1" t="s">
        <v>55</v>
      </c>
      <c r="C2092" s="2">
        <v>45183</v>
      </c>
      <c r="D2092" s="1" t="s">
        <v>25</v>
      </c>
      <c r="E2092" s="1" t="s">
        <v>40</v>
      </c>
      <c r="F2092">
        <v>7122.28</v>
      </c>
      <c r="G2092">
        <v>47</v>
      </c>
      <c r="H2092" s="1" t="s">
        <v>19</v>
      </c>
      <c r="I2092">
        <v>2357.9499999999998</v>
      </c>
      <c r="J2092">
        <v>2693.33</v>
      </c>
      <c r="K2092" s="1" t="s">
        <v>26</v>
      </c>
      <c r="L2092">
        <v>0.18</v>
      </c>
      <c r="M2092" s="1" t="s">
        <v>32</v>
      </c>
      <c r="N2092" s="1" t="s">
        <v>22</v>
      </c>
      <c r="O2092" s="1" t="s">
        <v>83</v>
      </c>
      <c r="P2092">
        <v>110823.65</v>
      </c>
      <c r="Q2092">
        <v>2023</v>
      </c>
      <c r="R2092">
        <v>103800.9382</v>
      </c>
      <c r="S2092">
        <v>-7022.71179999999</v>
      </c>
      <c r="T2092" s="1" t="s">
        <v>165</v>
      </c>
      <c r="U2092">
        <v>-6.7655571537020898E-2</v>
      </c>
    </row>
    <row r="2093" spans="1:21" x14ac:dyDescent="0.3">
      <c r="A2093" s="1" t="s">
        <v>155</v>
      </c>
      <c r="B2093" s="1" t="s">
        <v>111</v>
      </c>
      <c r="C2093" s="2">
        <v>45183</v>
      </c>
      <c r="D2093" s="1" t="s">
        <v>43</v>
      </c>
      <c r="E2093" s="1" t="s">
        <v>40</v>
      </c>
      <c r="F2093">
        <v>3755.88</v>
      </c>
      <c r="G2093">
        <v>15</v>
      </c>
      <c r="H2093" s="1" t="s">
        <v>19</v>
      </c>
      <c r="I2093">
        <v>3286.24</v>
      </c>
      <c r="J2093">
        <v>3388.84</v>
      </c>
      <c r="K2093" s="1" t="s">
        <v>20</v>
      </c>
      <c r="L2093">
        <v>0.09</v>
      </c>
      <c r="M2093" s="1" t="s">
        <v>27</v>
      </c>
      <c r="N2093" s="1" t="s">
        <v>33</v>
      </c>
      <c r="O2093" s="1" t="s">
        <v>99</v>
      </c>
      <c r="P2093">
        <v>49293.599999999999</v>
      </c>
      <c r="Q2093">
        <v>2023</v>
      </c>
      <c r="R2093">
        <v>46257.666000000005</v>
      </c>
      <c r="S2093">
        <v>-3035.9339999999938</v>
      </c>
      <c r="T2093" s="1" t="s">
        <v>165</v>
      </c>
      <c r="U2093">
        <v>-6.5630937799585398E-2</v>
      </c>
    </row>
    <row r="2094" spans="1:21" x14ac:dyDescent="0.3">
      <c r="A2094" s="1" t="s">
        <v>155</v>
      </c>
      <c r="B2094" s="1" t="s">
        <v>52</v>
      </c>
      <c r="C2094" s="2">
        <v>45183</v>
      </c>
      <c r="D2094" s="1" t="s">
        <v>36</v>
      </c>
      <c r="E2094" s="1" t="s">
        <v>30</v>
      </c>
      <c r="F2094">
        <v>8389.93</v>
      </c>
      <c r="G2094">
        <v>29</v>
      </c>
      <c r="H2094" s="1" t="s">
        <v>31</v>
      </c>
      <c r="I2094">
        <v>173.67</v>
      </c>
      <c r="J2094">
        <v>565.62</v>
      </c>
      <c r="K2094" s="1" t="s">
        <v>20</v>
      </c>
      <c r="L2094">
        <v>0.3</v>
      </c>
      <c r="M2094" s="1" t="s">
        <v>21</v>
      </c>
      <c r="N2094" s="1" t="s">
        <v>22</v>
      </c>
      <c r="O2094" s="1" t="s">
        <v>38</v>
      </c>
      <c r="P2094">
        <v>5036.4299999999994</v>
      </c>
      <c r="Q2094">
        <v>2023</v>
      </c>
      <c r="R2094">
        <v>11482.085999999999</v>
      </c>
      <c r="S2094">
        <v>6445.6559999999999</v>
      </c>
      <c r="T2094" s="1" t="s">
        <v>165</v>
      </c>
      <c r="U2094">
        <v>0.56136628832078095</v>
      </c>
    </row>
    <row r="2095" spans="1:21" x14ac:dyDescent="0.3">
      <c r="A2095" s="1" t="s">
        <v>155</v>
      </c>
      <c r="B2095" s="1" t="s">
        <v>78</v>
      </c>
      <c r="C2095" s="2">
        <v>45184</v>
      </c>
      <c r="D2095" s="1" t="s">
        <v>43</v>
      </c>
      <c r="E2095" s="1" t="s">
        <v>30</v>
      </c>
      <c r="F2095">
        <v>2509.63</v>
      </c>
      <c r="G2095">
        <v>16</v>
      </c>
      <c r="H2095" s="1" t="s">
        <v>37</v>
      </c>
      <c r="I2095">
        <v>4557.79</v>
      </c>
      <c r="J2095">
        <v>5043.3599999999997</v>
      </c>
      <c r="K2095" s="1" t="s">
        <v>20</v>
      </c>
      <c r="L2095">
        <v>0.14000000000000001</v>
      </c>
      <c r="M2095" s="1" t="s">
        <v>27</v>
      </c>
      <c r="N2095" s="1" t="s">
        <v>33</v>
      </c>
      <c r="O2095" s="1" t="s">
        <v>54</v>
      </c>
      <c r="P2095">
        <v>72924.639999999999</v>
      </c>
      <c r="Q2095">
        <v>2023</v>
      </c>
      <c r="R2095">
        <v>69396.633600000001</v>
      </c>
      <c r="S2095">
        <v>-3528.0063999999984</v>
      </c>
      <c r="T2095" s="1" t="s">
        <v>165</v>
      </c>
      <c r="U2095">
        <v>-5.0838293112823202E-2</v>
      </c>
    </row>
    <row r="2096" spans="1:21" x14ac:dyDescent="0.3">
      <c r="A2096" s="1" t="s">
        <v>155</v>
      </c>
      <c r="B2096" s="1" t="s">
        <v>113</v>
      </c>
      <c r="C2096" s="2">
        <v>45185</v>
      </c>
      <c r="D2096" s="1" t="s">
        <v>43</v>
      </c>
      <c r="E2096" s="1" t="s">
        <v>18</v>
      </c>
      <c r="F2096">
        <v>8995.75</v>
      </c>
      <c r="G2096">
        <v>49</v>
      </c>
      <c r="H2096" s="1" t="s">
        <v>57</v>
      </c>
      <c r="I2096">
        <v>2843.76</v>
      </c>
      <c r="J2096">
        <v>3146.6</v>
      </c>
      <c r="K2096" s="1" t="s">
        <v>26</v>
      </c>
      <c r="L2096">
        <v>0.08</v>
      </c>
      <c r="M2096" s="1" t="s">
        <v>21</v>
      </c>
      <c r="N2096" s="1" t="s">
        <v>33</v>
      </c>
      <c r="O2096" s="1" t="s">
        <v>62</v>
      </c>
      <c r="P2096">
        <v>139344.24000000002</v>
      </c>
      <c r="Q2096">
        <v>2023</v>
      </c>
      <c r="R2096">
        <v>141848.728</v>
      </c>
      <c r="S2096">
        <v>2504.487999999983</v>
      </c>
      <c r="T2096" s="1" t="s">
        <v>165</v>
      </c>
      <c r="U2096">
        <v>1.7656048350324201E-2</v>
      </c>
    </row>
    <row r="2097" spans="1:21" x14ac:dyDescent="0.3">
      <c r="A2097" s="1" t="s">
        <v>155</v>
      </c>
      <c r="B2097" s="1" t="s">
        <v>94</v>
      </c>
      <c r="C2097" s="2">
        <v>45185</v>
      </c>
      <c r="D2097" s="1" t="s">
        <v>36</v>
      </c>
      <c r="E2097" s="1" t="s">
        <v>30</v>
      </c>
      <c r="F2097">
        <v>1916.08</v>
      </c>
      <c r="G2097">
        <v>19</v>
      </c>
      <c r="H2097" s="1" t="s">
        <v>37</v>
      </c>
      <c r="I2097">
        <v>1427.42</v>
      </c>
      <c r="J2097">
        <v>1763.69</v>
      </c>
      <c r="K2097" s="1" t="s">
        <v>26</v>
      </c>
      <c r="L2097">
        <v>0.03</v>
      </c>
      <c r="M2097" s="1" t="s">
        <v>21</v>
      </c>
      <c r="N2097" s="1" t="s">
        <v>33</v>
      </c>
      <c r="O2097" s="1" t="s">
        <v>38</v>
      </c>
      <c r="P2097">
        <v>27120.980000000003</v>
      </c>
      <c r="Q2097">
        <v>2023</v>
      </c>
      <c r="R2097">
        <v>32504.806700000001</v>
      </c>
      <c r="S2097">
        <v>5383.8266999999978</v>
      </c>
      <c r="T2097" s="1" t="s">
        <v>165</v>
      </c>
      <c r="U2097">
        <v>0.16563170947883199</v>
      </c>
    </row>
    <row r="2098" spans="1:21" x14ac:dyDescent="0.3">
      <c r="A2098" s="1" t="s">
        <v>155</v>
      </c>
      <c r="B2098" s="1" t="s">
        <v>136</v>
      </c>
      <c r="C2098" s="2">
        <v>45186</v>
      </c>
      <c r="D2098" s="1" t="s">
        <v>25</v>
      </c>
      <c r="E2098" s="1" t="s">
        <v>18</v>
      </c>
      <c r="F2098">
        <v>4795.12</v>
      </c>
      <c r="G2098">
        <v>17</v>
      </c>
      <c r="H2098" s="1" t="s">
        <v>37</v>
      </c>
      <c r="I2098">
        <v>83.64</v>
      </c>
      <c r="J2098">
        <v>528.49</v>
      </c>
      <c r="K2098" s="1" t="s">
        <v>26</v>
      </c>
      <c r="L2098">
        <v>0.13</v>
      </c>
      <c r="M2098" s="1" t="s">
        <v>27</v>
      </c>
      <c r="N2098" s="1" t="s">
        <v>22</v>
      </c>
      <c r="O2098" s="1" t="s">
        <v>28</v>
      </c>
      <c r="P2098">
        <v>1421.88</v>
      </c>
      <c r="Q2098">
        <v>2023</v>
      </c>
      <c r="R2098">
        <v>7816.3670999999995</v>
      </c>
      <c r="S2098">
        <v>6394.4870999999994</v>
      </c>
      <c r="T2098" s="1" t="s">
        <v>165</v>
      </c>
      <c r="U2098">
        <v>0.81808940370776595</v>
      </c>
    </row>
    <row r="2099" spans="1:21" x14ac:dyDescent="0.3">
      <c r="A2099" s="1" t="s">
        <v>155</v>
      </c>
      <c r="B2099" s="1" t="s">
        <v>149</v>
      </c>
      <c r="C2099" s="2">
        <v>45187</v>
      </c>
      <c r="D2099" s="1" t="s">
        <v>36</v>
      </c>
      <c r="E2099" s="1" t="s">
        <v>40</v>
      </c>
      <c r="F2099">
        <v>4040.25</v>
      </c>
      <c r="G2099">
        <v>19</v>
      </c>
      <c r="H2099" s="1" t="s">
        <v>37</v>
      </c>
      <c r="I2099">
        <v>3808.59</v>
      </c>
      <c r="J2099">
        <v>3844.51</v>
      </c>
      <c r="K2099" s="1" t="s">
        <v>26</v>
      </c>
      <c r="L2099">
        <v>0.21</v>
      </c>
      <c r="M2099" s="1" t="s">
        <v>27</v>
      </c>
      <c r="N2099" s="1" t="s">
        <v>22</v>
      </c>
      <c r="O2099" s="1" t="s">
        <v>41</v>
      </c>
      <c r="P2099">
        <v>72363.210000000006</v>
      </c>
      <c r="Q2099">
        <v>2023</v>
      </c>
      <c r="R2099">
        <v>57706.095100000006</v>
      </c>
      <c r="S2099">
        <v>-14657.1149</v>
      </c>
      <c r="T2099" s="1" t="s">
        <v>165</v>
      </c>
      <c r="U2099">
        <v>-0.25399595787239498</v>
      </c>
    </row>
    <row r="2100" spans="1:21" x14ac:dyDescent="0.3">
      <c r="A2100" s="1" t="s">
        <v>155</v>
      </c>
      <c r="B2100" s="1" t="s">
        <v>74</v>
      </c>
      <c r="C2100" s="2">
        <v>45187</v>
      </c>
      <c r="D2100" s="1" t="s">
        <v>25</v>
      </c>
      <c r="E2100" s="1" t="s">
        <v>40</v>
      </c>
      <c r="F2100">
        <v>7315.73</v>
      </c>
      <c r="G2100">
        <v>25</v>
      </c>
      <c r="H2100" s="1" t="s">
        <v>57</v>
      </c>
      <c r="I2100">
        <v>1821.91</v>
      </c>
      <c r="J2100">
        <v>2027.74</v>
      </c>
      <c r="K2100" s="1" t="s">
        <v>26</v>
      </c>
      <c r="L2100">
        <v>0.02</v>
      </c>
      <c r="M2100" s="1" t="s">
        <v>32</v>
      </c>
      <c r="N2100" s="1" t="s">
        <v>33</v>
      </c>
      <c r="O2100" s="1" t="s">
        <v>83</v>
      </c>
      <c r="P2100">
        <v>45547.75</v>
      </c>
      <c r="Q2100">
        <v>2023</v>
      </c>
      <c r="R2100">
        <v>49679.63</v>
      </c>
      <c r="S2100">
        <v>4131.8799999999974</v>
      </c>
      <c r="T2100" s="1" t="s">
        <v>165</v>
      </c>
      <c r="U2100">
        <v>8.3170506704659405E-2</v>
      </c>
    </row>
    <row r="2101" spans="1:21" x14ac:dyDescent="0.3">
      <c r="A2101" s="1" t="s">
        <v>155</v>
      </c>
      <c r="B2101" s="1" t="s">
        <v>113</v>
      </c>
      <c r="C2101" s="2">
        <v>45187</v>
      </c>
      <c r="D2101" s="1" t="s">
        <v>36</v>
      </c>
      <c r="E2101" s="1" t="s">
        <v>40</v>
      </c>
      <c r="F2101">
        <v>776.7</v>
      </c>
      <c r="G2101">
        <v>45</v>
      </c>
      <c r="H2101" s="1" t="s">
        <v>31</v>
      </c>
      <c r="I2101">
        <v>1623.63</v>
      </c>
      <c r="J2101">
        <v>1814.63</v>
      </c>
      <c r="K2101" s="1" t="s">
        <v>26</v>
      </c>
      <c r="L2101">
        <v>0.28999999999999998</v>
      </c>
      <c r="M2101" s="1" t="s">
        <v>32</v>
      </c>
      <c r="N2101" s="1" t="s">
        <v>33</v>
      </c>
      <c r="O2101" s="1" t="s">
        <v>41</v>
      </c>
      <c r="P2101">
        <v>73063.350000000006</v>
      </c>
      <c r="Q2101">
        <v>2023</v>
      </c>
      <c r="R2101">
        <v>57977.428500000002</v>
      </c>
      <c r="S2101">
        <v>-15085.921500000004</v>
      </c>
      <c r="T2101" s="1" t="s">
        <v>165</v>
      </c>
      <c r="U2101">
        <v>-0.26020335655280102</v>
      </c>
    </row>
    <row r="2102" spans="1:21" x14ac:dyDescent="0.3">
      <c r="A2102" s="1" t="s">
        <v>155</v>
      </c>
      <c r="B2102" s="1" t="s">
        <v>66</v>
      </c>
      <c r="C2102" s="2">
        <v>45187</v>
      </c>
      <c r="D2102" s="1" t="s">
        <v>17</v>
      </c>
      <c r="E2102" s="1" t="s">
        <v>44</v>
      </c>
      <c r="F2102">
        <v>4716.47</v>
      </c>
      <c r="G2102">
        <v>40</v>
      </c>
      <c r="H2102" s="1" t="s">
        <v>19</v>
      </c>
      <c r="I2102">
        <v>4083.23</v>
      </c>
      <c r="J2102">
        <v>4521.57</v>
      </c>
      <c r="K2102" s="1" t="s">
        <v>26</v>
      </c>
      <c r="L2102">
        <v>0.27</v>
      </c>
      <c r="M2102" s="1" t="s">
        <v>32</v>
      </c>
      <c r="N2102" s="1" t="s">
        <v>33</v>
      </c>
      <c r="O2102" s="1" t="s">
        <v>49</v>
      </c>
      <c r="P2102">
        <v>163329.20000000001</v>
      </c>
      <c r="Q2102">
        <v>2023</v>
      </c>
      <c r="R2102">
        <v>132029.84399999998</v>
      </c>
      <c r="S2102">
        <v>-31299.356000000029</v>
      </c>
      <c r="T2102" s="1" t="s">
        <v>165</v>
      </c>
      <c r="U2102">
        <v>-0.23706273560392899</v>
      </c>
    </row>
    <row r="2103" spans="1:21" x14ac:dyDescent="0.3">
      <c r="A2103" s="1" t="s">
        <v>155</v>
      </c>
      <c r="B2103" s="1" t="s">
        <v>16</v>
      </c>
      <c r="C2103" s="2">
        <v>45187</v>
      </c>
      <c r="D2103" s="1" t="s">
        <v>25</v>
      </c>
      <c r="E2103" s="1" t="s">
        <v>30</v>
      </c>
      <c r="F2103">
        <v>7688.5</v>
      </c>
      <c r="G2103">
        <v>32</v>
      </c>
      <c r="H2103" s="1" t="s">
        <v>57</v>
      </c>
      <c r="I2103">
        <v>921.32</v>
      </c>
      <c r="J2103">
        <v>1236.0999999999999</v>
      </c>
      <c r="K2103" s="1" t="s">
        <v>26</v>
      </c>
      <c r="L2103">
        <v>0.12</v>
      </c>
      <c r="M2103" s="1" t="s">
        <v>27</v>
      </c>
      <c r="N2103" s="1" t="s">
        <v>22</v>
      </c>
      <c r="O2103" s="1" t="s">
        <v>92</v>
      </c>
      <c r="P2103">
        <v>29482.240000000002</v>
      </c>
      <c r="Q2103">
        <v>2023</v>
      </c>
      <c r="R2103">
        <v>34808.576000000001</v>
      </c>
      <c r="S2103">
        <v>5326.3359999999993</v>
      </c>
      <c r="T2103" s="1" t="s">
        <v>165</v>
      </c>
      <c r="U2103">
        <v>0.15301792293944999</v>
      </c>
    </row>
    <row r="2104" spans="1:21" x14ac:dyDescent="0.3">
      <c r="A2104" s="1" t="s">
        <v>155</v>
      </c>
      <c r="B2104" s="1" t="s">
        <v>132</v>
      </c>
      <c r="C2104" s="2">
        <v>45188</v>
      </c>
      <c r="D2104" s="1" t="s">
        <v>59</v>
      </c>
      <c r="E2104" s="1" t="s">
        <v>44</v>
      </c>
      <c r="F2104">
        <v>8564.24</v>
      </c>
      <c r="G2104">
        <v>26</v>
      </c>
      <c r="H2104" s="1" t="s">
        <v>37</v>
      </c>
      <c r="I2104">
        <v>2007.32</v>
      </c>
      <c r="J2104">
        <v>2202.87</v>
      </c>
      <c r="K2104" s="1" t="s">
        <v>20</v>
      </c>
      <c r="L2104">
        <v>0.11</v>
      </c>
      <c r="M2104" s="1" t="s">
        <v>21</v>
      </c>
      <c r="N2104" s="1" t="s">
        <v>22</v>
      </c>
      <c r="O2104" s="1" t="s">
        <v>60</v>
      </c>
      <c r="P2104">
        <v>52190.32</v>
      </c>
      <c r="Q2104">
        <v>2023</v>
      </c>
      <c r="R2104">
        <v>50974.411799999994</v>
      </c>
      <c r="S2104">
        <v>-1215.9082000000053</v>
      </c>
      <c r="T2104" s="1" t="s">
        <v>165</v>
      </c>
      <c r="U2104">
        <v>-2.3853305159668499E-2</v>
      </c>
    </row>
    <row r="2105" spans="1:21" x14ac:dyDescent="0.3">
      <c r="A2105" s="1" t="s">
        <v>155</v>
      </c>
      <c r="B2105" s="1" t="s">
        <v>72</v>
      </c>
      <c r="C2105" s="2">
        <v>45188</v>
      </c>
      <c r="D2105" s="1" t="s">
        <v>43</v>
      </c>
      <c r="E2105" s="1" t="s">
        <v>30</v>
      </c>
      <c r="F2105">
        <v>4306.0200000000004</v>
      </c>
      <c r="G2105">
        <v>28</v>
      </c>
      <c r="H2105" s="1" t="s">
        <v>19</v>
      </c>
      <c r="I2105">
        <v>666.84</v>
      </c>
      <c r="J2105">
        <v>817.36</v>
      </c>
      <c r="K2105" s="1" t="s">
        <v>20</v>
      </c>
      <c r="L2105">
        <v>0.02</v>
      </c>
      <c r="M2105" s="1" t="s">
        <v>21</v>
      </c>
      <c r="N2105" s="1" t="s">
        <v>33</v>
      </c>
      <c r="O2105" s="1" t="s">
        <v>54</v>
      </c>
      <c r="P2105">
        <v>18671.52</v>
      </c>
      <c r="Q2105">
        <v>2023</v>
      </c>
      <c r="R2105">
        <v>22428.358400000001</v>
      </c>
      <c r="S2105">
        <v>3756.8384000000005</v>
      </c>
      <c r="T2105" s="1" t="s">
        <v>165</v>
      </c>
      <c r="U2105">
        <v>0.16750394001194499</v>
      </c>
    </row>
    <row r="2106" spans="1:21" x14ac:dyDescent="0.3">
      <c r="A2106" s="1" t="s">
        <v>155</v>
      </c>
      <c r="B2106" s="1" t="s">
        <v>75</v>
      </c>
      <c r="C2106" s="2">
        <v>45188</v>
      </c>
      <c r="D2106" s="1" t="s">
        <v>59</v>
      </c>
      <c r="E2106" s="1" t="s">
        <v>30</v>
      </c>
      <c r="F2106">
        <v>4606.2</v>
      </c>
      <c r="G2106">
        <v>17</v>
      </c>
      <c r="H2106" s="1" t="s">
        <v>37</v>
      </c>
      <c r="I2106">
        <v>1308.58</v>
      </c>
      <c r="J2106">
        <v>1575.59</v>
      </c>
      <c r="K2106" s="1" t="s">
        <v>26</v>
      </c>
      <c r="L2106">
        <v>0.3</v>
      </c>
      <c r="M2106" s="1" t="s">
        <v>21</v>
      </c>
      <c r="N2106" s="1" t="s">
        <v>22</v>
      </c>
      <c r="O2106" s="1" t="s">
        <v>86</v>
      </c>
      <c r="P2106">
        <v>22245.86</v>
      </c>
      <c r="Q2106">
        <v>2023</v>
      </c>
      <c r="R2106">
        <v>18749.520999999997</v>
      </c>
      <c r="S2106">
        <v>-3496.3390000000036</v>
      </c>
      <c r="T2106" s="1" t="s">
        <v>165</v>
      </c>
      <c r="U2106">
        <v>-0.18647617717807299</v>
      </c>
    </row>
    <row r="2107" spans="1:21" x14ac:dyDescent="0.3">
      <c r="A2107" s="1" t="s">
        <v>155</v>
      </c>
      <c r="B2107" s="1" t="s">
        <v>152</v>
      </c>
      <c r="C2107" s="2">
        <v>45188</v>
      </c>
      <c r="D2107" s="1" t="s">
        <v>25</v>
      </c>
      <c r="E2107" s="1" t="s">
        <v>40</v>
      </c>
      <c r="F2107">
        <v>6705.4</v>
      </c>
      <c r="G2107">
        <v>45</v>
      </c>
      <c r="H2107" s="1" t="s">
        <v>19</v>
      </c>
      <c r="I2107">
        <v>2590.64</v>
      </c>
      <c r="J2107">
        <v>3036.18</v>
      </c>
      <c r="K2107" s="1" t="s">
        <v>26</v>
      </c>
      <c r="L2107">
        <v>0.05</v>
      </c>
      <c r="M2107" s="1" t="s">
        <v>32</v>
      </c>
      <c r="N2107" s="1" t="s">
        <v>33</v>
      </c>
      <c r="O2107" s="1" t="s">
        <v>83</v>
      </c>
      <c r="P2107">
        <v>116578.79999999999</v>
      </c>
      <c r="Q2107">
        <v>2023</v>
      </c>
      <c r="R2107">
        <v>129796.69499999999</v>
      </c>
      <c r="S2107">
        <v>13217.895000000004</v>
      </c>
      <c r="T2107" s="1" t="s">
        <v>165</v>
      </c>
      <c r="U2107">
        <v>0.10183537415956601</v>
      </c>
    </row>
    <row r="2108" spans="1:21" x14ac:dyDescent="0.3">
      <c r="A2108" s="1" t="s">
        <v>155</v>
      </c>
      <c r="B2108" s="1" t="s">
        <v>122</v>
      </c>
      <c r="C2108" s="2">
        <v>45189</v>
      </c>
      <c r="D2108" s="1" t="s">
        <v>36</v>
      </c>
      <c r="E2108" s="1" t="s">
        <v>18</v>
      </c>
      <c r="F2108">
        <v>6759.76</v>
      </c>
      <c r="G2108">
        <v>45</v>
      </c>
      <c r="H2108" s="1" t="s">
        <v>19</v>
      </c>
      <c r="I2108">
        <v>1525.13</v>
      </c>
      <c r="J2108">
        <v>1868.32</v>
      </c>
      <c r="K2108" s="1" t="s">
        <v>20</v>
      </c>
      <c r="L2108">
        <v>0.24</v>
      </c>
      <c r="M2108" s="1" t="s">
        <v>21</v>
      </c>
      <c r="N2108" s="1" t="s">
        <v>33</v>
      </c>
      <c r="O2108" s="1" t="s">
        <v>115</v>
      </c>
      <c r="P2108">
        <v>68630.850000000006</v>
      </c>
      <c r="Q2108">
        <v>2023</v>
      </c>
      <c r="R2108">
        <v>63896.543999999994</v>
      </c>
      <c r="S2108">
        <v>-4734.3060000000114</v>
      </c>
      <c r="T2108" s="1" t="s">
        <v>165</v>
      </c>
      <c r="U2108">
        <v>-7.4093303074419997E-2</v>
      </c>
    </row>
    <row r="2109" spans="1:21" x14ac:dyDescent="0.3">
      <c r="A2109" s="1" t="s">
        <v>155</v>
      </c>
      <c r="B2109" s="1" t="s">
        <v>127</v>
      </c>
      <c r="C2109" s="2">
        <v>45190</v>
      </c>
      <c r="D2109" s="1" t="s">
        <v>36</v>
      </c>
      <c r="E2109" s="1" t="s">
        <v>30</v>
      </c>
      <c r="F2109">
        <v>4631.2299999999996</v>
      </c>
      <c r="G2109">
        <v>30</v>
      </c>
      <c r="H2109" s="1" t="s">
        <v>57</v>
      </c>
      <c r="I2109">
        <v>261.56</v>
      </c>
      <c r="J2109">
        <v>371.4</v>
      </c>
      <c r="K2109" s="1" t="s">
        <v>20</v>
      </c>
      <c r="L2109">
        <v>0.2</v>
      </c>
      <c r="M2109" s="1" t="s">
        <v>32</v>
      </c>
      <c r="N2109" s="1" t="s">
        <v>33</v>
      </c>
      <c r="O2109" s="1" t="s">
        <v>38</v>
      </c>
      <c r="P2109">
        <v>7846.8</v>
      </c>
      <c r="Q2109">
        <v>2023</v>
      </c>
      <c r="R2109">
        <v>8913.6</v>
      </c>
      <c r="S2109">
        <v>1066.8000000000002</v>
      </c>
      <c r="T2109" s="1" t="s">
        <v>165</v>
      </c>
      <c r="U2109">
        <v>0.119682283252558</v>
      </c>
    </row>
    <row r="2110" spans="1:21" x14ac:dyDescent="0.3">
      <c r="A2110" s="1" t="s">
        <v>155</v>
      </c>
      <c r="B2110" s="1" t="s">
        <v>84</v>
      </c>
      <c r="C2110" s="2">
        <v>45190</v>
      </c>
      <c r="D2110" s="1" t="s">
        <v>17</v>
      </c>
      <c r="E2110" s="1" t="s">
        <v>30</v>
      </c>
      <c r="F2110">
        <v>2813.31</v>
      </c>
      <c r="G2110">
        <v>36</v>
      </c>
      <c r="H2110" s="1" t="s">
        <v>31</v>
      </c>
      <c r="I2110">
        <v>1458.77</v>
      </c>
      <c r="J2110">
        <v>1485.75</v>
      </c>
      <c r="K2110" s="1" t="s">
        <v>26</v>
      </c>
      <c r="L2110">
        <v>0.25</v>
      </c>
      <c r="M2110" s="1" t="s">
        <v>27</v>
      </c>
      <c r="N2110" s="1" t="s">
        <v>22</v>
      </c>
      <c r="O2110" s="1" t="s">
        <v>34</v>
      </c>
      <c r="P2110">
        <v>52515.72</v>
      </c>
      <c r="Q2110">
        <v>2023</v>
      </c>
      <c r="R2110">
        <v>40115.25</v>
      </c>
      <c r="S2110">
        <v>-12400.470000000001</v>
      </c>
      <c r="T2110" s="1" t="s">
        <v>165</v>
      </c>
      <c r="U2110">
        <v>-0.30912109484547601</v>
      </c>
    </row>
    <row r="2111" spans="1:21" x14ac:dyDescent="0.3">
      <c r="A2111" s="1" t="s">
        <v>155</v>
      </c>
      <c r="B2111" s="1" t="s">
        <v>106</v>
      </c>
      <c r="C2111" s="2">
        <v>45190</v>
      </c>
      <c r="D2111" s="1" t="s">
        <v>43</v>
      </c>
      <c r="E2111" s="1" t="s">
        <v>18</v>
      </c>
      <c r="F2111">
        <v>611.52</v>
      </c>
      <c r="G2111">
        <v>26</v>
      </c>
      <c r="H2111" s="1" t="s">
        <v>37</v>
      </c>
      <c r="I2111">
        <v>1762</v>
      </c>
      <c r="J2111">
        <v>2002.95</v>
      </c>
      <c r="K2111" s="1" t="s">
        <v>20</v>
      </c>
      <c r="L2111">
        <v>0.28999999999999998</v>
      </c>
      <c r="M2111" s="1" t="s">
        <v>27</v>
      </c>
      <c r="N2111" s="1" t="s">
        <v>33</v>
      </c>
      <c r="O2111" s="1" t="s">
        <v>62</v>
      </c>
      <c r="P2111">
        <v>45812</v>
      </c>
      <c r="Q2111">
        <v>2023</v>
      </c>
      <c r="R2111">
        <v>36974.457000000002</v>
      </c>
      <c r="S2111">
        <v>-8837.5429999999978</v>
      </c>
      <c r="T2111" s="1" t="s">
        <v>165</v>
      </c>
      <c r="U2111">
        <v>-0.239017519581153</v>
      </c>
    </row>
    <row r="2112" spans="1:21" x14ac:dyDescent="0.3">
      <c r="A2112" s="1" t="s">
        <v>155</v>
      </c>
      <c r="B2112" s="1" t="s">
        <v>63</v>
      </c>
      <c r="C2112" s="2">
        <v>45190</v>
      </c>
      <c r="D2112" s="1" t="s">
        <v>36</v>
      </c>
      <c r="E2112" s="1" t="s">
        <v>18</v>
      </c>
      <c r="F2112">
        <v>2994.59</v>
      </c>
      <c r="G2112">
        <v>37</v>
      </c>
      <c r="H2112" s="1" t="s">
        <v>37</v>
      </c>
      <c r="I2112">
        <v>4658.4399999999996</v>
      </c>
      <c r="J2112">
        <v>4823.5</v>
      </c>
      <c r="K2112" s="1" t="s">
        <v>20</v>
      </c>
      <c r="L2112">
        <v>0.14000000000000001</v>
      </c>
      <c r="M2112" s="1" t="s">
        <v>27</v>
      </c>
      <c r="N2112" s="1" t="s">
        <v>22</v>
      </c>
      <c r="O2112" s="1" t="s">
        <v>115</v>
      </c>
      <c r="P2112">
        <v>172362.28</v>
      </c>
      <c r="Q2112">
        <v>2023</v>
      </c>
      <c r="R2112">
        <v>153483.76999999999</v>
      </c>
      <c r="S2112">
        <v>-18878.510000000009</v>
      </c>
      <c r="T2112" s="1" t="s">
        <v>165</v>
      </c>
      <c r="U2112">
        <v>-0.123000040981532</v>
      </c>
    </row>
    <row r="2113" spans="1:21" x14ac:dyDescent="0.3">
      <c r="A2113" s="1" t="s">
        <v>155</v>
      </c>
      <c r="B2113" s="1" t="s">
        <v>119</v>
      </c>
      <c r="C2113" s="2">
        <v>45190</v>
      </c>
      <c r="D2113" s="1" t="s">
        <v>25</v>
      </c>
      <c r="E2113" s="1" t="s">
        <v>30</v>
      </c>
      <c r="F2113">
        <v>9895.57</v>
      </c>
      <c r="G2113">
        <v>25</v>
      </c>
      <c r="H2113" s="1" t="s">
        <v>57</v>
      </c>
      <c r="I2113">
        <v>2747.66</v>
      </c>
      <c r="J2113">
        <v>3027.01</v>
      </c>
      <c r="K2113" s="1" t="s">
        <v>26</v>
      </c>
      <c r="L2113">
        <v>0.23</v>
      </c>
      <c r="M2113" s="1" t="s">
        <v>21</v>
      </c>
      <c r="N2113" s="1" t="s">
        <v>22</v>
      </c>
      <c r="O2113" s="1" t="s">
        <v>92</v>
      </c>
      <c r="P2113">
        <v>68691.5</v>
      </c>
      <c r="Q2113">
        <v>2023</v>
      </c>
      <c r="R2113">
        <v>58269.942500000005</v>
      </c>
      <c r="S2113">
        <v>-10421.557499999995</v>
      </c>
      <c r="T2113" s="1" t="s">
        <v>165</v>
      </c>
      <c r="U2113">
        <v>-0.17884962731857801</v>
      </c>
    </row>
    <row r="2114" spans="1:21" x14ac:dyDescent="0.3">
      <c r="A2114" s="1" t="s">
        <v>155</v>
      </c>
      <c r="B2114" s="1" t="s">
        <v>127</v>
      </c>
      <c r="C2114" s="2">
        <v>45191</v>
      </c>
      <c r="D2114" s="1" t="s">
        <v>36</v>
      </c>
      <c r="E2114" s="1" t="s">
        <v>30</v>
      </c>
      <c r="F2114">
        <v>9914.15</v>
      </c>
      <c r="G2114">
        <v>22</v>
      </c>
      <c r="H2114" s="1" t="s">
        <v>37</v>
      </c>
      <c r="I2114">
        <v>4275.59</v>
      </c>
      <c r="J2114">
        <v>4576.72</v>
      </c>
      <c r="K2114" s="1" t="s">
        <v>20</v>
      </c>
      <c r="L2114">
        <v>0.02</v>
      </c>
      <c r="M2114" s="1" t="s">
        <v>21</v>
      </c>
      <c r="N2114" s="1" t="s">
        <v>33</v>
      </c>
      <c r="O2114" s="1" t="s">
        <v>38</v>
      </c>
      <c r="P2114">
        <v>94062.98000000001</v>
      </c>
      <c r="Q2114">
        <v>2023</v>
      </c>
      <c r="R2114">
        <v>98674.083200000008</v>
      </c>
      <c r="S2114">
        <v>4611.1031999999977</v>
      </c>
      <c r="T2114" s="1" t="s">
        <v>165</v>
      </c>
      <c r="U2114">
        <v>4.6730641425407199E-2</v>
      </c>
    </row>
    <row r="2115" spans="1:21" x14ac:dyDescent="0.3">
      <c r="A2115" s="1" t="s">
        <v>155</v>
      </c>
      <c r="B2115" s="1" t="s">
        <v>149</v>
      </c>
      <c r="C2115" s="2">
        <v>45192</v>
      </c>
      <c r="D2115" s="1" t="s">
        <v>25</v>
      </c>
      <c r="E2115" s="1" t="s">
        <v>18</v>
      </c>
      <c r="F2115">
        <v>9787.4</v>
      </c>
      <c r="G2115">
        <v>40</v>
      </c>
      <c r="H2115" s="1" t="s">
        <v>31</v>
      </c>
      <c r="I2115">
        <v>1047.25</v>
      </c>
      <c r="J2115">
        <v>1075.8900000000001</v>
      </c>
      <c r="K2115" s="1" t="s">
        <v>26</v>
      </c>
      <c r="L2115">
        <v>0.28000000000000003</v>
      </c>
      <c r="M2115" s="1" t="s">
        <v>27</v>
      </c>
      <c r="N2115" s="1" t="s">
        <v>33</v>
      </c>
      <c r="O2115" s="1" t="s">
        <v>28</v>
      </c>
      <c r="P2115">
        <v>41890</v>
      </c>
      <c r="Q2115">
        <v>2023</v>
      </c>
      <c r="R2115">
        <v>30985.632000000001</v>
      </c>
      <c r="S2115">
        <v>-10904.367999999999</v>
      </c>
      <c r="T2115" s="1" t="s">
        <v>165</v>
      </c>
      <c r="U2115">
        <v>-0.35191691426529598</v>
      </c>
    </row>
    <row r="2116" spans="1:21" x14ac:dyDescent="0.3">
      <c r="A2116" s="1" t="s">
        <v>155</v>
      </c>
      <c r="B2116" s="1" t="s">
        <v>136</v>
      </c>
      <c r="C2116" s="2">
        <v>45192</v>
      </c>
      <c r="D2116" s="1" t="s">
        <v>25</v>
      </c>
      <c r="E2116" s="1" t="s">
        <v>18</v>
      </c>
      <c r="F2116">
        <v>797.87</v>
      </c>
      <c r="G2116">
        <v>19</v>
      </c>
      <c r="H2116" s="1" t="s">
        <v>37</v>
      </c>
      <c r="I2116">
        <v>1820.89</v>
      </c>
      <c r="J2116">
        <v>2257.92</v>
      </c>
      <c r="K2116" s="1" t="s">
        <v>26</v>
      </c>
      <c r="L2116">
        <v>0.12</v>
      </c>
      <c r="M2116" s="1" t="s">
        <v>21</v>
      </c>
      <c r="N2116" s="1" t="s">
        <v>33</v>
      </c>
      <c r="O2116" s="1" t="s">
        <v>28</v>
      </c>
      <c r="P2116">
        <v>34596.910000000003</v>
      </c>
      <c r="Q2116">
        <v>2023</v>
      </c>
      <c r="R2116">
        <v>37752.422400000003</v>
      </c>
      <c r="S2116">
        <v>3155.5123999999996</v>
      </c>
      <c r="T2116" s="1" t="s">
        <v>165</v>
      </c>
      <c r="U2116">
        <v>8.3584368880127796E-2</v>
      </c>
    </row>
    <row r="2117" spans="1:21" x14ac:dyDescent="0.3">
      <c r="A2117" s="1" t="s">
        <v>155</v>
      </c>
      <c r="B2117" s="1" t="s">
        <v>125</v>
      </c>
      <c r="C2117" s="2">
        <v>45192</v>
      </c>
      <c r="D2117" s="1" t="s">
        <v>43</v>
      </c>
      <c r="E2117" s="1" t="s">
        <v>18</v>
      </c>
      <c r="F2117">
        <v>3971.23</v>
      </c>
      <c r="G2117">
        <v>42</v>
      </c>
      <c r="H2117" s="1" t="s">
        <v>31</v>
      </c>
      <c r="I2117">
        <v>3549.43</v>
      </c>
      <c r="J2117">
        <v>3967.69</v>
      </c>
      <c r="K2117" s="1" t="s">
        <v>26</v>
      </c>
      <c r="L2117">
        <v>0.14000000000000001</v>
      </c>
      <c r="M2117" s="1" t="s">
        <v>32</v>
      </c>
      <c r="N2117" s="1" t="s">
        <v>22</v>
      </c>
      <c r="O2117" s="1" t="s">
        <v>62</v>
      </c>
      <c r="P2117">
        <v>149076.06</v>
      </c>
      <c r="Q2117">
        <v>2023</v>
      </c>
      <c r="R2117">
        <v>143312.96280000001</v>
      </c>
      <c r="S2117">
        <v>-5763.0971999999892</v>
      </c>
      <c r="T2117" s="1" t="s">
        <v>165</v>
      </c>
      <c r="U2117">
        <v>-4.02133700078664E-2</v>
      </c>
    </row>
    <row r="2118" spans="1:21" x14ac:dyDescent="0.3">
      <c r="A2118" s="1" t="s">
        <v>155</v>
      </c>
      <c r="B2118" s="1" t="s">
        <v>24</v>
      </c>
      <c r="C2118" s="2">
        <v>45193</v>
      </c>
      <c r="D2118" s="1" t="s">
        <v>43</v>
      </c>
      <c r="E2118" s="1" t="s">
        <v>30</v>
      </c>
      <c r="F2118">
        <v>2975.99</v>
      </c>
      <c r="G2118">
        <v>48</v>
      </c>
      <c r="H2118" s="1" t="s">
        <v>57</v>
      </c>
      <c r="I2118">
        <v>2246.67</v>
      </c>
      <c r="J2118">
        <v>2486.14</v>
      </c>
      <c r="K2118" s="1" t="s">
        <v>26</v>
      </c>
      <c r="L2118">
        <v>0.03</v>
      </c>
      <c r="M2118" s="1" t="s">
        <v>21</v>
      </c>
      <c r="N2118" s="1" t="s">
        <v>33</v>
      </c>
      <c r="O2118" s="1" t="s">
        <v>54</v>
      </c>
      <c r="P2118">
        <v>107840.16</v>
      </c>
      <c r="Q2118">
        <v>2023</v>
      </c>
      <c r="R2118">
        <v>115754.6784</v>
      </c>
      <c r="S2118">
        <v>7914.5184000000008</v>
      </c>
      <c r="T2118" s="1" t="s">
        <v>165</v>
      </c>
      <c r="U2118">
        <v>6.8373205380526603E-2</v>
      </c>
    </row>
    <row r="2119" spans="1:21" x14ac:dyDescent="0.3">
      <c r="A2119" s="1" t="s">
        <v>155</v>
      </c>
      <c r="B2119" s="1" t="s">
        <v>122</v>
      </c>
      <c r="C2119" s="2">
        <v>45193</v>
      </c>
      <c r="D2119" s="1" t="s">
        <v>59</v>
      </c>
      <c r="E2119" s="1" t="s">
        <v>44</v>
      </c>
      <c r="F2119">
        <v>5025.6400000000003</v>
      </c>
      <c r="G2119">
        <v>9</v>
      </c>
      <c r="H2119" s="1" t="s">
        <v>57</v>
      </c>
      <c r="I2119">
        <v>4067.28</v>
      </c>
      <c r="J2119">
        <v>4548.09</v>
      </c>
      <c r="K2119" s="1" t="s">
        <v>20</v>
      </c>
      <c r="L2119">
        <v>0.12</v>
      </c>
      <c r="M2119" s="1" t="s">
        <v>27</v>
      </c>
      <c r="N2119" s="1" t="s">
        <v>33</v>
      </c>
      <c r="O2119" s="1" t="s">
        <v>60</v>
      </c>
      <c r="P2119">
        <v>36605.520000000004</v>
      </c>
      <c r="Q2119">
        <v>2023</v>
      </c>
      <c r="R2119">
        <v>36020.872799999997</v>
      </c>
      <c r="S2119">
        <v>-584.64720000000671</v>
      </c>
      <c r="T2119" s="1" t="s">
        <v>165</v>
      </c>
      <c r="U2119">
        <v>-1.6230789388312801E-2</v>
      </c>
    </row>
    <row r="2120" spans="1:21" x14ac:dyDescent="0.3">
      <c r="A2120" s="1" t="s">
        <v>155</v>
      </c>
      <c r="B2120" s="1" t="s">
        <v>127</v>
      </c>
      <c r="C2120" s="2">
        <v>45193</v>
      </c>
      <c r="D2120" s="1" t="s">
        <v>43</v>
      </c>
      <c r="E2120" s="1" t="s">
        <v>44</v>
      </c>
      <c r="F2120">
        <v>182.37</v>
      </c>
      <c r="G2120">
        <v>35</v>
      </c>
      <c r="H2120" s="1" t="s">
        <v>19</v>
      </c>
      <c r="I2120">
        <v>3461.15</v>
      </c>
      <c r="J2120">
        <v>3631.75</v>
      </c>
      <c r="K2120" s="1" t="s">
        <v>20</v>
      </c>
      <c r="L2120">
        <v>0.27</v>
      </c>
      <c r="M2120" s="1" t="s">
        <v>27</v>
      </c>
      <c r="N2120" s="1" t="s">
        <v>22</v>
      </c>
      <c r="O2120" s="1" t="s">
        <v>45</v>
      </c>
      <c r="P2120">
        <v>121140.25</v>
      </c>
      <c r="Q2120">
        <v>2023</v>
      </c>
      <c r="R2120">
        <v>92791.212499999994</v>
      </c>
      <c r="S2120">
        <v>-28349.037500000006</v>
      </c>
      <c r="T2120" s="1" t="s">
        <v>165</v>
      </c>
      <c r="U2120">
        <v>-0.30551424791436999</v>
      </c>
    </row>
    <row r="2121" spans="1:21" x14ac:dyDescent="0.3">
      <c r="A2121" s="1" t="s">
        <v>155</v>
      </c>
      <c r="B2121" s="1" t="s">
        <v>109</v>
      </c>
      <c r="C2121" s="2">
        <v>45193</v>
      </c>
      <c r="D2121" s="1" t="s">
        <v>25</v>
      </c>
      <c r="E2121" s="1" t="s">
        <v>40</v>
      </c>
      <c r="F2121">
        <v>4695.96</v>
      </c>
      <c r="G2121">
        <v>41</v>
      </c>
      <c r="H2121" s="1" t="s">
        <v>19</v>
      </c>
      <c r="I2121">
        <v>1825.37</v>
      </c>
      <c r="J2121">
        <v>2073.88</v>
      </c>
      <c r="K2121" s="1" t="s">
        <v>20</v>
      </c>
      <c r="L2121">
        <v>0.27</v>
      </c>
      <c r="M2121" s="1" t="s">
        <v>21</v>
      </c>
      <c r="N2121" s="1" t="s">
        <v>33</v>
      </c>
      <c r="O2121" s="1" t="s">
        <v>83</v>
      </c>
      <c r="P2121">
        <v>74840.17</v>
      </c>
      <c r="Q2121">
        <v>2023</v>
      </c>
      <c r="R2121">
        <v>62071.2284</v>
      </c>
      <c r="S2121">
        <v>-12768.941599999998</v>
      </c>
      <c r="T2121" s="1" t="s">
        <v>165</v>
      </c>
      <c r="U2121">
        <v>-0.205714337047017</v>
      </c>
    </row>
    <row r="2122" spans="1:21" x14ac:dyDescent="0.3">
      <c r="A2122" s="1" t="s">
        <v>155</v>
      </c>
      <c r="B2122" s="1" t="s">
        <v>139</v>
      </c>
      <c r="C2122" s="2">
        <v>45193</v>
      </c>
      <c r="D2122" s="1" t="s">
        <v>17</v>
      </c>
      <c r="E2122" s="1" t="s">
        <v>30</v>
      </c>
      <c r="F2122">
        <v>4453.43</v>
      </c>
      <c r="G2122">
        <v>6</v>
      </c>
      <c r="H2122" s="1" t="s">
        <v>57</v>
      </c>
      <c r="I2122">
        <v>122.5</v>
      </c>
      <c r="J2122">
        <v>385.83</v>
      </c>
      <c r="K2122" s="1" t="s">
        <v>20</v>
      </c>
      <c r="L2122">
        <v>0.1</v>
      </c>
      <c r="M2122" s="1" t="s">
        <v>21</v>
      </c>
      <c r="N2122" s="1" t="s">
        <v>33</v>
      </c>
      <c r="O2122" s="1" t="s">
        <v>34</v>
      </c>
      <c r="P2122">
        <v>735</v>
      </c>
      <c r="Q2122">
        <v>2023</v>
      </c>
      <c r="R2122">
        <v>2083.482</v>
      </c>
      <c r="S2122">
        <v>1348.482</v>
      </c>
      <c r="T2122" s="1" t="s">
        <v>165</v>
      </c>
      <c r="U2122">
        <v>0.64722517401158197</v>
      </c>
    </row>
    <row r="2123" spans="1:21" x14ac:dyDescent="0.3">
      <c r="A2123" s="1" t="s">
        <v>155</v>
      </c>
      <c r="B2123" s="1" t="s">
        <v>76</v>
      </c>
      <c r="C2123" s="2">
        <v>45194</v>
      </c>
      <c r="D2123" s="1" t="s">
        <v>17</v>
      </c>
      <c r="E2123" s="1" t="s">
        <v>44</v>
      </c>
      <c r="F2123">
        <v>7391.7</v>
      </c>
      <c r="G2123">
        <v>47</v>
      </c>
      <c r="H2123" s="1" t="s">
        <v>57</v>
      </c>
      <c r="I2123">
        <v>1319.24</v>
      </c>
      <c r="J2123">
        <v>1805.56</v>
      </c>
      <c r="K2123" s="1" t="s">
        <v>26</v>
      </c>
      <c r="L2123">
        <v>0.26</v>
      </c>
      <c r="M2123" s="1" t="s">
        <v>27</v>
      </c>
      <c r="N2123" s="1" t="s">
        <v>33</v>
      </c>
      <c r="O2123" s="1" t="s">
        <v>49</v>
      </c>
      <c r="P2123">
        <v>62004.28</v>
      </c>
      <c r="Q2123">
        <v>2023</v>
      </c>
      <c r="R2123">
        <v>62797.376799999991</v>
      </c>
      <c r="S2123">
        <v>793.09679999999207</v>
      </c>
      <c r="T2123" s="1" t="s">
        <v>165</v>
      </c>
      <c r="U2123">
        <v>1.2629457477593101E-2</v>
      </c>
    </row>
    <row r="2124" spans="1:21" x14ac:dyDescent="0.3">
      <c r="A2124" s="1" t="s">
        <v>155</v>
      </c>
      <c r="B2124" s="1" t="s">
        <v>72</v>
      </c>
      <c r="C2124" s="2">
        <v>45194</v>
      </c>
      <c r="D2124" s="1" t="s">
        <v>17</v>
      </c>
      <c r="E2124" s="1" t="s">
        <v>40</v>
      </c>
      <c r="F2124">
        <v>1143.3900000000001</v>
      </c>
      <c r="G2124">
        <v>37</v>
      </c>
      <c r="H2124" s="1" t="s">
        <v>37</v>
      </c>
      <c r="I2124">
        <v>4127.05</v>
      </c>
      <c r="J2124">
        <v>4313.45</v>
      </c>
      <c r="K2124" s="1" t="s">
        <v>26</v>
      </c>
      <c r="L2124">
        <v>0.16</v>
      </c>
      <c r="M2124" s="1" t="s">
        <v>21</v>
      </c>
      <c r="N2124" s="1" t="s">
        <v>22</v>
      </c>
      <c r="O2124" s="1" t="s">
        <v>67</v>
      </c>
      <c r="P2124">
        <v>152700.85</v>
      </c>
      <c r="Q2124">
        <v>2023</v>
      </c>
      <c r="R2124">
        <v>134062.02599999998</v>
      </c>
      <c r="S2124">
        <v>-18638.824000000022</v>
      </c>
      <c r="T2124" s="1" t="s">
        <v>165</v>
      </c>
      <c r="U2124">
        <v>-0.13903134657982899</v>
      </c>
    </row>
    <row r="2125" spans="1:21" x14ac:dyDescent="0.3">
      <c r="A2125" s="1" t="s">
        <v>155</v>
      </c>
      <c r="B2125" s="1" t="s">
        <v>55</v>
      </c>
      <c r="C2125" s="2">
        <v>45195</v>
      </c>
      <c r="D2125" s="1" t="s">
        <v>17</v>
      </c>
      <c r="E2125" s="1" t="s">
        <v>18</v>
      </c>
      <c r="F2125">
        <v>7350.77</v>
      </c>
      <c r="G2125">
        <v>11</v>
      </c>
      <c r="H2125" s="1" t="s">
        <v>37</v>
      </c>
      <c r="I2125">
        <v>210.33</v>
      </c>
      <c r="J2125">
        <v>552.29</v>
      </c>
      <c r="K2125" s="1" t="s">
        <v>20</v>
      </c>
      <c r="L2125">
        <v>0.18</v>
      </c>
      <c r="M2125" s="1" t="s">
        <v>21</v>
      </c>
      <c r="N2125" s="1" t="s">
        <v>33</v>
      </c>
      <c r="O2125" s="1" t="s">
        <v>23</v>
      </c>
      <c r="P2125">
        <v>2313.63</v>
      </c>
      <c r="Q2125">
        <v>2023</v>
      </c>
      <c r="R2125">
        <v>4981.6558000000005</v>
      </c>
      <c r="S2125">
        <v>2668.0258000000003</v>
      </c>
      <c r="T2125" s="1" t="s">
        <v>165</v>
      </c>
      <c r="U2125">
        <v>0.53557008093573999</v>
      </c>
    </row>
    <row r="2126" spans="1:21" x14ac:dyDescent="0.3">
      <c r="A2126" s="1" t="s">
        <v>155</v>
      </c>
      <c r="B2126" s="1" t="s">
        <v>114</v>
      </c>
      <c r="C2126" s="2">
        <v>45195</v>
      </c>
      <c r="D2126" s="1" t="s">
        <v>36</v>
      </c>
      <c r="E2126" s="1" t="s">
        <v>44</v>
      </c>
      <c r="F2126">
        <v>5634.69</v>
      </c>
      <c r="G2126">
        <v>25</v>
      </c>
      <c r="H2126" s="1" t="s">
        <v>31</v>
      </c>
      <c r="I2126">
        <v>739.63</v>
      </c>
      <c r="J2126">
        <v>1103.03</v>
      </c>
      <c r="K2126" s="1" t="s">
        <v>26</v>
      </c>
      <c r="L2126">
        <v>0.26</v>
      </c>
      <c r="M2126" s="1" t="s">
        <v>32</v>
      </c>
      <c r="N2126" s="1" t="s">
        <v>33</v>
      </c>
      <c r="O2126" s="1" t="s">
        <v>71</v>
      </c>
      <c r="P2126">
        <v>18490.75</v>
      </c>
      <c r="Q2126">
        <v>2023</v>
      </c>
      <c r="R2126">
        <v>20406.055</v>
      </c>
      <c r="S2126">
        <v>1915.3050000000003</v>
      </c>
      <c r="T2126" s="1" t="s">
        <v>165</v>
      </c>
      <c r="U2126">
        <v>9.3859641170231101E-2</v>
      </c>
    </row>
    <row r="2127" spans="1:21" x14ac:dyDescent="0.3">
      <c r="A2127" s="1" t="s">
        <v>155</v>
      </c>
      <c r="B2127" s="1" t="s">
        <v>113</v>
      </c>
      <c r="C2127" s="2">
        <v>45195</v>
      </c>
      <c r="D2127" s="1" t="s">
        <v>43</v>
      </c>
      <c r="E2127" s="1" t="s">
        <v>44</v>
      </c>
      <c r="F2127">
        <v>6954.35</v>
      </c>
      <c r="G2127">
        <v>14</v>
      </c>
      <c r="H2127" s="1" t="s">
        <v>57</v>
      </c>
      <c r="I2127">
        <v>4503.7299999999996</v>
      </c>
      <c r="J2127">
        <v>4879.88</v>
      </c>
      <c r="K2127" s="1" t="s">
        <v>26</v>
      </c>
      <c r="L2127">
        <v>0.24</v>
      </c>
      <c r="M2127" s="1" t="s">
        <v>32</v>
      </c>
      <c r="N2127" s="1" t="s">
        <v>33</v>
      </c>
      <c r="O2127" s="1" t="s">
        <v>45</v>
      </c>
      <c r="P2127">
        <v>63052.219999999994</v>
      </c>
      <c r="Q2127">
        <v>2023</v>
      </c>
      <c r="R2127">
        <v>51921.923200000005</v>
      </c>
      <c r="S2127">
        <v>-11130.296799999989</v>
      </c>
      <c r="T2127" s="1" t="s">
        <v>165</v>
      </c>
      <c r="U2127">
        <v>-0.214366034885241</v>
      </c>
    </row>
    <row r="2128" spans="1:21" x14ac:dyDescent="0.3">
      <c r="A2128" s="1" t="s">
        <v>155</v>
      </c>
      <c r="B2128" s="1" t="s">
        <v>85</v>
      </c>
      <c r="C2128" s="2">
        <v>45196</v>
      </c>
      <c r="D2128" s="1" t="s">
        <v>17</v>
      </c>
      <c r="E2128" s="1" t="s">
        <v>18</v>
      </c>
      <c r="F2128">
        <v>7106.44</v>
      </c>
      <c r="G2128">
        <v>12</v>
      </c>
      <c r="H2128" s="1" t="s">
        <v>19</v>
      </c>
      <c r="I2128">
        <v>4389.24</v>
      </c>
      <c r="J2128">
        <v>4856.22</v>
      </c>
      <c r="K2128" s="1" t="s">
        <v>20</v>
      </c>
      <c r="L2128">
        <v>0.15</v>
      </c>
      <c r="M2128" s="1" t="s">
        <v>21</v>
      </c>
      <c r="N2128" s="1" t="s">
        <v>33</v>
      </c>
      <c r="O2128" s="1" t="s">
        <v>23</v>
      </c>
      <c r="P2128">
        <v>52670.879999999997</v>
      </c>
      <c r="Q2128">
        <v>2023</v>
      </c>
      <c r="R2128">
        <v>49533.443999999996</v>
      </c>
      <c r="S2128">
        <v>-3137.4360000000015</v>
      </c>
      <c r="T2128" s="1" t="s">
        <v>165</v>
      </c>
      <c r="U2128">
        <v>-6.3339750815630799E-2</v>
      </c>
    </row>
    <row r="2129" spans="1:21" x14ac:dyDescent="0.3">
      <c r="A2129" s="1" t="s">
        <v>155</v>
      </c>
      <c r="B2129" s="1" t="s">
        <v>96</v>
      </c>
      <c r="C2129" s="2">
        <v>45196</v>
      </c>
      <c r="D2129" s="1" t="s">
        <v>17</v>
      </c>
      <c r="E2129" s="1" t="s">
        <v>40</v>
      </c>
      <c r="F2129">
        <v>1193.28</v>
      </c>
      <c r="G2129">
        <v>29</v>
      </c>
      <c r="H2129" s="1" t="s">
        <v>37</v>
      </c>
      <c r="I2129">
        <v>3578.77</v>
      </c>
      <c r="J2129">
        <v>3635.02</v>
      </c>
      <c r="K2129" s="1" t="s">
        <v>26</v>
      </c>
      <c r="L2129">
        <v>0.2</v>
      </c>
      <c r="M2129" s="1" t="s">
        <v>32</v>
      </c>
      <c r="N2129" s="1" t="s">
        <v>33</v>
      </c>
      <c r="O2129" s="1" t="s">
        <v>67</v>
      </c>
      <c r="P2129">
        <v>103784.33</v>
      </c>
      <c r="Q2129">
        <v>2023</v>
      </c>
      <c r="R2129">
        <v>84332.464000000007</v>
      </c>
      <c r="S2129">
        <v>-19451.865999999995</v>
      </c>
      <c r="T2129" s="1" t="s">
        <v>165</v>
      </c>
      <c r="U2129">
        <v>-0.23065691523017701</v>
      </c>
    </row>
    <row r="2130" spans="1:21" x14ac:dyDescent="0.3">
      <c r="A2130" s="1" t="s">
        <v>155</v>
      </c>
      <c r="B2130" s="1" t="s">
        <v>145</v>
      </c>
      <c r="C2130" s="2">
        <v>45196</v>
      </c>
      <c r="D2130" s="1" t="s">
        <v>17</v>
      </c>
      <c r="E2130" s="1" t="s">
        <v>18</v>
      </c>
      <c r="F2130">
        <v>8657.89</v>
      </c>
      <c r="G2130">
        <v>32</v>
      </c>
      <c r="H2130" s="1" t="s">
        <v>37</v>
      </c>
      <c r="I2130">
        <v>367.98</v>
      </c>
      <c r="J2130">
        <v>806.14</v>
      </c>
      <c r="K2130" s="1" t="s">
        <v>20</v>
      </c>
      <c r="L2130">
        <v>0.22</v>
      </c>
      <c r="M2130" s="1" t="s">
        <v>27</v>
      </c>
      <c r="N2130" s="1" t="s">
        <v>33</v>
      </c>
      <c r="O2130" s="1" t="s">
        <v>23</v>
      </c>
      <c r="P2130">
        <v>11775.36</v>
      </c>
      <c r="Q2130">
        <v>2023</v>
      </c>
      <c r="R2130">
        <v>20121.254400000002</v>
      </c>
      <c r="S2130">
        <v>8345.894400000001</v>
      </c>
      <c r="T2130" s="1" t="s">
        <v>165</v>
      </c>
      <c r="U2130">
        <v>0.414780024847755</v>
      </c>
    </row>
    <row r="2131" spans="1:21" x14ac:dyDescent="0.3">
      <c r="A2131" s="1" t="s">
        <v>155</v>
      </c>
      <c r="B2131" s="1" t="s">
        <v>135</v>
      </c>
      <c r="C2131" s="2">
        <v>45197</v>
      </c>
      <c r="D2131" s="1" t="s">
        <v>59</v>
      </c>
      <c r="E2131" s="1" t="s">
        <v>40</v>
      </c>
      <c r="F2131">
        <v>5972.27</v>
      </c>
      <c r="G2131">
        <v>44</v>
      </c>
      <c r="H2131" s="1" t="s">
        <v>31</v>
      </c>
      <c r="I2131">
        <v>3351.33</v>
      </c>
      <c r="J2131">
        <v>3465.35</v>
      </c>
      <c r="K2131" s="1" t="s">
        <v>20</v>
      </c>
      <c r="L2131">
        <v>0.12</v>
      </c>
      <c r="M2131" s="1" t="s">
        <v>32</v>
      </c>
      <c r="N2131" s="1" t="s">
        <v>22</v>
      </c>
      <c r="O2131" s="1" t="s">
        <v>90</v>
      </c>
      <c r="P2131">
        <v>147458.51999999999</v>
      </c>
      <c r="Q2131">
        <v>2023</v>
      </c>
      <c r="R2131">
        <v>134178.35199999998</v>
      </c>
      <c r="S2131">
        <v>-13280.168000000005</v>
      </c>
      <c r="T2131" s="1" t="s">
        <v>165</v>
      </c>
      <c r="U2131">
        <v>-9.8973998428598997E-2</v>
      </c>
    </row>
    <row r="2132" spans="1:21" x14ac:dyDescent="0.3">
      <c r="A2132" s="1" t="s">
        <v>155</v>
      </c>
      <c r="B2132" s="1" t="s">
        <v>146</v>
      </c>
      <c r="C2132" s="2">
        <v>45197</v>
      </c>
      <c r="D2132" s="1" t="s">
        <v>17</v>
      </c>
      <c r="E2132" s="1" t="s">
        <v>30</v>
      </c>
      <c r="F2132">
        <v>4936.1099999999997</v>
      </c>
      <c r="G2132">
        <v>27</v>
      </c>
      <c r="H2132" s="1" t="s">
        <v>19</v>
      </c>
      <c r="I2132">
        <v>4354.6000000000004</v>
      </c>
      <c r="J2132">
        <v>4820.2</v>
      </c>
      <c r="K2132" s="1" t="s">
        <v>26</v>
      </c>
      <c r="L2132">
        <v>0.14000000000000001</v>
      </c>
      <c r="M2132" s="1" t="s">
        <v>27</v>
      </c>
      <c r="N2132" s="1" t="s">
        <v>33</v>
      </c>
      <c r="O2132" s="1" t="s">
        <v>34</v>
      </c>
      <c r="P2132">
        <v>117574.20000000001</v>
      </c>
      <c r="Q2132">
        <v>2023</v>
      </c>
      <c r="R2132">
        <v>111925.04399999999</v>
      </c>
      <c r="S2132">
        <v>-5649.1560000000172</v>
      </c>
      <c r="T2132" s="1" t="s">
        <v>165</v>
      </c>
      <c r="U2132">
        <v>-5.0472671692673297E-2</v>
      </c>
    </row>
    <row r="2133" spans="1:21" x14ac:dyDescent="0.3">
      <c r="A2133" s="1" t="s">
        <v>155</v>
      </c>
      <c r="B2133" s="1" t="s">
        <v>125</v>
      </c>
      <c r="C2133" s="2">
        <v>45198</v>
      </c>
      <c r="D2133" s="1" t="s">
        <v>43</v>
      </c>
      <c r="E2133" s="1" t="s">
        <v>18</v>
      </c>
      <c r="F2133">
        <v>6116.75</v>
      </c>
      <c r="G2133">
        <v>7</v>
      </c>
      <c r="H2133" s="1" t="s">
        <v>19</v>
      </c>
      <c r="I2133">
        <v>2588.67</v>
      </c>
      <c r="J2133">
        <v>2847.76</v>
      </c>
      <c r="K2133" s="1" t="s">
        <v>26</v>
      </c>
      <c r="L2133">
        <v>0.22</v>
      </c>
      <c r="M2133" s="1" t="s">
        <v>21</v>
      </c>
      <c r="N2133" s="1" t="s">
        <v>33</v>
      </c>
      <c r="O2133" s="1" t="s">
        <v>62</v>
      </c>
      <c r="P2133">
        <v>18120.690000000002</v>
      </c>
      <c r="Q2133">
        <v>2023</v>
      </c>
      <c r="R2133">
        <v>15548.7696</v>
      </c>
      <c r="S2133">
        <v>-2571.9204000000027</v>
      </c>
      <c r="T2133" s="1" t="s">
        <v>165</v>
      </c>
      <c r="U2133">
        <v>-0.16540989841408399</v>
      </c>
    </row>
    <row r="2134" spans="1:21" x14ac:dyDescent="0.3">
      <c r="A2134" s="1" t="s">
        <v>155</v>
      </c>
      <c r="B2134" s="1" t="s">
        <v>93</v>
      </c>
      <c r="C2134" s="2">
        <v>45199</v>
      </c>
      <c r="D2134" s="1" t="s">
        <v>25</v>
      </c>
      <c r="E2134" s="1" t="s">
        <v>18</v>
      </c>
      <c r="F2134">
        <v>7873.38</v>
      </c>
      <c r="G2134">
        <v>4</v>
      </c>
      <c r="H2134" s="1" t="s">
        <v>31</v>
      </c>
      <c r="I2134">
        <v>2900.14</v>
      </c>
      <c r="J2134">
        <v>2910.51</v>
      </c>
      <c r="K2134" s="1" t="s">
        <v>26</v>
      </c>
      <c r="L2134">
        <v>0.22</v>
      </c>
      <c r="M2134" s="1" t="s">
        <v>27</v>
      </c>
      <c r="N2134" s="1" t="s">
        <v>33</v>
      </c>
      <c r="O2134" s="1" t="s">
        <v>28</v>
      </c>
      <c r="P2134">
        <v>11600.56</v>
      </c>
      <c r="Q2134">
        <v>2023</v>
      </c>
      <c r="R2134">
        <v>9080.7912000000015</v>
      </c>
      <c r="S2134">
        <v>-2519.768799999998</v>
      </c>
      <c r="T2134" s="1" t="s">
        <v>165</v>
      </c>
      <c r="U2134">
        <v>-0.27748339814266398</v>
      </c>
    </row>
    <row r="2135" spans="1:21" x14ac:dyDescent="0.3">
      <c r="A2135" s="1" t="s">
        <v>155</v>
      </c>
      <c r="B2135" s="1" t="s">
        <v>84</v>
      </c>
      <c r="C2135" s="2">
        <v>45199</v>
      </c>
      <c r="D2135" s="1" t="s">
        <v>59</v>
      </c>
      <c r="E2135" s="1" t="s">
        <v>44</v>
      </c>
      <c r="F2135">
        <v>9532.8700000000008</v>
      </c>
      <c r="G2135">
        <v>30</v>
      </c>
      <c r="H2135" s="1" t="s">
        <v>57</v>
      </c>
      <c r="I2135">
        <v>169</v>
      </c>
      <c r="J2135">
        <v>381.92</v>
      </c>
      <c r="K2135" s="1" t="s">
        <v>20</v>
      </c>
      <c r="L2135">
        <v>0.26</v>
      </c>
      <c r="M2135" s="1" t="s">
        <v>21</v>
      </c>
      <c r="N2135" s="1" t="s">
        <v>33</v>
      </c>
      <c r="O2135" s="1" t="s">
        <v>60</v>
      </c>
      <c r="P2135">
        <v>5070</v>
      </c>
      <c r="Q2135">
        <v>2023</v>
      </c>
      <c r="R2135">
        <v>8478.6239999999998</v>
      </c>
      <c r="S2135">
        <v>3408.6239999999998</v>
      </c>
      <c r="T2135" s="1" t="s">
        <v>165</v>
      </c>
      <c r="U2135">
        <v>0.40202561170303103</v>
      </c>
    </row>
    <row r="2136" spans="1:21" x14ac:dyDescent="0.3">
      <c r="A2136" s="1" t="s">
        <v>155</v>
      </c>
      <c r="B2136" s="1" t="s">
        <v>58</v>
      </c>
      <c r="C2136" s="2">
        <v>45199</v>
      </c>
      <c r="D2136" s="1" t="s">
        <v>25</v>
      </c>
      <c r="E2136" s="1" t="s">
        <v>18</v>
      </c>
      <c r="F2136">
        <v>8046.14</v>
      </c>
      <c r="G2136">
        <v>8</v>
      </c>
      <c r="H2136" s="1" t="s">
        <v>31</v>
      </c>
      <c r="I2136">
        <v>1563.78</v>
      </c>
      <c r="J2136">
        <v>1829.16</v>
      </c>
      <c r="K2136" s="1" t="s">
        <v>20</v>
      </c>
      <c r="L2136">
        <v>0.15</v>
      </c>
      <c r="M2136" s="1" t="s">
        <v>21</v>
      </c>
      <c r="N2136" s="1" t="s">
        <v>22</v>
      </c>
      <c r="O2136" s="1" t="s">
        <v>28</v>
      </c>
      <c r="P2136">
        <v>12510.24</v>
      </c>
      <c r="Q2136">
        <v>2023</v>
      </c>
      <c r="R2136">
        <v>12438.288</v>
      </c>
      <c r="S2136">
        <v>-71.951999999999316</v>
      </c>
      <c r="T2136" s="1" t="s">
        <v>165</v>
      </c>
      <c r="U2136">
        <v>-5.7847189259486002E-3</v>
      </c>
    </row>
    <row r="2137" spans="1:21" x14ac:dyDescent="0.3">
      <c r="A2137" s="1" t="s">
        <v>155</v>
      </c>
      <c r="B2137" s="1" t="s">
        <v>149</v>
      </c>
      <c r="C2137" s="2">
        <v>45200</v>
      </c>
      <c r="D2137" s="1" t="s">
        <v>17</v>
      </c>
      <c r="E2137" s="1" t="s">
        <v>44</v>
      </c>
      <c r="F2137">
        <v>1697.49</v>
      </c>
      <c r="G2137">
        <v>22</v>
      </c>
      <c r="H2137" s="1" t="s">
        <v>37</v>
      </c>
      <c r="I2137">
        <v>2593.64</v>
      </c>
      <c r="J2137">
        <v>2955.51</v>
      </c>
      <c r="K2137" s="1" t="s">
        <v>20</v>
      </c>
      <c r="L2137">
        <v>0</v>
      </c>
      <c r="M2137" s="1" t="s">
        <v>32</v>
      </c>
      <c r="N2137" s="1" t="s">
        <v>33</v>
      </c>
      <c r="O2137" s="1" t="s">
        <v>49</v>
      </c>
      <c r="P2137">
        <v>57060.079999999994</v>
      </c>
      <c r="Q2137">
        <v>2023</v>
      </c>
      <c r="R2137">
        <v>65021.22</v>
      </c>
      <c r="S2137">
        <v>7961.1400000000067</v>
      </c>
      <c r="T2137" s="1" t="s">
        <v>166</v>
      </c>
      <c r="U2137">
        <v>0.122439105264405</v>
      </c>
    </row>
    <row r="2138" spans="1:21" x14ac:dyDescent="0.3">
      <c r="A2138" s="1" t="s">
        <v>155</v>
      </c>
      <c r="B2138" s="1" t="s">
        <v>80</v>
      </c>
      <c r="C2138" s="2">
        <v>45200</v>
      </c>
      <c r="D2138" s="1" t="s">
        <v>59</v>
      </c>
      <c r="E2138" s="1" t="s">
        <v>40</v>
      </c>
      <c r="F2138">
        <v>5405.76</v>
      </c>
      <c r="G2138">
        <v>5</v>
      </c>
      <c r="H2138" s="1" t="s">
        <v>37</v>
      </c>
      <c r="I2138">
        <v>3650.89</v>
      </c>
      <c r="J2138">
        <v>3930.06</v>
      </c>
      <c r="K2138" s="1" t="s">
        <v>26</v>
      </c>
      <c r="L2138">
        <v>0.17</v>
      </c>
      <c r="M2138" s="1" t="s">
        <v>32</v>
      </c>
      <c r="N2138" s="1" t="s">
        <v>22</v>
      </c>
      <c r="O2138" s="1" t="s">
        <v>90</v>
      </c>
      <c r="P2138">
        <v>18254.45</v>
      </c>
      <c r="Q2138">
        <v>2023</v>
      </c>
      <c r="R2138">
        <v>16309.748999999998</v>
      </c>
      <c r="S2138">
        <v>-1944.7010000000028</v>
      </c>
      <c r="T2138" s="1" t="s">
        <v>166</v>
      </c>
      <c r="U2138">
        <v>-0.119235495285673</v>
      </c>
    </row>
    <row r="2139" spans="1:21" x14ac:dyDescent="0.3">
      <c r="A2139" s="1" t="s">
        <v>155</v>
      </c>
      <c r="B2139" s="1" t="s">
        <v>148</v>
      </c>
      <c r="C2139" s="2">
        <v>45200</v>
      </c>
      <c r="D2139" s="1" t="s">
        <v>17</v>
      </c>
      <c r="E2139" s="1" t="s">
        <v>44</v>
      </c>
      <c r="F2139">
        <v>3917.42</v>
      </c>
      <c r="G2139">
        <v>15</v>
      </c>
      <c r="H2139" s="1" t="s">
        <v>37</v>
      </c>
      <c r="I2139">
        <v>1534.7</v>
      </c>
      <c r="J2139">
        <v>1972.62</v>
      </c>
      <c r="K2139" s="1" t="s">
        <v>20</v>
      </c>
      <c r="L2139">
        <v>0.06</v>
      </c>
      <c r="M2139" s="1" t="s">
        <v>27</v>
      </c>
      <c r="N2139" s="1" t="s">
        <v>33</v>
      </c>
      <c r="O2139" s="1" t="s">
        <v>49</v>
      </c>
      <c r="P2139">
        <v>23020.5</v>
      </c>
      <c r="Q2139">
        <v>2023</v>
      </c>
      <c r="R2139">
        <v>27813.941999999999</v>
      </c>
      <c r="S2139">
        <v>4793.4419999999991</v>
      </c>
      <c r="T2139" s="1" t="s">
        <v>166</v>
      </c>
      <c r="U2139">
        <v>0.172339541083389</v>
      </c>
    </row>
    <row r="2140" spans="1:21" x14ac:dyDescent="0.3">
      <c r="A2140" s="1" t="s">
        <v>155</v>
      </c>
      <c r="B2140" s="1" t="s">
        <v>110</v>
      </c>
      <c r="C2140" s="2">
        <v>45201</v>
      </c>
      <c r="D2140" s="1" t="s">
        <v>36</v>
      </c>
      <c r="E2140" s="1" t="s">
        <v>44</v>
      </c>
      <c r="F2140">
        <v>7724.57</v>
      </c>
      <c r="G2140">
        <v>29</v>
      </c>
      <c r="H2140" s="1" t="s">
        <v>37</v>
      </c>
      <c r="I2140">
        <v>3741.3</v>
      </c>
      <c r="J2140">
        <v>4061.04</v>
      </c>
      <c r="K2140" s="1" t="s">
        <v>20</v>
      </c>
      <c r="L2140">
        <v>0.21</v>
      </c>
      <c r="M2140" s="1" t="s">
        <v>27</v>
      </c>
      <c r="N2140" s="1" t="s">
        <v>22</v>
      </c>
      <c r="O2140" s="1" t="s">
        <v>71</v>
      </c>
      <c r="P2140">
        <v>108497.70000000001</v>
      </c>
      <c r="Q2140">
        <v>2023</v>
      </c>
      <c r="R2140">
        <v>93038.426400000011</v>
      </c>
      <c r="S2140">
        <v>-15459.2736</v>
      </c>
      <c r="T2140" s="1" t="s">
        <v>166</v>
      </c>
      <c r="U2140">
        <v>-0.16616009318059599</v>
      </c>
    </row>
    <row r="2141" spans="1:21" x14ac:dyDescent="0.3">
      <c r="A2141" s="1" t="s">
        <v>155</v>
      </c>
      <c r="B2141" s="1" t="s">
        <v>149</v>
      </c>
      <c r="C2141" s="2">
        <v>45201</v>
      </c>
      <c r="D2141" s="1" t="s">
        <v>43</v>
      </c>
      <c r="E2141" s="1" t="s">
        <v>40</v>
      </c>
      <c r="F2141">
        <v>3747.64</v>
      </c>
      <c r="G2141">
        <v>43</v>
      </c>
      <c r="H2141" s="1" t="s">
        <v>37</v>
      </c>
      <c r="I2141">
        <v>1486.76</v>
      </c>
      <c r="J2141">
        <v>1505.44</v>
      </c>
      <c r="K2141" s="1" t="s">
        <v>26</v>
      </c>
      <c r="L2141">
        <v>0.08</v>
      </c>
      <c r="M2141" s="1" t="s">
        <v>21</v>
      </c>
      <c r="N2141" s="1" t="s">
        <v>33</v>
      </c>
      <c r="O2141" s="1" t="s">
        <v>99</v>
      </c>
      <c r="P2141">
        <v>63930.68</v>
      </c>
      <c r="Q2141">
        <v>2023</v>
      </c>
      <c r="R2141">
        <v>59555.20640000001</v>
      </c>
      <c r="S2141">
        <v>-4375.4735999999903</v>
      </c>
      <c r="T2141" s="1" t="s">
        <v>166</v>
      </c>
      <c r="U2141">
        <v>-7.3469203861242796E-2</v>
      </c>
    </row>
    <row r="2142" spans="1:21" x14ac:dyDescent="0.3">
      <c r="A2142" s="1" t="s">
        <v>155</v>
      </c>
      <c r="B2142" s="1" t="s">
        <v>85</v>
      </c>
      <c r="C2142" s="2">
        <v>45203</v>
      </c>
      <c r="D2142" s="1" t="s">
        <v>43</v>
      </c>
      <c r="E2142" s="1" t="s">
        <v>44</v>
      </c>
      <c r="F2142">
        <v>6116.75</v>
      </c>
      <c r="G2142">
        <v>40</v>
      </c>
      <c r="H2142" s="1" t="s">
        <v>37</v>
      </c>
      <c r="I2142">
        <v>4904.93</v>
      </c>
      <c r="J2142">
        <v>5034.3500000000004</v>
      </c>
      <c r="K2142" s="1" t="s">
        <v>26</v>
      </c>
      <c r="L2142">
        <v>0.1</v>
      </c>
      <c r="M2142" s="1" t="s">
        <v>27</v>
      </c>
      <c r="N2142" s="1" t="s">
        <v>33</v>
      </c>
      <c r="O2142" s="1" t="s">
        <v>45</v>
      </c>
      <c r="P2142">
        <v>196197.2</v>
      </c>
      <c r="Q2142">
        <v>2023</v>
      </c>
      <c r="R2142">
        <v>181236.6</v>
      </c>
      <c r="S2142">
        <v>-14960.600000000006</v>
      </c>
      <c r="T2142" s="1" t="s">
        <v>166</v>
      </c>
      <c r="U2142">
        <v>-8.2547344189860095E-2</v>
      </c>
    </row>
    <row r="2143" spans="1:21" x14ac:dyDescent="0.3">
      <c r="A2143" s="1" t="s">
        <v>155</v>
      </c>
      <c r="B2143" s="1" t="s">
        <v>154</v>
      </c>
      <c r="C2143" s="2">
        <v>45203</v>
      </c>
      <c r="D2143" s="1" t="s">
        <v>17</v>
      </c>
      <c r="E2143" s="1" t="s">
        <v>44</v>
      </c>
      <c r="F2143">
        <v>942.52</v>
      </c>
      <c r="G2143">
        <v>12</v>
      </c>
      <c r="H2143" s="1" t="s">
        <v>57</v>
      </c>
      <c r="I2143">
        <v>4754.0200000000004</v>
      </c>
      <c r="J2143">
        <v>5080.74</v>
      </c>
      <c r="K2143" s="1" t="s">
        <v>26</v>
      </c>
      <c r="L2143">
        <v>0.2</v>
      </c>
      <c r="M2143" s="1" t="s">
        <v>21</v>
      </c>
      <c r="N2143" s="1" t="s">
        <v>22</v>
      </c>
      <c r="O2143" s="1" t="s">
        <v>49</v>
      </c>
      <c r="P2143">
        <v>57048.240000000005</v>
      </c>
      <c r="Q2143">
        <v>2023</v>
      </c>
      <c r="R2143">
        <v>48775.103999999999</v>
      </c>
      <c r="S2143">
        <v>-8273.1360000000059</v>
      </c>
      <c r="T2143" s="1" t="s">
        <v>166</v>
      </c>
      <c r="U2143">
        <v>-0.16961800840035099</v>
      </c>
    </row>
    <row r="2144" spans="1:21" x14ac:dyDescent="0.3">
      <c r="A2144" s="1" t="s">
        <v>155</v>
      </c>
      <c r="B2144" s="1" t="s">
        <v>76</v>
      </c>
      <c r="C2144" s="2">
        <v>45204</v>
      </c>
      <c r="D2144" s="1" t="s">
        <v>59</v>
      </c>
      <c r="E2144" s="1" t="s">
        <v>30</v>
      </c>
      <c r="F2144">
        <v>3530.59</v>
      </c>
      <c r="G2144">
        <v>4</v>
      </c>
      <c r="H2144" s="1" t="s">
        <v>31</v>
      </c>
      <c r="I2144">
        <v>4596.68</v>
      </c>
      <c r="J2144">
        <v>5044.74</v>
      </c>
      <c r="K2144" s="1" t="s">
        <v>26</v>
      </c>
      <c r="L2144">
        <v>0.01</v>
      </c>
      <c r="M2144" s="1" t="s">
        <v>32</v>
      </c>
      <c r="N2144" s="1" t="s">
        <v>22</v>
      </c>
      <c r="O2144" s="1" t="s">
        <v>86</v>
      </c>
      <c r="P2144">
        <v>18386.72</v>
      </c>
      <c r="Q2144">
        <v>2023</v>
      </c>
      <c r="R2144">
        <v>19977.170399999999</v>
      </c>
      <c r="S2144">
        <v>1590.4503999999979</v>
      </c>
      <c r="T2144" s="1" t="s">
        <v>166</v>
      </c>
      <c r="U2144">
        <v>7.9613397100522204E-2</v>
      </c>
    </row>
    <row r="2145" spans="1:21" x14ac:dyDescent="0.3">
      <c r="A2145" s="1" t="s">
        <v>155</v>
      </c>
      <c r="B2145" s="1" t="s">
        <v>144</v>
      </c>
      <c r="C2145" s="2">
        <v>45204</v>
      </c>
      <c r="D2145" s="1" t="s">
        <v>59</v>
      </c>
      <c r="E2145" s="1" t="s">
        <v>30</v>
      </c>
      <c r="F2145">
        <v>7859.01</v>
      </c>
      <c r="G2145">
        <v>27</v>
      </c>
      <c r="H2145" s="1" t="s">
        <v>57</v>
      </c>
      <c r="I2145">
        <v>2069.08</v>
      </c>
      <c r="J2145">
        <v>2246.2399999999998</v>
      </c>
      <c r="K2145" s="1" t="s">
        <v>26</v>
      </c>
      <c r="L2145">
        <v>0.06</v>
      </c>
      <c r="M2145" s="1" t="s">
        <v>32</v>
      </c>
      <c r="N2145" s="1" t="s">
        <v>33</v>
      </c>
      <c r="O2145" s="1" t="s">
        <v>86</v>
      </c>
      <c r="P2145">
        <v>55865.159999999996</v>
      </c>
      <c r="Q2145">
        <v>2023</v>
      </c>
      <c r="R2145">
        <v>57009.571199999991</v>
      </c>
      <c r="S2145">
        <v>1144.411199999995</v>
      </c>
      <c r="T2145" s="1" t="s">
        <v>166</v>
      </c>
      <c r="U2145">
        <v>2.0074018728981301E-2</v>
      </c>
    </row>
    <row r="2146" spans="1:21" x14ac:dyDescent="0.3">
      <c r="A2146" s="1" t="s">
        <v>155</v>
      </c>
      <c r="B2146" s="1" t="s">
        <v>82</v>
      </c>
      <c r="C2146" s="2">
        <v>45206</v>
      </c>
      <c r="D2146" s="1" t="s">
        <v>59</v>
      </c>
      <c r="E2146" s="1" t="s">
        <v>30</v>
      </c>
      <c r="F2146">
        <v>6453.17</v>
      </c>
      <c r="G2146">
        <v>23</v>
      </c>
      <c r="H2146" s="1" t="s">
        <v>37</v>
      </c>
      <c r="I2146">
        <v>647.70000000000005</v>
      </c>
      <c r="J2146">
        <v>902.26</v>
      </c>
      <c r="K2146" s="1" t="s">
        <v>26</v>
      </c>
      <c r="L2146">
        <v>0.17</v>
      </c>
      <c r="M2146" s="1" t="s">
        <v>32</v>
      </c>
      <c r="N2146" s="1" t="s">
        <v>22</v>
      </c>
      <c r="O2146" s="1" t="s">
        <v>86</v>
      </c>
      <c r="P2146">
        <v>14897.1</v>
      </c>
      <c r="Q2146">
        <v>2023</v>
      </c>
      <c r="R2146">
        <v>17224.143399999997</v>
      </c>
      <c r="S2146">
        <v>2327.0433999999968</v>
      </c>
      <c r="T2146" s="1" t="s">
        <v>166</v>
      </c>
      <c r="U2146">
        <v>0.13510357792306801</v>
      </c>
    </row>
    <row r="2147" spans="1:21" x14ac:dyDescent="0.3">
      <c r="A2147" s="1" t="s">
        <v>155</v>
      </c>
      <c r="B2147" s="1" t="s">
        <v>50</v>
      </c>
      <c r="C2147" s="2">
        <v>45206</v>
      </c>
      <c r="D2147" s="1" t="s">
        <v>43</v>
      </c>
      <c r="E2147" s="1" t="s">
        <v>40</v>
      </c>
      <c r="F2147">
        <v>8047.83</v>
      </c>
      <c r="G2147">
        <v>3</v>
      </c>
      <c r="H2147" s="1" t="s">
        <v>31</v>
      </c>
      <c r="I2147">
        <v>3434.75</v>
      </c>
      <c r="J2147">
        <v>3659.42</v>
      </c>
      <c r="K2147" s="1" t="s">
        <v>26</v>
      </c>
      <c r="L2147">
        <v>0.16</v>
      </c>
      <c r="M2147" s="1" t="s">
        <v>21</v>
      </c>
      <c r="N2147" s="1" t="s">
        <v>22</v>
      </c>
      <c r="O2147" s="1" t="s">
        <v>99</v>
      </c>
      <c r="P2147">
        <v>10304.25</v>
      </c>
      <c r="Q2147">
        <v>2023</v>
      </c>
      <c r="R2147">
        <v>9221.7384000000002</v>
      </c>
      <c r="S2147">
        <v>-1082.5115999999998</v>
      </c>
      <c r="T2147" s="1" t="s">
        <v>166</v>
      </c>
      <c r="U2147">
        <v>-0.117386934333336</v>
      </c>
    </row>
    <row r="2148" spans="1:21" x14ac:dyDescent="0.3">
      <c r="A2148" s="1" t="s">
        <v>155</v>
      </c>
      <c r="B2148" s="1" t="s">
        <v>140</v>
      </c>
      <c r="C2148" s="2">
        <v>45207</v>
      </c>
      <c r="D2148" s="1" t="s">
        <v>17</v>
      </c>
      <c r="E2148" s="1" t="s">
        <v>44</v>
      </c>
      <c r="F2148">
        <v>4095.65</v>
      </c>
      <c r="G2148">
        <v>11</v>
      </c>
      <c r="H2148" s="1" t="s">
        <v>57</v>
      </c>
      <c r="I2148">
        <v>2025.67</v>
      </c>
      <c r="J2148">
        <v>2081.5500000000002</v>
      </c>
      <c r="K2148" s="1" t="s">
        <v>26</v>
      </c>
      <c r="L2148">
        <v>0.27</v>
      </c>
      <c r="M2148" s="1" t="s">
        <v>32</v>
      </c>
      <c r="N2148" s="1" t="s">
        <v>22</v>
      </c>
      <c r="O2148" s="1" t="s">
        <v>49</v>
      </c>
      <c r="P2148">
        <v>22282.370000000003</v>
      </c>
      <c r="Q2148">
        <v>2023</v>
      </c>
      <c r="R2148">
        <v>16714.846500000003</v>
      </c>
      <c r="S2148">
        <v>-5567.5234999999993</v>
      </c>
      <c r="T2148" s="1" t="s">
        <v>166</v>
      </c>
      <c r="U2148">
        <v>-0.33308852103427899</v>
      </c>
    </row>
    <row r="2149" spans="1:21" x14ac:dyDescent="0.3">
      <c r="A2149" s="1" t="s">
        <v>155</v>
      </c>
      <c r="B2149" s="1" t="s">
        <v>134</v>
      </c>
      <c r="C2149" s="2">
        <v>45207</v>
      </c>
      <c r="D2149" s="1" t="s">
        <v>43</v>
      </c>
      <c r="E2149" s="1" t="s">
        <v>40</v>
      </c>
      <c r="F2149">
        <v>8397.73</v>
      </c>
      <c r="G2149">
        <v>33</v>
      </c>
      <c r="H2149" s="1" t="s">
        <v>31</v>
      </c>
      <c r="I2149">
        <v>2933.54</v>
      </c>
      <c r="J2149">
        <v>3307.75</v>
      </c>
      <c r="K2149" s="1" t="s">
        <v>20</v>
      </c>
      <c r="L2149">
        <v>0.01</v>
      </c>
      <c r="M2149" s="1" t="s">
        <v>32</v>
      </c>
      <c r="N2149" s="1" t="s">
        <v>33</v>
      </c>
      <c r="O2149" s="1" t="s">
        <v>99</v>
      </c>
      <c r="P2149">
        <v>96806.819999999992</v>
      </c>
      <c r="Q2149">
        <v>2023</v>
      </c>
      <c r="R2149">
        <v>108064.1925</v>
      </c>
      <c r="S2149">
        <v>11257.372500000012</v>
      </c>
      <c r="T2149" s="1" t="s">
        <v>166</v>
      </c>
      <c r="U2149">
        <v>0.10417301272112001</v>
      </c>
    </row>
    <row r="2150" spans="1:21" x14ac:dyDescent="0.3">
      <c r="A2150" s="1" t="s">
        <v>155</v>
      </c>
      <c r="B2150" s="1" t="s">
        <v>39</v>
      </c>
      <c r="C2150" s="2">
        <v>45208</v>
      </c>
      <c r="D2150" s="1" t="s">
        <v>25</v>
      </c>
      <c r="E2150" s="1" t="s">
        <v>40</v>
      </c>
      <c r="F2150">
        <v>8239.58</v>
      </c>
      <c r="G2150">
        <v>18</v>
      </c>
      <c r="H2150" s="1" t="s">
        <v>19</v>
      </c>
      <c r="I2150">
        <v>2228.35</v>
      </c>
      <c r="J2150">
        <v>2682.34</v>
      </c>
      <c r="K2150" s="1" t="s">
        <v>26</v>
      </c>
      <c r="L2150">
        <v>0.13</v>
      </c>
      <c r="M2150" s="1" t="s">
        <v>32</v>
      </c>
      <c r="N2150" s="1" t="s">
        <v>22</v>
      </c>
      <c r="O2150" s="1" t="s">
        <v>83</v>
      </c>
      <c r="P2150">
        <v>40110.299999999996</v>
      </c>
      <c r="Q2150">
        <v>2023</v>
      </c>
      <c r="R2150">
        <v>42005.4444</v>
      </c>
      <c r="S2150">
        <v>1895.1444000000047</v>
      </c>
      <c r="T2150" s="1" t="s">
        <v>166</v>
      </c>
      <c r="U2150">
        <v>4.5116637309043799E-2</v>
      </c>
    </row>
    <row r="2151" spans="1:21" x14ac:dyDescent="0.3">
      <c r="A2151" s="1" t="s">
        <v>155</v>
      </c>
      <c r="B2151" s="1" t="s">
        <v>63</v>
      </c>
      <c r="C2151" s="2">
        <v>45208</v>
      </c>
      <c r="D2151" s="1" t="s">
        <v>43</v>
      </c>
      <c r="E2151" s="1" t="s">
        <v>44</v>
      </c>
      <c r="F2151">
        <v>544.62</v>
      </c>
      <c r="G2151">
        <v>4</v>
      </c>
      <c r="H2151" s="1" t="s">
        <v>37</v>
      </c>
      <c r="I2151">
        <v>1581.59</v>
      </c>
      <c r="J2151">
        <v>2034.15</v>
      </c>
      <c r="K2151" s="1" t="s">
        <v>20</v>
      </c>
      <c r="L2151">
        <v>0.21</v>
      </c>
      <c r="M2151" s="1" t="s">
        <v>21</v>
      </c>
      <c r="N2151" s="1" t="s">
        <v>22</v>
      </c>
      <c r="O2151" s="1" t="s">
        <v>45</v>
      </c>
      <c r="P2151">
        <v>6326.36</v>
      </c>
      <c r="Q2151">
        <v>2023</v>
      </c>
      <c r="R2151">
        <v>6427.9140000000007</v>
      </c>
      <c r="S2151">
        <v>101.554000000001</v>
      </c>
      <c r="T2151" s="1" t="s">
        <v>166</v>
      </c>
      <c r="U2151">
        <v>1.57989045901985E-2</v>
      </c>
    </row>
    <row r="2152" spans="1:21" x14ac:dyDescent="0.3">
      <c r="A2152" s="1" t="s">
        <v>155</v>
      </c>
      <c r="B2152" s="1" t="s">
        <v>61</v>
      </c>
      <c r="C2152" s="2">
        <v>45208</v>
      </c>
      <c r="D2152" s="1" t="s">
        <v>36</v>
      </c>
      <c r="E2152" s="1" t="s">
        <v>40</v>
      </c>
      <c r="F2152">
        <v>6757.36</v>
      </c>
      <c r="G2152">
        <v>41</v>
      </c>
      <c r="H2152" s="1" t="s">
        <v>37</v>
      </c>
      <c r="I2152">
        <v>1509.98</v>
      </c>
      <c r="J2152">
        <v>1792.83</v>
      </c>
      <c r="K2152" s="1" t="s">
        <v>26</v>
      </c>
      <c r="L2152">
        <v>0.04</v>
      </c>
      <c r="M2152" s="1" t="s">
        <v>21</v>
      </c>
      <c r="N2152" s="1" t="s">
        <v>33</v>
      </c>
      <c r="O2152" s="1" t="s">
        <v>41</v>
      </c>
      <c r="P2152">
        <v>61909.18</v>
      </c>
      <c r="Q2152">
        <v>2023</v>
      </c>
      <c r="R2152">
        <v>70565.788799999995</v>
      </c>
      <c r="S2152">
        <v>8656.6087999999945</v>
      </c>
      <c r="T2152" s="1" t="s">
        <v>166</v>
      </c>
      <c r="U2152">
        <v>0.12267430077958701</v>
      </c>
    </row>
    <row r="2153" spans="1:21" x14ac:dyDescent="0.3">
      <c r="A2153" s="1" t="s">
        <v>155</v>
      </c>
      <c r="B2153" s="1" t="s">
        <v>138</v>
      </c>
      <c r="C2153" s="2">
        <v>45208</v>
      </c>
      <c r="D2153" s="1" t="s">
        <v>36</v>
      </c>
      <c r="E2153" s="1" t="s">
        <v>18</v>
      </c>
      <c r="F2153">
        <v>8828.74</v>
      </c>
      <c r="G2153">
        <v>21</v>
      </c>
      <c r="H2153" s="1" t="s">
        <v>19</v>
      </c>
      <c r="I2153">
        <v>621.04999999999995</v>
      </c>
      <c r="J2153">
        <v>820.37</v>
      </c>
      <c r="K2153" s="1" t="s">
        <v>20</v>
      </c>
      <c r="L2153">
        <v>0.24</v>
      </c>
      <c r="M2153" s="1" t="s">
        <v>32</v>
      </c>
      <c r="N2153" s="1" t="s">
        <v>22</v>
      </c>
      <c r="O2153" s="1" t="s">
        <v>115</v>
      </c>
      <c r="P2153">
        <v>13042.05</v>
      </c>
      <c r="Q2153">
        <v>2023</v>
      </c>
      <c r="R2153">
        <v>13093.1052</v>
      </c>
      <c r="S2153">
        <v>51.055200000000696</v>
      </c>
      <c r="T2153" s="1" t="s">
        <v>166</v>
      </c>
      <c r="U2153">
        <v>3.8993958438522801E-3</v>
      </c>
    </row>
    <row r="2154" spans="1:21" x14ac:dyDescent="0.3">
      <c r="A2154" s="1" t="s">
        <v>155</v>
      </c>
      <c r="B2154" s="1" t="s">
        <v>134</v>
      </c>
      <c r="C2154" s="2">
        <v>45209</v>
      </c>
      <c r="D2154" s="1" t="s">
        <v>36</v>
      </c>
      <c r="E2154" s="1" t="s">
        <v>40</v>
      </c>
      <c r="F2154">
        <v>3780.07</v>
      </c>
      <c r="G2154">
        <v>18</v>
      </c>
      <c r="H2154" s="1" t="s">
        <v>31</v>
      </c>
      <c r="I2154">
        <v>2602.6</v>
      </c>
      <c r="J2154">
        <v>3013.49</v>
      </c>
      <c r="K2154" s="1" t="s">
        <v>20</v>
      </c>
      <c r="L2154">
        <v>0.08</v>
      </c>
      <c r="M2154" s="1" t="s">
        <v>32</v>
      </c>
      <c r="N2154" s="1" t="s">
        <v>22</v>
      </c>
      <c r="O2154" s="1" t="s">
        <v>41</v>
      </c>
      <c r="P2154">
        <v>46846.799999999996</v>
      </c>
      <c r="Q2154">
        <v>2023</v>
      </c>
      <c r="R2154">
        <v>49903.394399999997</v>
      </c>
      <c r="S2154">
        <v>3056.5944000000018</v>
      </c>
      <c r="T2154" s="1" t="s">
        <v>166</v>
      </c>
      <c r="U2154">
        <v>6.1250230304974999E-2</v>
      </c>
    </row>
    <row r="2155" spans="1:21" x14ac:dyDescent="0.3">
      <c r="A2155" s="1" t="s">
        <v>155</v>
      </c>
      <c r="B2155" s="1" t="s">
        <v>152</v>
      </c>
      <c r="C2155" s="2">
        <v>45210</v>
      </c>
      <c r="D2155" s="1" t="s">
        <v>17</v>
      </c>
      <c r="E2155" s="1" t="s">
        <v>30</v>
      </c>
      <c r="F2155">
        <v>2030.25</v>
      </c>
      <c r="G2155">
        <v>32</v>
      </c>
      <c r="H2155" s="1" t="s">
        <v>37</v>
      </c>
      <c r="I2155">
        <v>2866.47</v>
      </c>
      <c r="J2155">
        <v>3286.47</v>
      </c>
      <c r="K2155" s="1" t="s">
        <v>26</v>
      </c>
      <c r="L2155">
        <v>0.09</v>
      </c>
      <c r="M2155" s="1" t="s">
        <v>27</v>
      </c>
      <c r="N2155" s="1" t="s">
        <v>22</v>
      </c>
      <c r="O2155" s="1" t="s">
        <v>34</v>
      </c>
      <c r="P2155">
        <v>91727.039999999994</v>
      </c>
      <c r="Q2155">
        <v>2023</v>
      </c>
      <c r="R2155">
        <v>95702.006399999998</v>
      </c>
      <c r="S2155">
        <v>3974.9664000000048</v>
      </c>
      <c r="T2155" s="1" t="s">
        <v>166</v>
      </c>
      <c r="U2155">
        <v>4.1534828260403202E-2</v>
      </c>
    </row>
    <row r="2156" spans="1:21" x14ac:dyDescent="0.3">
      <c r="A2156" s="1" t="s">
        <v>155</v>
      </c>
      <c r="B2156" s="1" t="s">
        <v>61</v>
      </c>
      <c r="C2156" s="2">
        <v>45211</v>
      </c>
      <c r="D2156" s="1" t="s">
        <v>36</v>
      </c>
      <c r="E2156" s="1" t="s">
        <v>18</v>
      </c>
      <c r="F2156">
        <v>7444.77</v>
      </c>
      <c r="G2156">
        <v>46</v>
      </c>
      <c r="H2156" s="1" t="s">
        <v>37</v>
      </c>
      <c r="I2156">
        <v>3136.42</v>
      </c>
      <c r="J2156">
        <v>3198.49</v>
      </c>
      <c r="K2156" s="1" t="s">
        <v>20</v>
      </c>
      <c r="L2156">
        <v>0.28999999999999998</v>
      </c>
      <c r="M2156" s="1" t="s">
        <v>21</v>
      </c>
      <c r="N2156" s="1" t="s">
        <v>33</v>
      </c>
      <c r="O2156" s="1" t="s">
        <v>115</v>
      </c>
      <c r="P2156">
        <v>144275.32</v>
      </c>
      <c r="Q2156">
        <v>2023</v>
      </c>
      <c r="R2156">
        <v>104462.68339999998</v>
      </c>
      <c r="S2156">
        <v>-39812.636600000027</v>
      </c>
      <c r="T2156" s="1" t="s">
        <v>166</v>
      </c>
      <c r="U2156">
        <v>-0.38111826447682501</v>
      </c>
    </row>
    <row r="2157" spans="1:21" x14ac:dyDescent="0.3">
      <c r="A2157" s="1" t="s">
        <v>155</v>
      </c>
      <c r="B2157" s="1" t="s">
        <v>140</v>
      </c>
      <c r="C2157" s="2">
        <v>45211</v>
      </c>
      <c r="D2157" s="1" t="s">
        <v>59</v>
      </c>
      <c r="E2157" s="1" t="s">
        <v>18</v>
      </c>
      <c r="F2157">
        <v>3035.94</v>
      </c>
      <c r="G2157">
        <v>17</v>
      </c>
      <c r="H2157" s="1" t="s">
        <v>19</v>
      </c>
      <c r="I2157">
        <v>1291.9100000000001</v>
      </c>
      <c r="J2157">
        <v>1528.59</v>
      </c>
      <c r="K2157" s="1" t="s">
        <v>20</v>
      </c>
      <c r="L2157">
        <v>0.11</v>
      </c>
      <c r="M2157" s="1" t="s">
        <v>27</v>
      </c>
      <c r="N2157" s="1" t="s">
        <v>33</v>
      </c>
      <c r="O2157" s="1" t="s">
        <v>77</v>
      </c>
      <c r="P2157">
        <v>21962.47</v>
      </c>
      <c r="Q2157">
        <v>2023</v>
      </c>
      <c r="R2157">
        <v>23127.566699999999</v>
      </c>
      <c r="S2157">
        <v>1165.0966999999982</v>
      </c>
      <c r="T2157" s="1" t="s">
        <v>166</v>
      </c>
      <c r="U2157">
        <v>5.0376968537723402E-2</v>
      </c>
    </row>
    <row r="2158" spans="1:21" x14ac:dyDescent="0.3">
      <c r="A2158" s="1" t="s">
        <v>155</v>
      </c>
      <c r="B2158" s="1" t="s">
        <v>152</v>
      </c>
      <c r="C2158" s="2">
        <v>45211</v>
      </c>
      <c r="D2158" s="1" t="s">
        <v>25</v>
      </c>
      <c r="E2158" s="1" t="s">
        <v>40</v>
      </c>
      <c r="F2158">
        <v>220.35</v>
      </c>
      <c r="G2158">
        <v>16</v>
      </c>
      <c r="H2158" s="1" t="s">
        <v>19</v>
      </c>
      <c r="I2158">
        <v>4977.78</v>
      </c>
      <c r="J2158">
        <v>4995.55</v>
      </c>
      <c r="K2158" s="1" t="s">
        <v>26</v>
      </c>
      <c r="L2158">
        <v>0.25</v>
      </c>
      <c r="M2158" s="1" t="s">
        <v>27</v>
      </c>
      <c r="N2158" s="1" t="s">
        <v>22</v>
      </c>
      <c r="O2158" s="1" t="s">
        <v>83</v>
      </c>
      <c r="P2158">
        <v>79644.479999999996</v>
      </c>
      <c r="Q2158">
        <v>2023</v>
      </c>
      <c r="R2158">
        <v>59946.600000000006</v>
      </c>
      <c r="S2158">
        <v>-19697.87999999999</v>
      </c>
      <c r="T2158" s="1" t="s">
        <v>166</v>
      </c>
      <c r="U2158">
        <v>-0.32859044549649202</v>
      </c>
    </row>
    <row r="2159" spans="1:21" x14ac:dyDescent="0.3">
      <c r="A2159" s="1" t="s">
        <v>155</v>
      </c>
      <c r="B2159" s="1" t="s">
        <v>133</v>
      </c>
      <c r="C2159" s="2">
        <v>45211</v>
      </c>
      <c r="D2159" s="1" t="s">
        <v>25</v>
      </c>
      <c r="E2159" s="1" t="s">
        <v>18</v>
      </c>
      <c r="F2159">
        <v>9907.7199999999993</v>
      </c>
      <c r="G2159">
        <v>20</v>
      </c>
      <c r="H2159" s="1" t="s">
        <v>31</v>
      </c>
      <c r="I2159">
        <v>4298.74</v>
      </c>
      <c r="J2159">
        <v>4475.1899999999996</v>
      </c>
      <c r="K2159" s="1" t="s">
        <v>20</v>
      </c>
      <c r="L2159">
        <v>0.16</v>
      </c>
      <c r="M2159" s="1" t="s">
        <v>21</v>
      </c>
      <c r="N2159" s="1" t="s">
        <v>22</v>
      </c>
      <c r="O2159" s="1" t="s">
        <v>28</v>
      </c>
      <c r="P2159">
        <v>85974.799999999988</v>
      </c>
      <c r="Q2159">
        <v>2023</v>
      </c>
      <c r="R2159">
        <v>75183.191999999981</v>
      </c>
      <c r="S2159">
        <v>-10791.608000000007</v>
      </c>
      <c r="T2159" s="1" t="s">
        <v>166</v>
      </c>
      <c r="U2159">
        <v>-0.14353750769187901</v>
      </c>
    </row>
    <row r="2160" spans="1:21" x14ac:dyDescent="0.3">
      <c r="A2160" s="1" t="s">
        <v>155</v>
      </c>
      <c r="B2160" s="1" t="s">
        <v>24</v>
      </c>
      <c r="C2160" s="2">
        <v>45211</v>
      </c>
      <c r="D2160" s="1" t="s">
        <v>36</v>
      </c>
      <c r="E2160" s="1" t="s">
        <v>30</v>
      </c>
      <c r="F2160">
        <v>9813.07</v>
      </c>
      <c r="G2160">
        <v>25</v>
      </c>
      <c r="H2160" s="1" t="s">
        <v>31</v>
      </c>
      <c r="I2160">
        <v>3512.69</v>
      </c>
      <c r="J2160">
        <v>3964.63</v>
      </c>
      <c r="K2160" s="1" t="s">
        <v>20</v>
      </c>
      <c r="L2160">
        <v>0.03</v>
      </c>
      <c r="M2160" s="1" t="s">
        <v>27</v>
      </c>
      <c r="N2160" s="1" t="s">
        <v>33</v>
      </c>
      <c r="O2160" s="1" t="s">
        <v>38</v>
      </c>
      <c r="P2160">
        <v>87817.25</v>
      </c>
      <c r="Q2160">
        <v>2023</v>
      </c>
      <c r="R2160">
        <v>96142.277499999997</v>
      </c>
      <c r="S2160">
        <v>8325.0274999999965</v>
      </c>
      <c r="T2160" s="1" t="s">
        <v>166</v>
      </c>
      <c r="U2160">
        <v>8.6590704073969904E-2</v>
      </c>
    </row>
    <row r="2161" spans="1:21" x14ac:dyDescent="0.3">
      <c r="A2161" s="1" t="s">
        <v>155</v>
      </c>
      <c r="B2161" s="1" t="s">
        <v>80</v>
      </c>
      <c r="C2161" s="2">
        <v>45211</v>
      </c>
      <c r="D2161" s="1" t="s">
        <v>36</v>
      </c>
      <c r="E2161" s="1" t="s">
        <v>30</v>
      </c>
      <c r="F2161">
        <v>628.15</v>
      </c>
      <c r="G2161">
        <v>23</v>
      </c>
      <c r="H2161" s="1" t="s">
        <v>37</v>
      </c>
      <c r="I2161">
        <v>557.52</v>
      </c>
      <c r="J2161">
        <v>822.39</v>
      </c>
      <c r="K2161" s="1" t="s">
        <v>20</v>
      </c>
      <c r="L2161">
        <v>0.28999999999999998</v>
      </c>
      <c r="M2161" s="1" t="s">
        <v>27</v>
      </c>
      <c r="N2161" s="1" t="s">
        <v>22</v>
      </c>
      <c r="O2161" s="1" t="s">
        <v>38</v>
      </c>
      <c r="P2161">
        <v>12822.96</v>
      </c>
      <c r="Q2161">
        <v>2023</v>
      </c>
      <c r="R2161">
        <v>13429.628699999999</v>
      </c>
      <c r="S2161">
        <v>606.66870000000017</v>
      </c>
      <c r="T2161" s="1" t="s">
        <v>166</v>
      </c>
      <c r="U2161">
        <v>4.5173899707294199E-2</v>
      </c>
    </row>
    <row r="2162" spans="1:21" x14ac:dyDescent="0.3">
      <c r="A2162" s="1" t="s">
        <v>155</v>
      </c>
      <c r="B2162" s="1" t="s">
        <v>16</v>
      </c>
      <c r="C2162" s="2">
        <v>45212</v>
      </c>
      <c r="D2162" s="1" t="s">
        <v>17</v>
      </c>
      <c r="E2162" s="1" t="s">
        <v>40</v>
      </c>
      <c r="F2162">
        <v>1558.3</v>
      </c>
      <c r="G2162">
        <v>24</v>
      </c>
      <c r="H2162" s="1" t="s">
        <v>37</v>
      </c>
      <c r="I2162">
        <v>1542.24</v>
      </c>
      <c r="J2162">
        <v>1739.45</v>
      </c>
      <c r="K2162" s="1" t="s">
        <v>20</v>
      </c>
      <c r="L2162">
        <v>0.21</v>
      </c>
      <c r="M2162" s="1" t="s">
        <v>32</v>
      </c>
      <c r="N2162" s="1" t="s">
        <v>33</v>
      </c>
      <c r="O2162" s="1" t="s">
        <v>67</v>
      </c>
      <c r="P2162">
        <v>37013.760000000002</v>
      </c>
      <c r="Q2162">
        <v>2023</v>
      </c>
      <c r="R2162">
        <v>32979.972000000002</v>
      </c>
      <c r="S2162">
        <v>-4033.7880000000005</v>
      </c>
      <c r="T2162" s="1" t="s">
        <v>166</v>
      </c>
      <c r="U2162">
        <v>-0.122310231191221</v>
      </c>
    </row>
    <row r="2163" spans="1:21" x14ac:dyDescent="0.3">
      <c r="A2163" s="1" t="s">
        <v>155</v>
      </c>
      <c r="B2163" s="1" t="s">
        <v>42</v>
      </c>
      <c r="C2163" s="2">
        <v>45212</v>
      </c>
      <c r="D2163" s="1" t="s">
        <v>25</v>
      </c>
      <c r="E2163" s="1" t="s">
        <v>18</v>
      </c>
      <c r="F2163">
        <v>7614.15</v>
      </c>
      <c r="G2163">
        <v>14</v>
      </c>
      <c r="H2163" s="1" t="s">
        <v>57</v>
      </c>
      <c r="I2163">
        <v>1996.64</v>
      </c>
      <c r="J2163">
        <v>2341.4699999999998</v>
      </c>
      <c r="K2163" s="1" t="s">
        <v>20</v>
      </c>
      <c r="L2163">
        <v>0.22</v>
      </c>
      <c r="M2163" s="1" t="s">
        <v>27</v>
      </c>
      <c r="N2163" s="1" t="s">
        <v>22</v>
      </c>
      <c r="O2163" s="1" t="s">
        <v>28</v>
      </c>
      <c r="P2163">
        <v>27952.960000000003</v>
      </c>
      <c r="Q2163">
        <v>2023</v>
      </c>
      <c r="R2163">
        <v>25568.852399999996</v>
      </c>
      <c r="S2163">
        <v>-2384.1076000000066</v>
      </c>
      <c r="T2163" s="1" t="s">
        <v>166</v>
      </c>
      <c r="U2163">
        <v>-9.3242651750768707E-2</v>
      </c>
    </row>
    <row r="2164" spans="1:21" x14ac:dyDescent="0.3">
      <c r="A2164" s="1" t="s">
        <v>155</v>
      </c>
      <c r="B2164" s="1" t="s">
        <v>51</v>
      </c>
      <c r="C2164" s="2">
        <v>45213</v>
      </c>
      <c r="D2164" s="1" t="s">
        <v>36</v>
      </c>
      <c r="E2164" s="1" t="s">
        <v>30</v>
      </c>
      <c r="F2164">
        <v>8951.5300000000007</v>
      </c>
      <c r="G2164">
        <v>39</v>
      </c>
      <c r="H2164" s="1" t="s">
        <v>19</v>
      </c>
      <c r="I2164">
        <v>1004.71</v>
      </c>
      <c r="J2164">
        <v>1389.35</v>
      </c>
      <c r="K2164" s="1" t="s">
        <v>26</v>
      </c>
      <c r="L2164">
        <v>0.24</v>
      </c>
      <c r="M2164" s="1" t="s">
        <v>32</v>
      </c>
      <c r="N2164" s="1" t="s">
        <v>22</v>
      </c>
      <c r="O2164" s="1" t="s">
        <v>38</v>
      </c>
      <c r="P2164">
        <v>39183.69</v>
      </c>
      <c r="Q2164">
        <v>2023</v>
      </c>
      <c r="R2164">
        <v>41180.333999999995</v>
      </c>
      <c r="S2164">
        <v>1996.643999999993</v>
      </c>
      <c r="T2164" s="1" t="s">
        <v>166</v>
      </c>
      <c r="U2164">
        <v>4.8485376539199397E-2</v>
      </c>
    </row>
    <row r="2165" spans="1:21" x14ac:dyDescent="0.3">
      <c r="A2165" s="1" t="s">
        <v>155</v>
      </c>
      <c r="B2165" s="1" t="s">
        <v>106</v>
      </c>
      <c r="C2165" s="2">
        <v>45213</v>
      </c>
      <c r="D2165" s="1" t="s">
        <v>25</v>
      </c>
      <c r="E2165" s="1" t="s">
        <v>30</v>
      </c>
      <c r="F2165">
        <v>8674.35</v>
      </c>
      <c r="G2165">
        <v>23</v>
      </c>
      <c r="H2165" s="1" t="s">
        <v>57</v>
      </c>
      <c r="I2165">
        <v>1727.78</v>
      </c>
      <c r="J2165">
        <v>1984.34</v>
      </c>
      <c r="K2165" s="1" t="s">
        <v>20</v>
      </c>
      <c r="L2165">
        <v>0.24</v>
      </c>
      <c r="M2165" s="1" t="s">
        <v>32</v>
      </c>
      <c r="N2165" s="1" t="s">
        <v>22</v>
      </c>
      <c r="O2165" s="1" t="s">
        <v>92</v>
      </c>
      <c r="P2165">
        <v>39738.94</v>
      </c>
      <c r="Q2165">
        <v>2023</v>
      </c>
      <c r="R2165">
        <v>34686.263200000001</v>
      </c>
      <c r="S2165">
        <v>-5052.6768000000011</v>
      </c>
      <c r="T2165" s="1" t="s">
        <v>166</v>
      </c>
      <c r="U2165">
        <v>-0.14566794845747499</v>
      </c>
    </row>
    <row r="2166" spans="1:21" x14ac:dyDescent="0.3">
      <c r="A2166" s="1" t="s">
        <v>155</v>
      </c>
      <c r="B2166" s="1" t="s">
        <v>93</v>
      </c>
      <c r="C2166" s="2">
        <v>45214</v>
      </c>
      <c r="D2166" s="1" t="s">
        <v>25</v>
      </c>
      <c r="E2166" s="1" t="s">
        <v>18</v>
      </c>
      <c r="F2166">
        <v>4510.8599999999997</v>
      </c>
      <c r="G2166">
        <v>42</v>
      </c>
      <c r="H2166" s="1" t="s">
        <v>37</v>
      </c>
      <c r="I2166">
        <v>3139.99</v>
      </c>
      <c r="J2166">
        <v>3349.37</v>
      </c>
      <c r="K2166" s="1" t="s">
        <v>20</v>
      </c>
      <c r="L2166">
        <v>0.13</v>
      </c>
      <c r="M2166" s="1" t="s">
        <v>27</v>
      </c>
      <c r="N2166" s="1" t="s">
        <v>33</v>
      </c>
      <c r="O2166" s="1" t="s">
        <v>28</v>
      </c>
      <c r="P2166">
        <v>131879.57999999999</v>
      </c>
      <c r="Q2166">
        <v>2023</v>
      </c>
      <c r="R2166">
        <v>122385.9798</v>
      </c>
      <c r="S2166">
        <v>-9493.6001999999862</v>
      </c>
      <c r="T2166" s="1" t="s">
        <v>166</v>
      </c>
      <c r="U2166">
        <v>-7.7570978436534793E-2</v>
      </c>
    </row>
    <row r="2167" spans="1:21" x14ac:dyDescent="0.3">
      <c r="A2167" s="1" t="s">
        <v>155</v>
      </c>
      <c r="B2167" s="1" t="s">
        <v>132</v>
      </c>
      <c r="C2167" s="2">
        <v>45214</v>
      </c>
      <c r="D2167" s="1" t="s">
        <v>36</v>
      </c>
      <c r="E2167" s="1" t="s">
        <v>18</v>
      </c>
      <c r="F2167">
        <v>3422.54</v>
      </c>
      <c r="G2167">
        <v>44</v>
      </c>
      <c r="H2167" s="1" t="s">
        <v>57</v>
      </c>
      <c r="I2167">
        <v>1485.72</v>
      </c>
      <c r="J2167">
        <v>1717.97</v>
      </c>
      <c r="K2167" s="1" t="s">
        <v>26</v>
      </c>
      <c r="L2167">
        <v>0.02</v>
      </c>
      <c r="M2167" s="1" t="s">
        <v>27</v>
      </c>
      <c r="N2167" s="1" t="s">
        <v>33</v>
      </c>
      <c r="O2167" s="1" t="s">
        <v>115</v>
      </c>
      <c r="P2167">
        <v>65371.68</v>
      </c>
      <c r="Q2167">
        <v>2023</v>
      </c>
      <c r="R2167">
        <v>74078.866399999999</v>
      </c>
      <c r="S2167">
        <v>8707.1863999999987</v>
      </c>
      <c r="T2167" s="1" t="s">
        <v>166</v>
      </c>
      <c r="U2167">
        <v>0.11753941202318401</v>
      </c>
    </row>
    <row r="2168" spans="1:21" x14ac:dyDescent="0.3">
      <c r="A2168" s="1" t="s">
        <v>155</v>
      </c>
      <c r="B2168" s="1" t="s">
        <v>112</v>
      </c>
      <c r="C2168" s="2">
        <v>45214</v>
      </c>
      <c r="D2168" s="1" t="s">
        <v>36</v>
      </c>
      <c r="E2168" s="1" t="s">
        <v>18</v>
      </c>
      <c r="F2168">
        <v>9476.2000000000007</v>
      </c>
      <c r="G2168">
        <v>1</v>
      </c>
      <c r="H2168" s="1" t="s">
        <v>31</v>
      </c>
      <c r="I2168">
        <v>610.83000000000004</v>
      </c>
      <c r="J2168">
        <v>808.69</v>
      </c>
      <c r="K2168" s="1" t="s">
        <v>26</v>
      </c>
      <c r="L2168">
        <v>0.22</v>
      </c>
      <c r="M2168" s="1" t="s">
        <v>27</v>
      </c>
      <c r="N2168" s="1" t="s">
        <v>22</v>
      </c>
      <c r="O2168" s="1" t="s">
        <v>115</v>
      </c>
      <c r="P2168">
        <v>610.83000000000004</v>
      </c>
      <c r="Q2168">
        <v>2023</v>
      </c>
      <c r="R2168">
        <v>630.77820000000008</v>
      </c>
      <c r="S2168">
        <v>19.948200000000043</v>
      </c>
      <c r="T2168" s="1" t="s">
        <v>166</v>
      </c>
      <c r="U2168">
        <v>3.16247454334979E-2</v>
      </c>
    </row>
    <row r="2169" spans="1:21" x14ac:dyDescent="0.3">
      <c r="A2169" s="1" t="s">
        <v>155</v>
      </c>
      <c r="B2169" s="1" t="s">
        <v>123</v>
      </c>
      <c r="C2169" s="2">
        <v>45214</v>
      </c>
      <c r="D2169" s="1" t="s">
        <v>36</v>
      </c>
      <c r="E2169" s="1" t="s">
        <v>40</v>
      </c>
      <c r="F2169">
        <v>8020.03</v>
      </c>
      <c r="G2169">
        <v>31</v>
      </c>
      <c r="H2169" s="1" t="s">
        <v>19</v>
      </c>
      <c r="I2169">
        <v>2709.84</v>
      </c>
      <c r="J2169">
        <v>2766.51</v>
      </c>
      <c r="K2169" s="1" t="s">
        <v>26</v>
      </c>
      <c r="L2169">
        <v>0.19</v>
      </c>
      <c r="M2169" s="1" t="s">
        <v>21</v>
      </c>
      <c r="N2169" s="1" t="s">
        <v>33</v>
      </c>
      <c r="O2169" s="1" t="s">
        <v>41</v>
      </c>
      <c r="P2169">
        <v>84005.040000000008</v>
      </c>
      <c r="Q2169">
        <v>2023</v>
      </c>
      <c r="R2169">
        <v>69467.066100000011</v>
      </c>
      <c r="S2169">
        <v>-14537.973899999997</v>
      </c>
      <c r="T2169" s="1" t="s">
        <v>166</v>
      </c>
      <c r="U2169">
        <v>-0.209278651254281</v>
      </c>
    </row>
    <row r="2170" spans="1:21" x14ac:dyDescent="0.3">
      <c r="A2170" s="1" t="s">
        <v>155</v>
      </c>
      <c r="B2170" s="1" t="s">
        <v>65</v>
      </c>
      <c r="C2170" s="2">
        <v>45214</v>
      </c>
      <c r="D2170" s="1" t="s">
        <v>43</v>
      </c>
      <c r="E2170" s="1" t="s">
        <v>40</v>
      </c>
      <c r="F2170">
        <v>1688.58</v>
      </c>
      <c r="G2170">
        <v>46</v>
      </c>
      <c r="H2170" s="1" t="s">
        <v>57</v>
      </c>
      <c r="I2170">
        <v>3663.51</v>
      </c>
      <c r="J2170">
        <v>4007.98</v>
      </c>
      <c r="K2170" s="1" t="s">
        <v>26</v>
      </c>
      <c r="L2170">
        <v>0.13</v>
      </c>
      <c r="M2170" s="1" t="s">
        <v>21</v>
      </c>
      <c r="N2170" s="1" t="s">
        <v>22</v>
      </c>
      <c r="O2170" s="1" t="s">
        <v>99</v>
      </c>
      <c r="P2170">
        <v>168521.46000000002</v>
      </c>
      <c r="Q2170">
        <v>2023</v>
      </c>
      <c r="R2170">
        <v>160399.3596</v>
      </c>
      <c r="S2170">
        <v>-8122.1004000000248</v>
      </c>
      <c r="T2170" s="1" t="s">
        <v>166</v>
      </c>
      <c r="U2170">
        <v>-5.0636738327726E-2</v>
      </c>
    </row>
    <row r="2171" spans="1:21" x14ac:dyDescent="0.3">
      <c r="A2171" s="1" t="s">
        <v>155</v>
      </c>
      <c r="B2171" s="1" t="s">
        <v>42</v>
      </c>
      <c r="C2171" s="2">
        <v>45214</v>
      </c>
      <c r="D2171" s="1" t="s">
        <v>36</v>
      </c>
      <c r="E2171" s="1" t="s">
        <v>44</v>
      </c>
      <c r="F2171">
        <v>6807.56</v>
      </c>
      <c r="G2171">
        <v>39</v>
      </c>
      <c r="H2171" s="1" t="s">
        <v>37</v>
      </c>
      <c r="I2171">
        <v>3592.89</v>
      </c>
      <c r="J2171">
        <v>4004</v>
      </c>
      <c r="K2171" s="1" t="s">
        <v>26</v>
      </c>
      <c r="L2171">
        <v>0.13</v>
      </c>
      <c r="M2171" s="1" t="s">
        <v>21</v>
      </c>
      <c r="N2171" s="1" t="s">
        <v>22</v>
      </c>
      <c r="O2171" s="1" t="s">
        <v>71</v>
      </c>
      <c r="P2171">
        <v>140122.71</v>
      </c>
      <c r="Q2171">
        <v>2023</v>
      </c>
      <c r="R2171">
        <v>135855.72</v>
      </c>
      <c r="S2171">
        <v>-4266.9899999999907</v>
      </c>
      <c r="T2171" s="1" t="s">
        <v>166</v>
      </c>
      <c r="U2171">
        <v>-3.1408246925488201E-2</v>
      </c>
    </row>
    <row r="2172" spans="1:21" x14ac:dyDescent="0.3">
      <c r="A2172" s="1" t="s">
        <v>155</v>
      </c>
      <c r="B2172" s="1" t="s">
        <v>55</v>
      </c>
      <c r="C2172" s="2">
        <v>45214</v>
      </c>
      <c r="D2172" s="1" t="s">
        <v>25</v>
      </c>
      <c r="E2172" s="1" t="s">
        <v>30</v>
      </c>
      <c r="F2172">
        <v>9702.27</v>
      </c>
      <c r="G2172">
        <v>48</v>
      </c>
      <c r="H2172" s="1" t="s">
        <v>37</v>
      </c>
      <c r="I2172">
        <v>4766.53</v>
      </c>
      <c r="J2172">
        <v>5253.07</v>
      </c>
      <c r="K2172" s="1" t="s">
        <v>20</v>
      </c>
      <c r="L2172">
        <v>0.01</v>
      </c>
      <c r="M2172" s="1" t="s">
        <v>32</v>
      </c>
      <c r="N2172" s="1" t="s">
        <v>22</v>
      </c>
      <c r="O2172" s="1" t="s">
        <v>92</v>
      </c>
      <c r="P2172">
        <v>228793.44</v>
      </c>
      <c r="Q2172">
        <v>2023</v>
      </c>
      <c r="R2172">
        <v>249625.88639999999</v>
      </c>
      <c r="S2172">
        <v>20832.446399999986</v>
      </c>
      <c r="T2172" s="1" t="s">
        <v>166</v>
      </c>
      <c r="U2172">
        <v>8.3454671710681994E-2</v>
      </c>
    </row>
    <row r="2173" spans="1:21" x14ac:dyDescent="0.3">
      <c r="A2173" s="1" t="s">
        <v>155</v>
      </c>
      <c r="B2173" s="1" t="s">
        <v>110</v>
      </c>
      <c r="C2173" s="2">
        <v>45215</v>
      </c>
      <c r="D2173" s="1" t="s">
        <v>43</v>
      </c>
      <c r="E2173" s="1" t="s">
        <v>18</v>
      </c>
      <c r="F2173">
        <v>2235.83</v>
      </c>
      <c r="G2173">
        <v>48</v>
      </c>
      <c r="H2173" s="1" t="s">
        <v>31</v>
      </c>
      <c r="I2173">
        <v>121.19</v>
      </c>
      <c r="J2173">
        <v>487.65</v>
      </c>
      <c r="K2173" s="1" t="s">
        <v>26</v>
      </c>
      <c r="L2173">
        <v>0.18</v>
      </c>
      <c r="M2173" s="1" t="s">
        <v>21</v>
      </c>
      <c r="N2173" s="1" t="s">
        <v>33</v>
      </c>
      <c r="O2173" s="1" t="s">
        <v>62</v>
      </c>
      <c r="P2173">
        <v>5817.12</v>
      </c>
      <c r="Q2173">
        <v>2023</v>
      </c>
      <c r="R2173">
        <v>19193.903999999999</v>
      </c>
      <c r="S2173">
        <v>13376.784</v>
      </c>
      <c r="T2173" s="1" t="s">
        <v>166</v>
      </c>
      <c r="U2173">
        <v>0.696928774886026</v>
      </c>
    </row>
    <row r="2174" spans="1:21" x14ac:dyDescent="0.3">
      <c r="A2174" s="1" t="s">
        <v>155</v>
      </c>
      <c r="B2174" s="1" t="s">
        <v>127</v>
      </c>
      <c r="C2174" s="2">
        <v>45215</v>
      </c>
      <c r="D2174" s="1" t="s">
        <v>25</v>
      </c>
      <c r="E2174" s="1" t="s">
        <v>18</v>
      </c>
      <c r="F2174">
        <v>7946.69</v>
      </c>
      <c r="G2174">
        <v>23</v>
      </c>
      <c r="H2174" s="1" t="s">
        <v>57</v>
      </c>
      <c r="I2174">
        <v>2937.94</v>
      </c>
      <c r="J2174">
        <v>3007.53</v>
      </c>
      <c r="K2174" s="1" t="s">
        <v>20</v>
      </c>
      <c r="L2174">
        <v>0.03</v>
      </c>
      <c r="M2174" s="1" t="s">
        <v>21</v>
      </c>
      <c r="N2174" s="1" t="s">
        <v>33</v>
      </c>
      <c r="O2174" s="1" t="s">
        <v>28</v>
      </c>
      <c r="P2174">
        <v>67572.62</v>
      </c>
      <c r="Q2174">
        <v>2023</v>
      </c>
      <c r="R2174">
        <v>67097.994300000006</v>
      </c>
      <c r="S2174">
        <v>-474.62569999998959</v>
      </c>
      <c r="T2174" s="1" t="s">
        <v>166</v>
      </c>
      <c r="U2174">
        <v>-7.0736197847867596E-3</v>
      </c>
    </row>
    <row r="2175" spans="1:21" x14ac:dyDescent="0.3">
      <c r="A2175" s="1" t="s">
        <v>155</v>
      </c>
      <c r="B2175" s="1" t="s">
        <v>144</v>
      </c>
      <c r="C2175" s="2">
        <v>45215</v>
      </c>
      <c r="D2175" s="1" t="s">
        <v>25</v>
      </c>
      <c r="E2175" s="1" t="s">
        <v>18</v>
      </c>
      <c r="F2175">
        <v>9775.35</v>
      </c>
      <c r="G2175">
        <v>4</v>
      </c>
      <c r="H2175" s="1" t="s">
        <v>19</v>
      </c>
      <c r="I2175">
        <v>1134.67</v>
      </c>
      <c r="J2175">
        <v>1201.3900000000001</v>
      </c>
      <c r="K2175" s="1" t="s">
        <v>26</v>
      </c>
      <c r="L2175">
        <v>0.3</v>
      </c>
      <c r="M2175" s="1" t="s">
        <v>32</v>
      </c>
      <c r="N2175" s="1" t="s">
        <v>33</v>
      </c>
      <c r="O2175" s="1" t="s">
        <v>28</v>
      </c>
      <c r="P2175">
        <v>4538.68</v>
      </c>
      <c r="Q2175">
        <v>2023</v>
      </c>
      <c r="R2175">
        <v>3363.8920000000003</v>
      </c>
      <c r="S2175">
        <v>-1174.788</v>
      </c>
      <c r="T2175" s="1" t="s">
        <v>166</v>
      </c>
      <c r="U2175">
        <v>-0.34923475545588301</v>
      </c>
    </row>
    <row r="2176" spans="1:21" x14ac:dyDescent="0.3">
      <c r="A2176" s="1" t="s">
        <v>155</v>
      </c>
      <c r="B2176" s="1" t="s">
        <v>105</v>
      </c>
      <c r="C2176" s="2">
        <v>45215</v>
      </c>
      <c r="D2176" s="1" t="s">
        <v>17</v>
      </c>
      <c r="E2176" s="1" t="s">
        <v>40</v>
      </c>
      <c r="F2176">
        <v>8786.9500000000007</v>
      </c>
      <c r="G2176">
        <v>11</v>
      </c>
      <c r="H2176" s="1" t="s">
        <v>37</v>
      </c>
      <c r="I2176">
        <v>3094.57</v>
      </c>
      <c r="J2176">
        <v>3565.6</v>
      </c>
      <c r="K2176" s="1" t="s">
        <v>20</v>
      </c>
      <c r="L2176">
        <v>0.1</v>
      </c>
      <c r="M2176" s="1" t="s">
        <v>27</v>
      </c>
      <c r="N2176" s="1" t="s">
        <v>33</v>
      </c>
      <c r="O2176" s="1" t="s">
        <v>67</v>
      </c>
      <c r="P2176">
        <v>34040.270000000004</v>
      </c>
      <c r="Q2176">
        <v>2023</v>
      </c>
      <c r="R2176">
        <v>35299.440000000002</v>
      </c>
      <c r="S2176">
        <v>1259.1699999999983</v>
      </c>
      <c r="T2176" s="1" t="s">
        <v>166</v>
      </c>
      <c r="U2176">
        <v>3.5671104130830397E-2</v>
      </c>
    </row>
    <row r="2177" spans="1:21" x14ac:dyDescent="0.3">
      <c r="A2177" s="1" t="s">
        <v>155</v>
      </c>
      <c r="B2177" s="1" t="s">
        <v>119</v>
      </c>
      <c r="C2177" s="2">
        <v>45215</v>
      </c>
      <c r="D2177" s="1" t="s">
        <v>17</v>
      </c>
      <c r="E2177" s="1" t="s">
        <v>44</v>
      </c>
      <c r="F2177">
        <v>2227.64</v>
      </c>
      <c r="G2177">
        <v>37</v>
      </c>
      <c r="H2177" s="1" t="s">
        <v>31</v>
      </c>
      <c r="I2177">
        <v>4651.7700000000004</v>
      </c>
      <c r="J2177">
        <v>4984.3900000000003</v>
      </c>
      <c r="K2177" s="1" t="s">
        <v>20</v>
      </c>
      <c r="L2177">
        <v>0.12</v>
      </c>
      <c r="M2177" s="1" t="s">
        <v>21</v>
      </c>
      <c r="N2177" s="1" t="s">
        <v>33</v>
      </c>
      <c r="O2177" s="1" t="s">
        <v>49</v>
      </c>
      <c r="P2177">
        <v>172115.49000000002</v>
      </c>
      <c r="Q2177">
        <v>2023</v>
      </c>
      <c r="R2177">
        <v>162291.73840000003</v>
      </c>
      <c r="S2177">
        <v>-9823.7515999999887</v>
      </c>
      <c r="T2177" s="1" t="s">
        <v>166</v>
      </c>
      <c r="U2177">
        <v>-6.0531433681407801E-2</v>
      </c>
    </row>
    <row r="2178" spans="1:21" x14ac:dyDescent="0.3">
      <c r="A2178" s="1" t="s">
        <v>155</v>
      </c>
      <c r="B2178" s="1" t="s">
        <v>50</v>
      </c>
      <c r="C2178" s="2">
        <v>45215</v>
      </c>
      <c r="D2178" s="1" t="s">
        <v>59</v>
      </c>
      <c r="E2178" s="1" t="s">
        <v>40</v>
      </c>
      <c r="F2178">
        <v>7617</v>
      </c>
      <c r="G2178">
        <v>43</v>
      </c>
      <c r="H2178" s="1" t="s">
        <v>19</v>
      </c>
      <c r="I2178">
        <v>287.99</v>
      </c>
      <c r="J2178">
        <v>666.64</v>
      </c>
      <c r="K2178" s="1" t="s">
        <v>20</v>
      </c>
      <c r="L2178">
        <v>0</v>
      </c>
      <c r="M2178" s="1" t="s">
        <v>32</v>
      </c>
      <c r="N2178" s="1" t="s">
        <v>22</v>
      </c>
      <c r="O2178" s="1" t="s">
        <v>90</v>
      </c>
      <c r="P2178">
        <v>12383.57</v>
      </c>
      <c r="Q2178">
        <v>2023</v>
      </c>
      <c r="R2178">
        <v>28665.52</v>
      </c>
      <c r="S2178">
        <v>16281.95</v>
      </c>
      <c r="T2178" s="1" t="s">
        <v>166</v>
      </c>
      <c r="U2178">
        <v>0.56799771990879599</v>
      </c>
    </row>
    <row r="2179" spans="1:21" x14ac:dyDescent="0.3">
      <c r="A2179" s="1" t="s">
        <v>155</v>
      </c>
      <c r="B2179" s="1" t="s">
        <v>143</v>
      </c>
      <c r="C2179" s="2">
        <v>45215</v>
      </c>
      <c r="D2179" s="1" t="s">
        <v>36</v>
      </c>
      <c r="E2179" s="1" t="s">
        <v>44</v>
      </c>
      <c r="F2179">
        <v>3093.95</v>
      </c>
      <c r="G2179">
        <v>46</v>
      </c>
      <c r="H2179" s="1" t="s">
        <v>19</v>
      </c>
      <c r="I2179">
        <v>4173.5200000000004</v>
      </c>
      <c r="J2179">
        <v>4294.8500000000004</v>
      </c>
      <c r="K2179" s="1" t="s">
        <v>20</v>
      </c>
      <c r="L2179">
        <v>0.03</v>
      </c>
      <c r="M2179" s="1" t="s">
        <v>32</v>
      </c>
      <c r="N2179" s="1" t="s">
        <v>33</v>
      </c>
      <c r="O2179" s="1" t="s">
        <v>71</v>
      </c>
      <c r="P2179">
        <v>191981.92</v>
      </c>
      <c r="Q2179">
        <v>2023</v>
      </c>
      <c r="R2179">
        <v>191636.20699999999</v>
      </c>
      <c r="S2179">
        <v>-345.71300000001793</v>
      </c>
      <c r="T2179" s="1" t="s">
        <v>166</v>
      </c>
      <c r="U2179">
        <v>-1.8040066927437E-3</v>
      </c>
    </row>
    <row r="2180" spans="1:21" x14ac:dyDescent="0.3">
      <c r="A2180" s="1" t="s">
        <v>155</v>
      </c>
      <c r="B2180" s="1" t="s">
        <v>85</v>
      </c>
      <c r="C2180" s="2">
        <v>45217</v>
      </c>
      <c r="D2180" s="1" t="s">
        <v>17</v>
      </c>
      <c r="E2180" s="1" t="s">
        <v>40</v>
      </c>
      <c r="F2180">
        <v>177.63</v>
      </c>
      <c r="G2180">
        <v>16</v>
      </c>
      <c r="H2180" s="1" t="s">
        <v>31</v>
      </c>
      <c r="I2180">
        <v>3016.9</v>
      </c>
      <c r="J2180">
        <v>3040.73</v>
      </c>
      <c r="K2180" s="1" t="s">
        <v>26</v>
      </c>
      <c r="L2180">
        <v>0.26</v>
      </c>
      <c r="M2180" s="1" t="s">
        <v>32</v>
      </c>
      <c r="N2180" s="1" t="s">
        <v>33</v>
      </c>
      <c r="O2180" s="1" t="s">
        <v>67</v>
      </c>
      <c r="P2180">
        <v>48270.400000000001</v>
      </c>
      <c r="Q2180">
        <v>2023</v>
      </c>
      <c r="R2180">
        <v>36002.243199999997</v>
      </c>
      <c r="S2180">
        <v>-12268.156800000004</v>
      </c>
      <c r="T2180" s="1" t="s">
        <v>166</v>
      </c>
      <c r="U2180">
        <v>-0.34076090014302202</v>
      </c>
    </row>
    <row r="2181" spans="1:21" x14ac:dyDescent="0.3">
      <c r="A2181" s="1" t="s">
        <v>155</v>
      </c>
      <c r="B2181" s="1" t="s">
        <v>141</v>
      </c>
      <c r="C2181" s="2">
        <v>45217</v>
      </c>
      <c r="D2181" s="1" t="s">
        <v>17</v>
      </c>
      <c r="E2181" s="1" t="s">
        <v>40</v>
      </c>
      <c r="F2181">
        <v>1600.79</v>
      </c>
      <c r="G2181">
        <v>21</v>
      </c>
      <c r="H2181" s="1" t="s">
        <v>31</v>
      </c>
      <c r="I2181">
        <v>725.03</v>
      </c>
      <c r="J2181">
        <v>828.95</v>
      </c>
      <c r="K2181" s="1" t="s">
        <v>26</v>
      </c>
      <c r="L2181">
        <v>0.18</v>
      </c>
      <c r="M2181" s="1" t="s">
        <v>32</v>
      </c>
      <c r="N2181" s="1" t="s">
        <v>22</v>
      </c>
      <c r="O2181" s="1" t="s">
        <v>67</v>
      </c>
      <c r="P2181">
        <v>15225.63</v>
      </c>
      <c r="Q2181">
        <v>2023</v>
      </c>
      <c r="R2181">
        <v>14274.519000000002</v>
      </c>
      <c r="S2181">
        <v>-951.11099999999715</v>
      </c>
      <c r="T2181" s="1" t="s">
        <v>166</v>
      </c>
      <c r="U2181">
        <v>-6.6629985921066601E-2</v>
      </c>
    </row>
    <row r="2182" spans="1:21" x14ac:dyDescent="0.3">
      <c r="A2182" s="1" t="s">
        <v>155</v>
      </c>
      <c r="B2182" s="1" t="s">
        <v>147</v>
      </c>
      <c r="C2182" s="2">
        <v>45217</v>
      </c>
      <c r="D2182" s="1" t="s">
        <v>59</v>
      </c>
      <c r="E2182" s="1" t="s">
        <v>18</v>
      </c>
      <c r="F2182">
        <v>5097.4799999999996</v>
      </c>
      <c r="G2182">
        <v>28</v>
      </c>
      <c r="H2182" s="1" t="s">
        <v>37</v>
      </c>
      <c r="I2182">
        <v>224.32</v>
      </c>
      <c r="J2182">
        <v>715.06</v>
      </c>
      <c r="K2182" s="1" t="s">
        <v>20</v>
      </c>
      <c r="L2182">
        <v>0.01</v>
      </c>
      <c r="M2182" s="1" t="s">
        <v>27</v>
      </c>
      <c r="N2182" s="1" t="s">
        <v>22</v>
      </c>
      <c r="O2182" s="1" t="s">
        <v>77</v>
      </c>
      <c r="P2182">
        <v>6280.96</v>
      </c>
      <c r="Q2182">
        <v>2023</v>
      </c>
      <c r="R2182">
        <v>19821.463199999998</v>
      </c>
      <c r="S2182">
        <v>13540.503199999999</v>
      </c>
      <c r="T2182" s="1" t="s">
        <v>166</v>
      </c>
      <c r="U2182">
        <v>0.68312329233091096</v>
      </c>
    </row>
    <row r="2183" spans="1:21" x14ac:dyDescent="0.3">
      <c r="A2183" s="1" t="s">
        <v>155</v>
      </c>
      <c r="B2183" s="1" t="s">
        <v>24</v>
      </c>
      <c r="C2183" s="2">
        <v>45217</v>
      </c>
      <c r="D2183" s="1" t="s">
        <v>36</v>
      </c>
      <c r="E2183" s="1" t="s">
        <v>18</v>
      </c>
      <c r="F2183">
        <v>7405.38</v>
      </c>
      <c r="G2183">
        <v>15</v>
      </c>
      <c r="H2183" s="1" t="s">
        <v>57</v>
      </c>
      <c r="I2183">
        <v>3841.05</v>
      </c>
      <c r="J2183">
        <v>4323.62</v>
      </c>
      <c r="K2183" s="1" t="s">
        <v>20</v>
      </c>
      <c r="L2183">
        <v>0.28999999999999998</v>
      </c>
      <c r="M2183" s="1" t="s">
        <v>27</v>
      </c>
      <c r="N2183" s="1" t="s">
        <v>33</v>
      </c>
      <c r="O2183" s="1" t="s">
        <v>115</v>
      </c>
      <c r="P2183">
        <v>57615.75</v>
      </c>
      <c r="Q2183">
        <v>2023</v>
      </c>
      <c r="R2183">
        <v>46046.552999999993</v>
      </c>
      <c r="S2183">
        <v>-11569.197000000007</v>
      </c>
      <c r="T2183" s="1" t="s">
        <v>166</v>
      </c>
      <c r="U2183">
        <v>-0.25125001213445902</v>
      </c>
    </row>
    <row r="2184" spans="1:21" x14ac:dyDescent="0.3">
      <c r="A2184" s="1" t="s">
        <v>155</v>
      </c>
      <c r="B2184" s="1" t="s">
        <v>24</v>
      </c>
      <c r="C2184" s="2">
        <v>45218</v>
      </c>
      <c r="D2184" s="1" t="s">
        <v>17</v>
      </c>
      <c r="E2184" s="1" t="s">
        <v>40</v>
      </c>
      <c r="F2184">
        <v>9933.2199999999993</v>
      </c>
      <c r="G2184">
        <v>23</v>
      </c>
      <c r="H2184" s="1" t="s">
        <v>57</v>
      </c>
      <c r="I2184">
        <v>2120.54</v>
      </c>
      <c r="J2184">
        <v>2597.67</v>
      </c>
      <c r="K2184" s="1" t="s">
        <v>20</v>
      </c>
      <c r="L2184">
        <v>0.26</v>
      </c>
      <c r="M2184" s="1" t="s">
        <v>27</v>
      </c>
      <c r="N2184" s="1" t="s">
        <v>33</v>
      </c>
      <c r="O2184" s="1" t="s">
        <v>67</v>
      </c>
      <c r="P2184">
        <v>48772.42</v>
      </c>
      <c r="Q2184">
        <v>2023</v>
      </c>
      <c r="R2184">
        <v>44212.343400000005</v>
      </c>
      <c r="S2184">
        <v>-4560.0765999999931</v>
      </c>
      <c r="T2184" s="1" t="s">
        <v>166</v>
      </c>
      <c r="U2184">
        <v>-0.103140350619822</v>
      </c>
    </row>
    <row r="2185" spans="1:21" x14ac:dyDescent="0.3">
      <c r="A2185" s="1" t="s">
        <v>155</v>
      </c>
      <c r="B2185" s="1" t="s">
        <v>135</v>
      </c>
      <c r="C2185" s="2">
        <v>45218</v>
      </c>
      <c r="D2185" s="1" t="s">
        <v>17</v>
      </c>
      <c r="E2185" s="1" t="s">
        <v>30</v>
      </c>
      <c r="F2185">
        <v>1966.55</v>
      </c>
      <c r="G2185">
        <v>30</v>
      </c>
      <c r="H2185" s="1" t="s">
        <v>19</v>
      </c>
      <c r="I2185">
        <v>4697.4399999999996</v>
      </c>
      <c r="J2185">
        <v>4752.24</v>
      </c>
      <c r="K2185" s="1" t="s">
        <v>26</v>
      </c>
      <c r="L2185">
        <v>0.28000000000000003</v>
      </c>
      <c r="M2185" s="1" t="s">
        <v>27</v>
      </c>
      <c r="N2185" s="1" t="s">
        <v>22</v>
      </c>
      <c r="O2185" s="1" t="s">
        <v>34</v>
      </c>
      <c r="P2185">
        <v>140923.19999999998</v>
      </c>
      <c r="Q2185">
        <v>2023</v>
      </c>
      <c r="R2185">
        <v>102648.38399999998</v>
      </c>
      <c r="S2185">
        <v>-38274.816000000006</v>
      </c>
      <c r="T2185" s="1" t="s">
        <v>166</v>
      </c>
      <c r="U2185">
        <v>-0.37287304980855801</v>
      </c>
    </row>
    <row r="2186" spans="1:21" x14ac:dyDescent="0.3">
      <c r="A2186" s="1" t="s">
        <v>155</v>
      </c>
      <c r="B2186" s="1" t="s">
        <v>125</v>
      </c>
      <c r="C2186" s="2">
        <v>45219</v>
      </c>
      <c r="D2186" s="1" t="s">
        <v>36</v>
      </c>
      <c r="E2186" s="1" t="s">
        <v>18</v>
      </c>
      <c r="F2186">
        <v>6499.94</v>
      </c>
      <c r="G2186">
        <v>49</v>
      </c>
      <c r="H2186" s="1" t="s">
        <v>19</v>
      </c>
      <c r="I2186">
        <v>1247.0999999999999</v>
      </c>
      <c r="J2186">
        <v>1429.44</v>
      </c>
      <c r="K2186" s="1" t="s">
        <v>26</v>
      </c>
      <c r="L2186">
        <v>0.16</v>
      </c>
      <c r="M2186" s="1" t="s">
        <v>21</v>
      </c>
      <c r="N2186" s="1" t="s">
        <v>22</v>
      </c>
      <c r="O2186" s="1" t="s">
        <v>115</v>
      </c>
      <c r="P2186">
        <v>61107.899999999994</v>
      </c>
      <c r="Q2186">
        <v>2023</v>
      </c>
      <c r="R2186">
        <v>58835.750399999997</v>
      </c>
      <c r="S2186">
        <v>-2272.149599999997</v>
      </c>
      <c r="T2186" s="1" t="s">
        <v>166</v>
      </c>
      <c r="U2186">
        <v>-3.86185199398765E-2</v>
      </c>
    </row>
    <row r="2187" spans="1:21" x14ac:dyDescent="0.3">
      <c r="A2187" s="1" t="s">
        <v>155</v>
      </c>
      <c r="B2187" s="1" t="s">
        <v>51</v>
      </c>
      <c r="C2187" s="2">
        <v>45219</v>
      </c>
      <c r="D2187" s="1" t="s">
        <v>36</v>
      </c>
      <c r="E2187" s="1" t="s">
        <v>18</v>
      </c>
      <c r="F2187">
        <v>5842.88</v>
      </c>
      <c r="G2187">
        <v>30</v>
      </c>
      <c r="H2187" s="1" t="s">
        <v>19</v>
      </c>
      <c r="I2187">
        <v>4646.55</v>
      </c>
      <c r="J2187">
        <v>4784.28</v>
      </c>
      <c r="K2187" s="1" t="s">
        <v>20</v>
      </c>
      <c r="L2187">
        <v>0.1</v>
      </c>
      <c r="M2187" s="1" t="s">
        <v>27</v>
      </c>
      <c r="N2187" s="1" t="s">
        <v>33</v>
      </c>
      <c r="O2187" s="1" t="s">
        <v>115</v>
      </c>
      <c r="P2187">
        <v>139396.5</v>
      </c>
      <c r="Q2187">
        <v>2023</v>
      </c>
      <c r="R2187">
        <v>129175.56</v>
      </c>
      <c r="S2187">
        <v>-10220.940000000002</v>
      </c>
      <c r="T2187" s="1" t="s">
        <v>166</v>
      </c>
      <c r="U2187">
        <v>-7.9124410221252398E-2</v>
      </c>
    </row>
    <row r="2188" spans="1:21" x14ac:dyDescent="0.3">
      <c r="A2188" s="1" t="s">
        <v>155</v>
      </c>
      <c r="B2188" s="1" t="s">
        <v>42</v>
      </c>
      <c r="C2188" s="2">
        <v>45219</v>
      </c>
      <c r="D2188" s="1" t="s">
        <v>36</v>
      </c>
      <c r="E2188" s="1" t="s">
        <v>30</v>
      </c>
      <c r="F2188">
        <v>7859.22</v>
      </c>
      <c r="G2188">
        <v>23</v>
      </c>
      <c r="H2188" s="1" t="s">
        <v>19</v>
      </c>
      <c r="I2188">
        <v>93.45</v>
      </c>
      <c r="J2188">
        <v>181.62</v>
      </c>
      <c r="K2188" s="1" t="s">
        <v>20</v>
      </c>
      <c r="L2188">
        <v>0.3</v>
      </c>
      <c r="M2188" s="1" t="s">
        <v>32</v>
      </c>
      <c r="N2188" s="1" t="s">
        <v>33</v>
      </c>
      <c r="O2188" s="1" t="s">
        <v>38</v>
      </c>
      <c r="P2188">
        <v>2149.35</v>
      </c>
      <c r="Q2188">
        <v>2023</v>
      </c>
      <c r="R2188">
        <v>2924.0819999999999</v>
      </c>
      <c r="S2188">
        <v>774.73199999999997</v>
      </c>
      <c r="T2188" s="1" t="s">
        <v>166</v>
      </c>
      <c r="U2188">
        <v>0.26494879418566197</v>
      </c>
    </row>
    <row r="2189" spans="1:21" x14ac:dyDescent="0.3">
      <c r="A2189" s="1" t="s">
        <v>155</v>
      </c>
      <c r="B2189" s="1" t="s">
        <v>93</v>
      </c>
      <c r="C2189" s="2">
        <v>45219</v>
      </c>
      <c r="D2189" s="1" t="s">
        <v>59</v>
      </c>
      <c r="E2189" s="1" t="s">
        <v>30</v>
      </c>
      <c r="F2189">
        <v>9688.52</v>
      </c>
      <c r="G2189">
        <v>6</v>
      </c>
      <c r="H2189" s="1" t="s">
        <v>37</v>
      </c>
      <c r="I2189">
        <v>3717.3</v>
      </c>
      <c r="J2189">
        <v>4061.37</v>
      </c>
      <c r="K2189" s="1" t="s">
        <v>26</v>
      </c>
      <c r="L2189">
        <v>0.03</v>
      </c>
      <c r="M2189" s="1" t="s">
        <v>32</v>
      </c>
      <c r="N2189" s="1" t="s">
        <v>33</v>
      </c>
      <c r="O2189" s="1" t="s">
        <v>86</v>
      </c>
      <c r="P2189">
        <v>22303.800000000003</v>
      </c>
      <c r="Q2189">
        <v>2023</v>
      </c>
      <c r="R2189">
        <v>23637.1734</v>
      </c>
      <c r="S2189">
        <v>1333.3733999999968</v>
      </c>
      <c r="T2189" s="1" t="s">
        <v>166</v>
      </c>
      <c r="U2189">
        <v>5.6410018974603598E-2</v>
      </c>
    </row>
    <row r="2190" spans="1:21" x14ac:dyDescent="0.3">
      <c r="A2190" s="1" t="s">
        <v>155</v>
      </c>
      <c r="B2190" s="1" t="s">
        <v>156</v>
      </c>
      <c r="C2190" s="2">
        <v>45219</v>
      </c>
      <c r="D2190" s="1" t="s">
        <v>25</v>
      </c>
      <c r="E2190" s="1" t="s">
        <v>30</v>
      </c>
      <c r="F2190">
        <v>5081.01</v>
      </c>
      <c r="G2190">
        <v>22</v>
      </c>
      <c r="H2190" s="1" t="s">
        <v>57</v>
      </c>
      <c r="I2190">
        <v>530.04</v>
      </c>
      <c r="J2190">
        <v>759.32</v>
      </c>
      <c r="K2190" s="1" t="s">
        <v>20</v>
      </c>
      <c r="L2190">
        <v>0.17</v>
      </c>
      <c r="M2190" s="1" t="s">
        <v>32</v>
      </c>
      <c r="N2190" s="1" t="s">
        <v>33</v>
      </c>
      <c r="O2190" s="1" t="s">
        <v>92</v>
      </c>
      <c r="P2190">
        <v>11660.88</v>
      </c>
      <c r="Q2190">
        <v>2023</v>
      </c>
      <c r="R2190">
        <v>13865.183199999999</v>
      </c>
      <c r="S2190">
        <v>2204.3032000000003</v>
      </c>
      <c r="T2190" s="1" t="s">
        <v>166</v>
      </c>
      <c r="U2190">
        <v>0.15898118100596001</v>
      </c>
    </row>
    <row r="2191" spans="1:21" x14ac:dyDescent="0.3">
      <c r="A2191" s="1" t="s">
        <v>155</v>
      </c>
      <c r="B2191" s="1" t="s">
        <v>117</v>
      </c>
      <c r="C2191" s="2">
        <v>45219</v>
      </c>
      <c r="D2191" s="1" t="s">
        <v>36</v>
      </c>
      <c r="E2191" s="1" t="s">
        <v>30</v>
      </c>
      <c r="F2191">
        <v>7051.25</v>
      </c>
      <c r="G2191">
        <v>10</v>
      </c>
      <c r="H2191" s="1" t="s">
        <v>19</v>
      </c>
      <c r="I2191">
        <v>2927.02</v>
      </c>
      <c r="J2191">
        <v>3387.21</v>
      </c>
      <c r="K2191" s="1" t="s">
        <v>20</v>
      </c>
      <c r="L2191">
        <v>0.12</v>
      </c>
      <c r="M2191" s="1" t="s">
        <v>21</v>
      </c>
      <c r="N2191" s="1" t="s">
        <v>33</v>
      </c>
      <c r="O2191" s="1" t="s">
        <v>38</v>
      </c>
      <c r="P2191">
        <v>29270.2</v>
      </c>
      <c r="Q2191">
        <v>2023</v>
      </c>
      <c r="R2191">
        <v>29807.448</v>
      </c>
      <c r="S2191">
        <v>537.24799999999959</v>
      </c>
      <c r="T2191" s="1" t="s">
        <v>166</v>
      </c>
      <c r="U2191">
        <v>1.8023951597600701E-2</v>
      </c>
    </row>
    <row r="2192" spans="1:21" x14ac:dyDescent="0.3">
      <c r="A2192" s="1" t="s">
        <v>155</v>
      </c>
      <c r="B2192" s="1" t="s">
        <v>89</v>
      </c>
      <c r="C2192" s="2">
        <v>45219</v>
      </c>
      <c r="D2192" s="1" t="s">
        <v>36</v>
      </c>
      <c r="E2192" s="1" t="s">
        <v>44</v>
      </c>
      <c r="F2192">
        <v>6095.82</v>
      </c>
      <c r="G2192">
        <v>46</v>
      </c>
      <c r="H2192" s="1" t="s">
        <v>37</v>
      </c>
      <c r="I2192">
        <v>1648.8</v>
      </c>
      <c r="J2192">
        <v>1670.36</v>
      </c>
      <c r="K2192" s="1" t="s">
        <v>20</v>
      </c>
      <c r="L2192">
        <v>0.09</v>
      </c>
      <c r="M2192" s="1" t="s">
        <v>27</v>
      </c>
      <c r="N2192" s="1" t="s">
        <v>33</v>
      </c>
      <c r="O2192" s="1" t="s">
        <v>71</v>
      </c>
      <c r="P2192">
        <v>75844.800000000003</v>
      </c>
      <c r="Q2192">
        <v>2023</v>
      </c>
      <c r="R2192">
        <v>69921.2696</v>
      </c>
      <c r="S2192">
        <v>-5923.5304000000033</v>
      </c>
      <c r="T2192" s="1" t="s">
        <v>166</v>
      </c>
      <c r="U2192">
        <v>-8.4717145925508205E-2</v>
      </c>
    </row>
    <row r="2193" spans="1:21" x14ac:dyDescent="0.3">
      <c r="A2193" s="1" t="s">
        <v>155</v>
      </c>
      <c r="B2193" s="1" t="s">
        <v>53</v>
      </c>
      <c r="C2193" s="2">
        <v>45219</v>
      </c>
      <c r="D2193" s="1" t="s">
        <v>36</v>
      </c>
      <c r="E2193" s="1" t="s">
        <v>30</v>
      </c>
      <c r="F2193">
        <v>3577.07</v>
      </c>
      <c r="G2193">
        <v>32</v>
      </c>
      <c r="H2193" s="1" t="s">
        <v>31</v>
      </c>
      <c r="I2193">
        <v>84.86</v>
      </c>
      <c r="J2193">
        <v>517.17999999999995</v>
      </c>
      <c r="K2193" s="1" t="s">
        <v>20</v>
      </c>
      <c r="L2193">
        <v>0.2</v>
      </c>
      <c r="M2193" s="1" t="s">
        <v>27</v>
      </c>
      <c r="N2193" s="1" t="s">
        <v>33</v>
      </c>
      <c r="O2193" s="1" t="s">
        <v>38</v>
      </c>
      <c r="P2193">
        <v>2715.52</v>
      </c>
      <c r="Q2193">
        <v>2023</v>
      </c>
      <c r="R2193">
        <v>13239.807999999999</v>
      </c>
      <c r="S2193">
        <v>10524.287999999999</v>
      </c>
      <c r="T2193" s="1" t="s">
        <v>166</v>
      </c>
      <c r="U2193">
        <v>0.79489732781623401</v>
      </c>
    </row>
    <row r="2194" spans="1:21" x14ac:dyDescent="0.3">
      <c r="A2194" s="1" t="s">
        <v>155</v>
      </c>
      <c r="B2194" s="1" t="s">
        <v>89</v>
      </c>
      <c r="C2194" s="2">
        <v>45220</v>
      </c>
      <c r="D2194" s="1" t="s">
        <v>36</v>
      </c>
      <c r="E2194" s="1" t="s">
        <v>44</v>
      </c>
      <c r="F2194">
        <v>5039.07</v>
      </c>
      <c r="G2194">
        <v>20</v>
      </c>
      <c r="H2194" s="1" t="s">
        <v>37</v>
      </c>
      <c r="I2194">
        <v>1533.36</v>
      </c>
      <c r="J2194">
        <v>1649.74</v>
      </c>
      <c r="K2194" s="1" t="s">
        <v>20</v>
      </c>
      <c r="L2194">
        <v>0.1</v>
      </c>
      <c r="M2194" s="1" t="s">
        <v>32</v>
      </c>
      <c r="N2194" s="1" t="s">
        <v>22</v>
      </c>
      <c r="O2194" s="1" t="s">
        <v>71</v>
      </c>
      <c r="P2194">
        <v>30667.199999999997</v>
      </c>
      <c r="Q2194">
        <v>2023</v>
      </c>
      <c r="R2194">
        <v>29695.320000000003</v>
      </c>
      <c r="S2194">
        <v>-971.87999999999374</v>
      </c>
      <c r="T2194" s="1" t="s">
        <v>166</v>
      </c>
      <c r="U2194">
        <v>-3.2728389524005599E-2</v>
      </c>
    </row>
    <row r="2195" spans="1:21" x14ac:dyDescent="0.3">
      <c r="A2195" s="1" t="s">
        <v>155</v>
      </c>
      <c r="B2195" s="1" t="s">
        <v>150</v>
      </c>
      <c r="C2195" s="2">
        <v>45220</v>
      </c>
      <c r="D2195" s="1" t="s">
        <v>59</v>
      </c>
      <c r="E2195" s="1" t="s">
        <v>40</v>
      </c>
      <c r="F2195">
        <v>1365.88</v>
      </c>
      <c r="G2195">
        <v>45</v>
      </c>
      <c r="H2195" s="1" t="s">
        <v>31</v>
      </c>
      <c r="I2195">
        <v>2558.09</v>
      </c>
      <c r="J2195">
        <v>2958.55</v>
      </c>
      <c r="K2195" s="1" t="s">
        <v>26</v>
      </c>
      <c r="L2195">
        <v>0.08</v>
      </c>
      <c r="M2195" s="1" t="s">
        <v>21</v>
      </c>
      <c r="N2195" s="1" t="s">
        <v>22</v>
      </c>
      <c r="O2195" s="1" t="s">
        <v>90</v>
      </c>
      <c r="P2195">
        <v>115114.05</v>
      </c>
      <c r="Q2195">
        <v>2023</v>
      </c>
      <c r="R2195">
        <v>122483.97</v>
      </c>
      <c r="S2195">
        <v>7369.9199999999983</v>
      </c>
      <c r="T2195" s="1" t="s">
        <v>166</v>
      </c>
      <c r="U2195">
        <v>6.0170485982778001E-2</v>
      </c>
    </row>
    <row r="2196" spans="1:21" x14ac:dyDescent="0.3">
      <c r="A2196" s="1" t="s">
        <v>155</v>
      </c>
      <c r="B2196" s="1" t="s">
        <v>94</v>
      </c>
      <c r="C2196" s="2">
        <v>45221</v>
      </c>
      <c r="D2196" s="1" t="s">
        <v>36</v>
      </c>
      <c r="E2196" s="1" t="s">
        <v>18</v>
      </c>
      <c r="F2196">
        <v>4384.88</v>
      </c>
      <c r="G2196">
        <v>34</v>
      </c>
      <c r="H2196" s="1" t="s">
        <v>31</v>
      </c>
      <c r="I2196">
        <v>2462.5500000000002</v>
      </c>
      <c r="J2196">
        <v>2521.77</v>
      </c>
      <c r="K2196" s="1" t="s">
        <v>26</v>
      </c>
      <c r="L2196">
        <v>0.21</v>
      </c>
      <c r="M2196" s="1" t="s">
        <v>32</v>
      </c>
      <c r="N2196" s="1" t="s">
        <v>33</v>
      </c>
      <c r="O2196" s="1" t="s">
        <v>115</v>
      </c>
      <c r="P2196">
        <v>83726.700000000012</v>
      </c>
      <c r="Q2196">
        <v>2023</v>
      </c>
      <c r="R2196">
        <v>67734.742199999993</v>
      </c>
      <c r="S2196">
        <v>-15991.957800000018</v>
      </c>
      <c r="T2196" s="1" t="s">
        <v>166</v>
      </c>
      <c r="U2196">
        <v>-0.23609682831272399</v>
      </c>
    </row>
    <row r="2197" spans="1:21" x14ac:dyDescent="0.3">
      <c r="A2197" s="1" t="s">
        <v>155</v>
      </c>
      <c r="B2197" s="1" t="s">
        <v>82</v>
      </c>
      <c r="C2197" s="2">
        <v>45221</v>
      </c>
      <c r="D2197" s="1" t="s">
        <v>43</v>
      </c>
      <c r="E2197" s="1" t="s">
        <v>18</v>
      </c>
      <c r="F2197">
        <v>2661.25</v>
      </c>
      <c r="G2197">
        <v>11</v>
      </c>
      <c r="H2197" s="1" t="s">
        <v>31</v>
      </c>
      <c r="I2197">
        <v>3648.04</v>
      </c>
      <c r="J2197">
        <v>4143.51</v>
      </c>
      <c r="K2197" s="1" t="s">
        <v>20</v>
      </c>
      <c r="L2197">
        <v>0.17</v>
      </c>
      <c r="M2197" s="1" t="s">
        <v>27</v>
      </c>
      <c r="N2197" s="1" t="s">
        <v>33</v>
      </c>
      <c r="O2197" s="1" t="s">
        <v>62</v>
      </c>
      <c r="P2197">
        <v>40128.44</v>
      </c>
      <c r="Q2197">
        <v>2023</v>
      </c>
      <c r="R2197">
        <v>37830.246299999999</v>
      </c>
      <c r="S2197">
        <v>-2298.1937000000034</v>
      </c>
      <c r="T2197" s="1" t="s">
        <v>166</v>
      </c>
      <c r="U2197">
        <v>-6.0750164875347498E-2</v>
      </c>
    </row>
    <row r="2198" spans="1:21" x14ac:dyDescent="0.3">
      <c r="A2198" s="1" t="s">
        <v>155</v>
      </c>
      <c r="B2198" s="1" t="s">
        <v>42</v>
      </c>
      <c r="C2198" s="2">
        <v>45221</v>
      </c>
      <c r="D2198" s="1" t="s">
        <v>43</v>
      </c>
      <c r="E2198" s="1" t="s">
        <v>40</v>
      </c>
      <c r="F2198">
        <v>1514.14</v>
      </c>
      <c r="G2198">
        <v>43</v>
      </c>
      <c r="H2198" s="1" t="s">
        <v>19</v>
      </c>
      <c r="I2198">
        <v>906.47</v>
      </c>
      <c r="J2198">
        <v>1283.04</v>
      </c>
      <c r="K2198" s="1" t="s">
        <v>26</v>
      </c>
      <c r="L2198">
        <v>0.24</v>
      </c>
      <c r="M2198" s="1" t="s">
        <v>21</v>
      </c>
      <c r="N2198" s="1" t="s">
        <v>22</v>
      </c>
      <c r="O2198" s="1" t="s">
        <v>99</v>
      </c>
      <c r="P2198">
        <v>38978.21</v>
      </c>
      <c r="Q2198">
        <v>2023</v>
      </c>
      <c r="R2198">
        <v>41929.747199999998</v>
      </c>
      <c r="S2198">
        <v>2951.5371999999988</v>
      </c>
      <c r="T2198" s="1" t="s">
        <v>166</v>
      </c>
      <c r="U2198">
        <v>7.0392439666318807E-2</v>
      </c>
    </row>
    <row r="2199" spans="1:21" x14ac:dyDescent="0.3">
      <c r="A2199" s="1" t="s">
        <v>155</v>
      </c>
      <c r="B2199" s="1" t="s">
        <v>74</v>
      </c>
      <c r="C2199" s="2">
        <v>45221</v>
      </c>
      <c r="D2199" s="1" t="s">
        <v>17</v>
      </c>
      <c r="E2199" s="1" t="s">
        <v>30</v>
      </c>
      <c r="F2199">
        <v>3297.97</v>
      </c>
      <c r="G2199">
        <v>40</v>
      </c>
      <c r="H2199" s="1" t="s">
        <v>19</v>
      </c>
      <c r="I2199">
        <v>3233.37</v>
      </c>
      <c r="J2199">
        <v>3723.21</v>
      </c>
      <c r="K2199" s="1" t="s">
        <v>26</v>
      </c>
      <c r="L2199">
        <v>0.22</v>
      </c>
      <c r="M2199" s="1" t="s">
        <v>32</v>
      </c>
      <c r="N2199" s="1" t="s">
        <v>33</v>
      </c>
      <c r="O2199" s="1" t="s">
        <v>34</v>
      </c>
      <c r="P2199">
        <v>129334.79999999999</v>
      </c>
      <c r="Q2199">
        <v>2023</v>
      </c>
      <c r="R2199">
        <v>116164.152</v>
      </c>
      <c r="S2199">
        <v>-13170.647999999986</v>
      </c>
      <c r="T2199" s="1" t="s">
        <v>166</v>
      </c>
      <c r="U2199">
        <v>-0.11337962506712</v>
      </c>
    </row>
    <row r="2200" spans="1:21" x14ac:dyDescent="0.3">
      <c r="A2200" s="1" t="s">
        <v>155</v>
      </c>
      <c r="B2200" s="1" t="s">
        <v>82</v>
      </c>
      <c r="C2200" s="2">
        <v>45222</v>
      </c>
      <c r="D2200" s="1" t="s">
        <v>43</v>
      </c>
      <c r="E2200" s="1" t="s">
        <v>40</v>
      </c>
      <c r="F2200">
        <v>6395.95</v>
      </c>
      <c r="G2200">
        <v>46</v>
      </c>
      <c r="H2200" s="1" t="s">
        <v>19</v>
      </c>
      <c r="I2200">
        <v>1747.05</v>
      </c>
      <c r="J2200">
        <v>1830.27</v>
      </c>
      <c r="K2200" s="1" t="s">
        <v>26</v>
      </c>
      <c r="L2200">
        <v>0.15</v>
      </c>
      <c r="M2200" s="1" t="s">
        <v>32</v>
      </c>
      <c r="N2200" s="1" t="s">
        <v>33</v>
      </c>
      <c r="O2200" s="1" t="s">
        <v>99</v>
      </c>
      <c r="P2200">
        <v>80364.3</v>
      </c>
      <c r="Q2200">
        <v>2023</v>
      </c>
      <c r="R2200">
        <v>71563.557000000001</v>
      </c>
      <c r="S2200">
        <v>-8800.7430000000022</v>
      </c>
      <c r="T2200" s="1" t="s">
        <v>166</v>
      </c>
      <c r="U2200">
        <v>-0.122977998424533</v>
      </c>
    </row>
    <row r="2201" spans="1:21" x14ac:dyDescent="0.3">
      <c r="A2201" s="1" t="s">
        <v>155</v>
      </c>
      <c r="B2201" s="1" t="s">
        <v>150</v>
      </c>
      <c r="C2201" s="2">
        <v>45222</v>
      </c>
      <c r="D2201" s="1" t="s">
        <v>25</v>
      </c>
      <c r="E2201" s="1" t="s">
        <v>30</v>
      </c>
      <c r="F2201">
        <v>4650.68</v>
      </c>
      <c r="G2201">
        <v>45</v>
      </c>
      <c r="H2201" s="1" t="s">
        <v>19</v>
      </c>
      <c r="I2201">
        <v>4369.5</v>
      </c>
      <c r="J2201">
        <v>4381.8900000000003</v>
      </c>
      <c r="K2201" s="1" t="s">
        <v>20</v>
      </c>
      <c r="L2201">
        <v>0.02</v>
      </c>
      <c r="M2201" s="1" t="s">
        <v>27</v>
      </c>
      <c r="N2201" s="1" t="s">
        <v>33</v>
      </c>
      <c r="O2201" s="1" t="s">
        <v>92</v>
      </c>
      <c r="P2201">
        <v>196627.5</v>
      </c>
      <c r="Q2201">
        <v>2023</v>
      </c>
      <c r="R2201">
        <v>193241.34900000002</v>
      </c>
      <c r="S2201">
        <v>-3386.1509999999835</v>
      </c>
      <c r="T2201" s="1" t="s">
        <v>166</v>
      </c>
      <c r="U2201">
        <v>-1.7522911206752E-2</v>
      </c>
    </row>
    <row r="2202" spans="1:21" x14ac:dyDescent="0.3">
      <c r="A2202" s="1" t="s">
        <v>155</v>
      </c>
      <c r="B2202" s="1" t="s">
        <v>78</v>
      </c>
      <c r="C2202" s="2">
        <v>45222</v>
      </c>
      <c r="D2202" s="1" t="s">
        <v>36</v>
      </c>
      <c r="E2202" s="1" t="s">
        <v>44</v>
      </c>
      <c r="F2202">
        <v>4252.54</v>
      </c>
      <c r="G2202">
        <v>8</v>
      </c>
      <c r="H2202" s="1" t="s">
        <v>57</v>
      </c>
      <c r="I2202">
        <v>4117.13</v>
      </c>
      <c r="J2202">
        <v>4177.0600000000004</v>
      </c>
      <c r="K2202" s="1" t="s">
        <v>20</v>
      </c>
      <c r="L2202">
        <v>0.25</v>
      </c>
      <c r="M2202" s="1" t="s">
        <v>32</v>
      </c>
      <c r="N2202" s="1" t="s">
        <v>33</v>
      </c>
      <c r="O2202" s="1" t="s">
        <v>71</v>
      </c>
      <c r="P2202">
        <v>32937.040000000001</v>
      </c>
      <c r="Q2202">
        <v>2023</v>
      </c>
      <c r="R2202">
        <v>25062.36</v>
      </c>
      <c r="S2202">
        <v>-7874.68</v>
      </c>
      <c r="T2202" s="1" t="s">
        <v>166</v>
      </c>
      <c r="U2202">
        <v>-0.31420345091204499</v>
      </c>
    </row>
    <row r="2203" spans="1:21" x14ac:dyDescent="0.3">
      <c r="A2203" s="1" t="s">
        <v>155</v>
      </c>
      <c r="B2203" s="1" t="s">
        <v>78</v>
      </c>
      <c r="C2203" s="2">
        <v>45222</v>
      </c>
      <c r="D2203" s="1" t="s">
        <v>36</v>
      </c>
      <c r="E2203" s="1" t="s">
        <v>30</v>
      </c>
      <c r="F2203">
        <v>4392.47</v>
      </c>
      <c r="G2203">
        <v>48</v>
      </c>
      <c r="H2203" s="1" t="s">
        <v>37</v>
      </c>
      <c r="I2203">
        <v>4325.0200000000004</v>
      </c>
      <c r="J2203">
        <v>4391.67</v>
      </c>
      <c r="K2203" s="1" t="s">
        <v>20</v>
      </c>
      <c r="L2203">
        <v>0.16</v>
      </c>
      <c r="M2203" s="1" t="s">
        <v>27</v>
      </c>
      <c r="N2203" s="1" t="s">
        <v>33</v>
      </c>
      <c r="O2203" s="1" t="s">
        <v>38</v>
      </c>
      <c r="P2203">
        <v>207600.96000000002</v>
      </c>
      <c r="Q2203">
        <v>2023</v>
      </c>
      <c r="R2203">
        <v>177072.13440000001</v>
      </c>
      <c r="S2203">
        <v>-30528.825600000011</v>
      </c>
      <c r="T2203" s="1" t="s">
        <v>166</v>
      </c>
      <c r="U2203">
        <v>-0.17240897729868901</v>
      </c>
    </row>
    <row r="2204" spans="1:21" x14ac:dyDescent="0.3">
      <c r="A2204" s="1" t="s">
        <v>155</v>
      </c>
      <c r="B2204" s="1" t="s">
        <v>58</v>
      </c>
      <c r="C2204" s="2">
        <v>45222</v>
      </c>
      <c r="D2204" s="1" t="s">
        <v>36</v>
      </c>
      <c r="E2204" s="1" t="s">
        <v>30</v>
      </c>
      <c r="F2204">
        <v>9519.76</v>
      </c>
      <c r="G2204">
        <v>42</v>
      </c>
      <c r="H2204" s="1" t="s">
        <v>57</v>
      </c>
      <c r="I2204">
        <v>309.77999999999997</v>
      </c>
      <c r="J2204">
        <v>350.38</v>
      </c>
      <c r="K2204" s="1" t="s">
        <v>20</v>
      </c>
      <c r="L2204">
        <v>0.19</v>
      </c>
      <c r="M2204" s="1" t="s">
        <v>27</v>
      </c>
      <c r="N2204" s="1" t="s">
        <v>33</v>
      </c>
      <c r="O2204" s="1" t="s">
        <v>38</v>
      </c>
      <c r="P2204">
        <v>13010.759999999998</v>
      </c>
      <c r="Q2204">
        <v>2023</v>
      </c>
      <c r="R2204">
        <v>11919.927600000001</v>
      </c>
      <c r="S2204">
        <v>-1090.8323999999975</v>
      </c>
      <c r="T2204" s="1" t="s">
        <v>166</v>
      </c>
      <c r="U2204">
        <v>-9.1513341070963997E-2</v>
      </c>
    </row>
    <row r="2205" spans="1:21" x14ac:dyDescent="0.3">
      <c r="A2205" s="1" t="s">
        <v>155</v>
      </c>
      <c r="B2205" s="1" t="s">
        <v>46</v>
      </c>
      <c r="C2205" s="2">
        <v>45223</v>
      </c>
      <c r="D2205" s="1" t="s">
        <v>43</v>
      </c>
      <c r="E2205" s="1" t="s">
        <v>44</v>
      </c>
      <c r="F2205">
        <v>7825.62</v>
      </c>
      <c r="G2205">
        <v>28</v>
      </c>
      <c r="H2205" s="1" t="s">
        <v>19</v>
      </c>
      <c r="I2205">
        <v>551.83000000000004</v>
      </c>
      <c r="J2205">
        <v>569.63</v>
      </c>
      <c r="K2205" s="1" t="s">
        <v>26</v>
      </c>
      <c r="L2205">
        <v>0.13</v>
      </c>
      <c r="M2205" s="1" t="s">
        <v>27</v>
      </c>
      <c r="N2205" s="1" t="s">
        <v>33</v>
      </c>
      <c r="O2205" s="1" t="s">
        <v>45</v>
      </c>
      <c r="P2205">
        <v>15451.240000000002</v>
      </c>
      <c r="Q2205">
        <v>2023</v>
      </c>
      <c r="R2205">
        <v>13876.186799999999</v>
      </c>
      <c r="S2205">
        <v>-1575.0532000000021</v>
      </c>
      <c r="T2205" s="1" t="s">
        <v>166</v>
      </c>
      <c r="U2205">
        <v>-0.113507638856519</v>
      </c>
    </row>
    <row r="2206" spans="1:21" x14ac:dyDescent="0.3">
      <c r="A2206" s="1" t="s">
        <v>155</v>
      </c>
      <c r="B2206" s="1" t="s">
        <v>120</v>
      </c>
      <c r="C2206" s="2">
        <v>45223</v>
      </c>
      <c r="D2206" s="1" t="s">
        <v>36</v>
      </c>
      <c r="E2206" s="1" t="s">
        <v>44</v>
      </c>
      <c r="F2206">
        <v>2044.55</v>
      </c>
      <c r="G2206">
        <v>45</v>
      </c>
      <c r="H2206" s="1" t="s">
        <v>57</v>
      </c>
      <c r="I2206">
        <v>1741.66</v>
      </c>
      <c r="J2206">
        <v>2169.86</v>
      </c>
      <c r="K2206" s="1" t="s">
        <v>20</v>
      </c>
      <c r="L2206">
        <v>0.14000000000000001</v>
      </c>
      <c r="M2206" s="1" t="s">
        <v>27</v>
      </c>
      <c r="N2206" s="1" t="s">
        <v>22</v>
      </c>
      <c r="O2206" s="1" t="s">
        <v>71</v>
      </c>
      <c r="P2206">
        <v>78374.7</v>
      </c>
      <c r="Q2206">
        <v>2023</v>
      </c>
      <c r="R2206">
        <v>83973.582000000009</v>
      </c>
      <c r="S2206">
        <v>5598.8820000000123</v>
      </c>
      <c r="T2206" s="1" t="s">
        <v>166</v>
      </c>
      <c r="U2206">
        <v>6.6674326218452998E-2</v>
      </c>
    </row>
    <row r="2207" spans="1:21" x14ac:dyDescent="0.3">
      <c r="A2207" s="1" t="s">
        <v>155</v>
      </c>
      <c r="B2207" s="1" t="s">
        <v>122</v>
      </c>
      <c r="C2207" s="2">
        <v>45225</v>
      </c>
      <c r="D2207" s="1" t="s">
        <v>59</v>
      </c>
      <c r="E2207" s="1" t="s">
        <v>44</v>
      </c>
      <c r="F2207">
        <v>7633.98</v>
      </c>
      <c r="G2207">
        <v>27</v>
      </c>
      <c r="H2207" s="1" t="s">
        <v>37</v>
      </c>
      <c r="I2207">
        <v>4686.79</v>
      </c>
      <c r="J2207">
        <v>5046.51</v>
      </c>
      <c r="K2207" s="1" t="s">
        <v>20</v>
      </c>
      <c r="L2207">
        <v>0.05</v>
      </c>
      <c r="M2207" s="1" t="s">
        <v>27</v>
      </c>
      <c r="N2207" s="1" t="s">
        <v>33</v>
      </c>
      <c r="O2207" s="1" t="s">
        <v>60</v>
      </c>
      <c r="P2207">
        <v>126543.33</v>
      </c>
      <c r="Q2207">
        <v>2023</v>
      </c>
      <c r="R2207">
        <v>129442.98150000001</v>
      </c>
      <c r="S2207">
        <v>2899.6515000000072</v>
      </c>
      <c r="T2207" s="1" t="s">
        <v>166</v>
      </c>
      <c r="U2207">
        <v>2.2400994371409799E-2</v>
      </c>
    </row>
    <row r="2208" spans="1:21" x14ac:dyDescent="0.3">
      <c r="A2208" s="1" t="s">
        <v>155</v>
      </c>
      <c r="B2208" s="1" t="s">
        <v>24</v>
      </c>
      <c r="C2208" s="2">
        <v>45226</v>
      </c>
      <c r="D2208" s="1" t="s">
        <v>36</v>
      </c>
      <c r="E2208" s="1" t="s">
        <v>18</v>
      </c>
      <c r="F2208">
        <v>7751.92</v>
      </c>
      <c r="G2208">
        <v>43</v>
      </c>
      <c r="H2208" s="1" t="s">
        <v>31</v>
      </c>
      <c r="I2208">
        <v>3851.45</v>
      </c>
      <c r="J2208">
        <v>4186.9799999999996</v>
      </c>
      <c r="K2208" s="1" t="s">
        <v>20</v>
      </c>
      <c r="L2208">
        <v>0.3</v>
      </c>
      <c r="M2208" s="1" t="s">
        <v>27</v>
      </c>
      <c r="N2208" s="1" t="s">
        <v>22</v>
      </c>
      <c r="O2208" s="1" t="s">
        <v>115</v>
      </c>
      <c r="P2208">
        <v>165612.35</v>
      </c>
      <c r="Q2208">
        <v>2023</v>
      </c>
      <c r="R2208">
        <v>126028.09799999998</v>
      </c>
      <c r="S2208">
        <v>-39584.252000000022</v>
      </c>
      <c r="T2208" s="1" t="s">
        <v>166</v>
      </c>
      <c r="U2208">
        <v>-0.31409068793532102</v>
      </c>
    </row>
    <row r="2209" spans="1:21" x14ac:dyDescent="0.3">
      <c r="A2209" s="1" t="s">
        <v>155</v>
      </c>
      <c r="B2209" s="1" t="s">
        <v>46</v>
      </c>
      <c r="C2209" s="2">
        <v>45226</v>
      </c>
      <c r="D2209" s="1" t="s">
        <v>17</v>
      </c>
      <c r="E2209" s="1" t="s">
        <v>18</v>
      </c>
      <c r="F2209">
        <v>1515.71</v>
      </c>
      <c r="G2209">
        <v>27</v>
      </c>
      <c r="H2209" s="1" t="s">
        <v>57</v>
      </c>
      <c r="I2209">
        <v>3139.36</v>
      </c>
      <c r="J2209">
        <v>3423.66</v>
      </c>
      <c r="K2209" s="1" t="s">
        <v>26</v>
      </c>
      <c r="L2209">
        <v>0.18</v>
      </c>
      <c r="M2209" s="1" t="s">
        <v>27</v>
      </c>
      <c r="N2209" s="1" t="s">
        <v>22</v>
      </c>
      <c r="O2209" s="1" t="s">
        <v>23</v>
      </c>
      <c r="P2209">
        <v>84762.72</v>
      </c>
      <c r="Q2209">
        <v>2023</v>
      </c>
      <c r="R2209">
        <v>75799.832399999999</v>
      </c>
      <c r="S2209">
        <v>-8962.8876000000018</v>
      </c>
      <c r="T2209" s="1" t="s">
        <v>166</v>
      </c>
      <c r="U2209">
        <v>-0.11824416118366</v>
      </c>
    </row>
    <row r="2210" spans="1:21" x14ac:dyDescent="0.3">
      <c r="A2210" s="1" t="s">
        <v>155</v>
      </c>
      <c r="B2210" s="1" t="s">
        <v>95</v>
      </c>
      <c r="C2210" s="2">
        <v>45227</v>
      </c>
      <c r="D2210" s="1" t="s">
        <v>36</v>
      </c>
      <c r="E2210" s="1" t="s">
        <v>18</v>
      </c>
      <c r="F2210">
        <v>1115.42</v>
      </c>
      <c r="G2210">
        <v>43</v>
      </c>
      <c r="H2210" s="1" t="s">
        <v>19</v>
      </c>
      <c r="I2210">
        <v>4781.42</v>
      </c>
      <c r="J2210">
        <v>4864.34</v>
      </c>
      <c r="K2210" s="1" t="s">
        <v>20</v>
      </c>
      <c r="L2210">
        <v>0.25</v>
      </c>
      <c r="M2210" s="1" t="s">
        <v>32</v>
      </c>
      <c r="N2210" s="1" t="s">
        <v>22</v>
      </c>
      <c r="O2210" s="1" t="s">
        <v>115</v>
      </c>
      <c r="P2210">
        <v>205601.06</v>
      </c>
      <c r="Q2210">
        <v>2023</v>
      </c>
      <c r="R2210">
        <v>156874.965</v>
      </c>
      <c r="S2210">
        <v>-48726.095000000001</v>
      </c>
      <c r="T2210" s="1" t="s">
        <v>166</v>
      </c>
      <c r="U2210">
        <v>-0.31060465893968497</v>
      </c>
    </row>
    <row r="2211" spans="1:21" x14ac:dyDescent="0.3">
      <c r="A2211" s="1" t="s">
        <v>155</v>
      </c>
      <c r="B2211" s="1" t="s">
        <v>148</v>
      </c>
      <c r="C2211" s="2">
        <v>45227</v>
      </c>
      <c r="D2211" s="1" t="s">
        <v>43</v>
      </c>
      <c r="E2211" s="1" t="s">
        <v>40</v>
      </c>
      <c r="F2211">
        <v>7611.28</v>
      </c>
      <c r="G2211">
        <v>39</v>
      </c>
      <c r="H2211" s="1" t="s">
        <v>31</v>
      </c>
      <c r="I2211">
        <v>2184.4899999999998</v>
      </c>
      <c r="J2211">
        <v>2540.42</v>
      </c>
      <c r="K2211" s="1" t="s">
        <v>20</v>
      </c>
      <c r="L2211">
        <v>0.27</v>
      </c>
      <c r="M2211" s="1" t="s">
        <v>32</v>
      </c>
      <c r="N2211" s="1" t="s">
        <v>22</v>
      </c>
      <c r="O2211" s="1" t="s">
        <v>99</v>
      </c>
      <c r="P2211">
        <v>85195.109999999986</v>
      </c>
      <c r="Q2211">
        <v>2023</v>
      </c>
      <c r="R2211">
        <v>72325.757400000002</v>
      </c>
      <c r="S2211">
        <v>-12869.352599999984</v>
      </c>
      <c r="T2211" s="1" t="s">
        <v>166</v>
      </c>
      <c r="U2211">
        <v>-0.177935953422867</v>
      </c>
    </row>
    <row r="2212" spans="1:21" x14ac:dyDescent="0.3">
      <c r="A2212" s="1" t="s">
        <v>155</v>
      </c>
      <c r="B2212" s="1" t="s">
        <v>154</v>
      </c>
      <c r="C2212" s="2">
        <v>45227</v>
      </c>
      <c r="D2212" s="1" t="s">
        <v>43</v>
      </c>
      <c r="E2212" s="1" t="s">
        <v>40</v>
      </c>
      <c r="F2212">
        <v>1558.03</v>
      </c>
      <c r="G2212">
        <v>38</v>
      </c>
      <c r="H2212" s="1" t="s">
        <v>31</v>
      </c>
      <c r="I2212">
        <v>1127.76</v>
      </c>
      <c r="J2212">
        <v>1265.6600000000001</v>
      </c>
      <c r="K2212" s="1" t="s">
        <v>20</v>
      </c>
      <c r="L2212">
        <v>0.26</v>
      </c>
      <c r="M2212" s="1" t="s">
        <v>32</v>
      </c>
      <c r="N2212" s="1" t="s">
        <v>33</v>
      </c>
      <c r="O2212" s="1" t="s">
        <v>99</v>
      </c>
      <c r="P2212">
        <v>42854.879999999997</v>
      </c>
      <c r="Q2212">
        <v>2023</v>
      </c>
      <c r="R2212">
        <v>35590.359199999999</v>
      </c>
      <c r="S2212">
        <v>-7264.5207999999984</v>
      </c>
      <c r="T2212" s="1" t="s">
        <v>166</v>
      </c>
      <c r="U2212">
        <v>-0.20411484916960301</v>
      </c>
    </row>
    <row r="2213" spans="1:21" x14ac:dyDescent="0.3">
      <c r="A2213" s="1" t="s">
        <v>155</v>
      </c>
      <c r="B2213" s="1" t="s">
        <v>56</v>
      </c>
      <c r="C2213" s="2">
        <v>45227</v>
      </c>
      <c r="D2213" s="1" t="s">
        <v>25</v>
      </c>
      <c r="E2213" s="1" t="s">
        <v>18</v>
      </c>
      <c r="F2213">
        <v>5571.36</v>
      </c>
      <c r="G2213">
        <v>23</v>
      </c>
      <c r="H2213" s="1" t="s">
        <v>57</v>
      </c>
      <c r="I2213">
        <v>1411.37</v>
      </c>
      <c r="J2213">
        <v>1675.35</v>
      </c>
      <c r="K2213" s="1" t="s">
        <v>26</v>
      </c>
      <c r="L2213">
        <v>0.21</v>
      </c>
      <c r="M2213" s="1" t="s">
        <v>21</v>
      </c>
      <c r="N2213" s="1" t="s">
        <v>33</v>
      </c>
      <c r="O2213" s="1" t="s">
        <v>28</v>
      </c>
      <c r="P2213">
        <v>32461.51</v>
      </c>
      <c r="Q2213">
        <v>2023</v>
      </c>
      <c r="R2213">
        <v>30441.109499999999</v>
      </c>
      <c r="S2213">
        <v>-2020.4004999999997</v>
      </c>
      <c r="T2213" s="1" t="s">
        <v>166</v>
      </c>
      <c r="U2213">
        <v>-6.6370790460183404E-2</v>
      </c>
    </row>
    <row r="2214" spans="1:21" x14ac:dyDescent="0.3">
      <c r="A2214" s="1" t="s">
        <v>155</v>
      </c>
      <c r="B2214" s="1" t="s">
        <v>81</v>
      </c>
      <c r="C2214" s="2">
        <v>45228</v>
      </c>
      <c r="D2214" s="1" t="s">
        <v>25</v>
      </c>
      <c r="E2214" s="1" t="s">
        <v>18</v>
      </c>
      <c r="F2214">
        <v>1996.77</v>
      </c>
      <c r="G2214">
        <v>11</v>
      </c>
      <c r="H2214" s="1" t="s">
        <v>19</v>
      </c>
      <c r="I2214">
        <v>1812.66</v>
      </c>
      <c r="J2214">
        <v>2196.3000000000002</v>
      </c>
      <c r="K2214" s="1" t="s">
        <v>26</v>
      </c>
      <c r="L2214">
        <v>0.08</v>
      </c>
      <c r="M2214" s="1" t="s">
        <v>21</v>
      </c>
      <c r="N2214" s="1" t="s">
        <v>22</v>
      </c>
      <c r="O2214" s="1" t="s">
        <v>28</v>
      </c>
      <c r="P2214">
        <v>19939.260000000002</v>
      </c>
      <c r="Q2214">
        <v>2023</v>
      </c>
      <c r="R2214">
        <v>22226.556000000004</v>
      </c>
      <c r="S2214">
        <v>2287.2960000000021</v>
      </c>
      <c r="T2214" s="1" t="s">
        <v>166</v>
      </c>
      <c r="U2214">
        <v>0.102908250832923</v>
      </c>
    </row>
    <row r="2215" spans="1:21" x14ac:dyDescent="0.3">
      <c r="A2215" s="1" t="s">
        <v>155</v>
      </c>
      <c r="B2215" s="1" t="s">
        <v>152</v>
      </c>
      <c r="C2215" s="2">
        <v>45228</v>
      </c>
      <c r="D2215" s="1" t="s">
        <v>36</v>
      </c>
      <c r="E2215" s="1" t="s">
        <v>40</v>
      </c>
      <c r="F2215">
        <v>5952.19</v>
      </c>
      <c r="G2215">
        <v>31</v>
      </c>
      <c r="H2215" s="1" t="s">
        <v>57</v>
      </c>
      <c r="I2215">
        <v>333.69</v>
      </c>
      <c r="J2215">
        <v>685.1</v>
      </c>
      <c r="K2215" s="1" t="s">
        <v>26</v>
      </c>
      <c r="L2215">
        <v>0.04</v>
      </c>
      <c r="M2215" s="1" t="s">
        <v>32</v>
      </c>
      <c r="N2215" s="1" t="s">
        <v>22</v>
      </c>
      <c r="O2215" s="1" t="s">
        <v>41</v>
      </c>
      <c r="P2215">
        <v>10344.39</v>
      </c>
      <c r="Q2215">
        <v>2023</v>
      </c>
      <c r="R2215">
        <v>20388.576000000001</v>
      </c>
      <c r="S2215">
        <v>10044.186000000002</v>
      </c>
      <c r="T2215" s="1" t="s">
        <v>166</v>
      </c>
      <c r="U2215">
        <v>0.49263793606772699</v>
      </c>
    </row>
    <row r="2216" spans="1:21" x14ac:dyDescent="0.3">
      <c r="A2216" s="1" t="s">
        <v>155</v>
      </c>
      <c r="B2216" s="1" t="s">
        <v>78</v>
      </c>
      <c r="C2216" s="2">
        <v>45228</v>
      </c>
      <c r="D2216" s="1" t="s">
        <v>36</v>
      </c>
      <c r="E2216" s="1" t="s">
        <v>40</v>
      </c>
      <c r="F2216">
        <v>4025.88</v>
      </c>
      <c r="G2216">
        <v>8</v>
      </c>
      <c r="H2216" s="1" t="s">
        <v>19</v>
      </c>
      <c r="I2216">
        <v>3610.21</v>
      </c>
      <c r="J2216">
        <v>3817.99</v>
      </c>
      <c r="K2216" s="1" t="s">
        <v>20</v>
      </c>
      <c r="L2216">
        <v>0.15</v>
      </c>
      <c r="M2216" s="1" t="s">
        <v>21</v>
      </c>
      <c r="N2216" s="1" t="s">
        <v>33</v>
      </c>
      <c r="O2216" s="1" t="s">
        <v>41</v>
      </c>
      <c r="P2216">
        <v>28881.68</v>
      </c>
      <c r="Q2216">
        <v>2023</v>
      </c>
      <c r="R2216">
        <v>25962.331999999999</v>
      </c>
      <c r="S2216">
        <v>-2919.3480000000018</v>
      </c>
      <c r="T2216" s="1" t="s">
        <v>166</v>
      </c>
      <c r="U2216">
        <v>-0.112445522998473</v>
      </c>
    </row>
    <row r="2217" spans="1:21" x14ac:dyDescent="0.3">
      <c r="A2217" s="1" t="s">
        <v>155</v>
      </c>
      <c r="B2217" s="1" t="s">
        <v>69</v>
      </c>
      <c r="C2217" s="2">
        <v>45228</v>
      </c>
      <c r="D2217" s="1" t="s">
        <v>36</v>
      </c>
      <c r="E2217" s="1" t="s">
        <v>18</v>
      </c>
      <c r="F2217">
        <v>8919.4699999999993</v>
      </c>
      <c r="G2217">
        <v>34</v>
      </c>
      <c r="H2217" s="1" t="s">
        <v>57</v>
      </c>
      <c r="I2217">
        <v>978.15</v>
      </c>
      <c r="J2217">
        <v>1040.21</v>
      </c>
      <c r="K2217" s="1" t="s">
        <v>26</v>
      </c>
      <c r="L2217">
        <v>0.12</v>
      </c>
      <c r="M2217" s="1" t="s">
        <v>27</v>
      </c>
      <c r="N2217" s="1" t="s">
        <v>33</v>
      </c>
      <c r="O2217" s="1" t="s">
        <v>115</v>
      </c>
      <c r="P2217">
        <v>33257.1</v>
      </c>
      <c r="Q2217">
        <v>2023</v>
      </c>
      <c r="R2217">
        <v>31123.083200000001</v>
      </c>
      <c r="S2217">
        <v>-2134.0167999999976</v>
      </c>
      <c r="T2217" s="1" t="s">
        <v>166</v>
      </c>
      <c r="U2217">
        <v>-6.8567011381442999E-2</v>
      </c>
    </row>
    <row r="2218" spans="1:21" x14ac:dyDescent="0.3">
      <c r="A2218" s="1" t="s">
        <v>155</v>
      </c>
      <c r="B2218" s="1" t="s">
        <v>102</v>
      </c>
      <c r="C2218" s="2">
        <v>45228</v>
      </c>
      <c r="D2218" s="1" t="s">
        <v>17</v>
      </c>
      <c r="E2218" s="1" t="s">
        <v>44</v>
      </c>
      <c r="F2218">
        <v>2141.9</v>
      </c>
      <c r="G2218">
        <v>1</v>
      </c>
      <c r="H2218" s="1" t="s">
        <v>31</v>
      </c>
      <c r="I2218">
        <v>641.67999999999995</v>
      </c>
      <c r="J2218">
        <v>752.24</v>
      </c>
      <c r="K2218" s="1" t="s">
        <v>26</v>
      </c>
      <c r="L2218">
        <v>0.22</v>
      </c>
      <c r="M2218" s="1" t="s">
        <v>32</v>
      </c>
      <c r="N2218" s="1" t="s">
        <v>22</v>
      </c>
      <c r="O2218" s="1" t="s">
        <v>49</v>
      </c>
      <c r="P2218">
        <v>641.67999999999995</v>
      </c>
      <c r="Q2218">
        <v>2023</v>
      </c>
      <c r="R2218">
        <v>586.74720000000002</v>
      </c>
      <c r="S2218">
        <v>-54.932799999999929</v>
      </c>
      <c r="T2218" s="1" t="s">
        <v>166</v>
      </c>
      <c r="U2218">
        <v>-9.3622602715445299E-2</v>
      </c>
    </row>
    <row r="2219" spans="1:21" x14ac:dyDescent="0.3">
      <c r="A2219" s="1" t="s">
        <v>155</v>
      </c>
      <c r="B2219" s="1" t="s">
        <v>151</v>
      </c>
      <c r="C2219" s="2">
        <v>45229</v>
      </c>
      <c r="D2219" s="1" t="s">
        <v>59</v>
      </c>
      <c r="E2219" s="1" t="s">
        <v>40</v>
      </c>
      <c r="F2219">
        <v>189.48</v>
      </c>
      <c r="G2219">
        <v>22</v>
      </c>
      <c r="H2219" s="1" t="s">
        <v>37</v>
      </c>
      <c r="I2219">
        <v>2701.39</v>
      </c>
      <c r="J2219">
        <v>3185.81</v>
      </c>
      <c r="K2219" s="1" t="s">
        <v>26</v>
      </c>
      <c r="L2219">
        <v>0.01</v>
      </c>
      <c r="M2219" s="1" t="s">
        <v>32</v>
      </c>
      <c r="N2219" s="1" t="s">
        <v>22</v>
      </c>
      <c r="O2219" s="1" t="s">
        <v>90</v>
      </c>
      <c r="P2219">
        <v>59430.579999999994</v>
      </c>
      <c r="Q2219">
        <v>2023</v>
      </c>
      <c r="R2219">
        <v>69386.941799999986</v>
      </c>
      <c r="S2219">
        <v>9956.3617999999915</v>
      </c>
      <c r="T2219" s="1" t="s">
        <v>166</v>
      </c>
      <c r="U2219">
        <v>0.14349042545639301</v>
      </c>
    </row>
    <row r="2220" spans="1:21" x14ac:dyDescent="0.3">
      <c r="A2220" s="1" t="s">
        <v>155</v>
      </c>
      <c r="B2220" s="1" t="s">
        <v>122</v>
      </c>
      <c r="C2220" s="2">
        <v>45229</v>
      </c>
      <c r="D2220" s="1" t="s">
        <v>17</v>
      </c>
      <c r="E2220" s="1" t="s">
        <v>40</v>
      </c>
      <c r="F2220">
        <v>6600.65</v>
      </c>
      <c r="G2220">
        <v>49</v>
      </c>
      <c r="H2220" s="1" t="s">
        <v>37</v>
      </c>
      <c r="I2220">
        <v>4264.46</v>
      </c>
      <c r="J2220">
        <v>4315.5200000000004</v>
      </c>
      <c r="K2220" s="1" t="s">
        <v>26</v>
      </c>
      <c r="L2220">
        <v>7.0000000000000007E-2</v>
      </c>
      <c r="M2220" s="1" t="s">
        <v>21</v>
      </c>
      <c r="N2220" s="1" t="s">
        <v>33</v>
      </c>
      <c r="O2220" s="1" t="s">
        <v>67</v>
      </c>
      <c r="P2220">
        <v>208958.54</v>
      </c>
      <c r="Q2220">
        <v>2023</v>
      </c>
      <c r="R2220">
        <v>196658.2464</v>
      </c>
      <c r="S2220">
        <v>-12300.293600000005</v>
      </c>
      <c r="T2220" s="1" t="s">
        <v>166</v>
      </c>
      <c r="U2220">
        <v>-6.2546543687679299E-2</v>
      </c>
    </row>
    <row r="2221" spans="1:21" x14ac:dyDescent="0.3">
      <c r="A2221" s="1" t="s">
        <v>155</v>
      </c>
      <c r="B2221" s="1" t="s">
        <v>135</v>
      </c>
      <c r="C2221" s="2">
        <v>45229</v>
      </c>
      <c r="D2221" s="1" t="s">
        <v>59</v>
      </c>
      <c r="E2221" s="1" t="s">
        <v>44</v>
      </c>
      <c r="F2221">
        <v>2947.56</v>
      </c>
      <c r="G2221">
        <v>38</v>
      </c>
      <c r="H2221" s="1" t="s">
        <v>57</v>
      </c>
      <c r="I2221">
        <v>4243.9799999999996</v>
      </c>
      <c r="J2221">
        <v>4474.51</v>
      </c>
      <c r="K2221" s="1" t="s">
        <v>26</v>
      </c>
      <c r="L2221">
        <v>0.01</v>
      </c>
      <c r="M2221" s="1" t="s">
        <v>27</v>
      </c>
      <c r="N2221" s="1" t="s">
        <v>22</v>
      </c>
      <c r="O2221" s="1" t="s">
        <v>60</v>
      </c>
      <c r="P2221">
        <v>161271.24</v>
      </c>
      <c r="Q2221">
        <v>2023</v>
      </c>
      <c r="R2221">
        <v>168331.0662</v>
      </c>
      <c r="S2221">
        <v>7059.8262000000104</v>
      </c>
      <c r="T2221" s="1" t="s">
        <v>166</v>
      </c>
      <c r="U2221">
        <v>4.1940126438764297E-2</v>
      </c>
    </row>
    <row r="2222" spans="1:21" x14ac:dyDescent="0.3">
      <c r="A2222" s="1" t="s">
        <v>155</v>
      </c>
      <c r="B2222" s="1" t="s">
        <v>107</v>
      </c>
      <c r="C2222" s="2">
        <v>45229</v>
      </c>
      <c r="D2222" s="1" t="s">
        <v>17</v>
      </c>
      <c r="E2222" s="1" t="s">
        <v>44</v>
      </c>
      <c r="F2222">
        <v>4333.25</v>
      </c>
      <c r="G2222">
        <v>16</v>
      </c>
      <c r="H2222" s="1" t="s">
        <v>37</v>
      </c>
      <c r="I2222">
        <v>2572.8000000000002</v>
      </c>
      <c r="J2222">
        <v>2760.6</v>
      </c>
      <c r="K2222" s="1" t="s">
        <v>20</v>
      </c>
      <c r="L2222">
        <v>0.15</v>
      </c>
      <c r="M2222" s="1" t="s">
        <v>27</v>
      </c>
      <c r="N2222" s="1" t="s">
        <v>33</v>
      </c>
      <c r="O2222" s="1" t="s">
        <v>49</v>
      </c>
      <c r="P2222">
        <v>41164.800000000003</v>
      </c>
      <c r="Q2222">
        <v>2023</v>
      </c>
      <c r="R2222">
        <v>37544.159999999996</v>
      </c>
      <c r="S2222">
        <v>-3620.6400000000067</v>
      </c>
      <c r="T2222" s="1" t="s">
        <v>166</v>
      </c>
      <c r="U2222">
        <v>-9.6436835981947799E-2</v>
      </c>
    </row>
    <row r="2223" spans="1:21" x14ac:dyDescent="0.3">
      <c r="A2223" s="1" t="s">
        <v>155</v>
      </c>
      <c r="B2223" s="1" t="s">
        <v>110</v>
      </c>
      <c r="C2223" s="2">
        <v>45229</v>
      </c>
      <c r="D2223" s="1" t="s">
        <v>36</v>
      </c>
      <c r="E2223" s="1" t="s">
        <v>18</v>
      </c>
      <c r="F2223">
        <v>6033.09</v>
      </c>
      <c r="G2223">
        <v>1</v>
      </c>
      <c r="H2223" s="1" t="s">
        <v>57</v>
      </c>
      <c r="I2223">
        <v>2258.44</v>
      </c>
      <c r="J2223">
        <v>2475.56</v>
      </c>
      <c r="K2223" s="1" t="s">
        <v>26</v>
      </c>
      <c r="L2223">
        <v>0.25</v>
      </c>
      <c r="M2223" s="1" t="s">
        <v>21</v>
      </c>
      <c r="N2223" s="1" t="s">
        <v>22</v>
      </c>
      <c r="O2223" s="1" t="s">
        <v>115</v>
      </c>
      <c r="P2223">
        <v>2258.44</v>
      </c>
      <c r="Q2223">
        <v>2023</v>
      </c>
      <c r="R2223">
        <v>1856.67</v>
      </c>
      <c r="S2223">
        <v>-401.77</v>
      </c>
      <c r="T2223" s="1" t="s">
        <v>166</v>
      </c>
      <c r="U2223">
        <v>-0.21639278924095301</v>
      </c>
    </row>
    <row r="2224" spans="1:21" x14ac:dyDescent="0.3">
      <c r="A2224" s="1" t="s">
        <v>155</v>
      </c>
      <c r="B2224" s="1" t="s">
        <v>95</v>
      </c>
      <c r="C2224" s="2">
        <v>45230</v>
      </c>
      <c r="D2224" s="1" t="s">
        <v>17</v>
      </c>
      <c r="E2224" s="1" t="s">
        <v>44</v>
      </c>
      <c r="F2224">
        <v>7982.79</v>
      </c>
      <c r="G2224">
        <v>18</v>
      </c>
      <c r="H2224" s="1" t="s">
        <v>31</v>
      </c>
      <c r="I2224">
        <v>3124.48</v>
      </c>
      <c r="J2224">
        <v>3553.27</v>
      </c>
      <c r="K2224" s="1" t="s">
        <v>20</v>
      </c>
      <c r="L2224">
        <v>0.12</v>
      </c>
      <c r="M2224" s="1" t="s">
        <v>21</v>
      </c>
      <c r="N2224" s="1" t="s">
        <v>33</v>
      </c>
      <c r="O2224" s="1" t="s">
        <v>49</v>
      </c>
      <c r="P2224">
        <v>56240.639999999999</v>
      </c>
      <c r="Q2224">
        <v>2023</v>
      </c>
      <c r="R2224">
        <v>56283.796800000004</v>
      </c>
      <c r="S2224">
        <v>43.156800000004296</v>
      </c>
      <c r="T2224" s="1" t="s">
        <v>166</v>
      </c>
      <c r="U2224">
        <v>7.6677129926679501E-4</v>
      </c>
    </row>
    <row r="2225" spans="1:21" x14ac:dyDescent="0.3">
      <c r="A2225" s="1" t="s">
        <v>155</v>
      </c>
      <c r="B2225" s="1" t="s">
        <v>63</v>
      </c>
      <c r="C2225" s="2">
        <v>45231</v>
      </c>
      <c r="D2225" s="1" t="s">
        <v>43</v>
      </c>
      <c r="E2225" s="1" t="s">
        <v>44</v>
      </c>
      <c r="F2225">
        <v>3720.24</v>
      </c>
      <c r="G2225">
        <v>36</v>
      </c>
      <c r="H2225" s="1" t="s">
        <v>57</v>
      </c>
      <c r="I2225">
        <v>1050.6400000000001</v>
      </c>
      <c r="J2225">
        <v>1167.33</v>
      </c>
      <c r="K2225" s="1" t="s">
        <v>26</v>
      </c>
      <c r="L2225">
        <v>0.22</v>
      </c>
      <c r="M2225" s="1" t="s">
        <v>21</v>
      </c>
      <c r="N2225" s="1" t="s">
        <v>22</v>
      </c>
      <c r="O2225" s="1" t="s">
        <v>45</v>
      </c>
      <c r="P2225">
        <v>37823.040000000001</v>
      </c>
      <c r="Q2225">
        <v>2023</v>
      </c>
      <c r="R2225">
        <v>32778.626400000001</v>
      </c>
      <c r="S2225">
        <v>-5044.4135999999999</v>
      </c>
      <c r="T2225" s="1" t="s">
        <v>166</v>
      </c>
      <c r="U2225">
        <v>-0.15389337974211101</v>
      </c>
    </row>
    <row r="2226" spans="1:21" x14ac:dyDescent="0.3">
      <c r="A2226" s="1" t="s">
        <v>155</v>
      </c>
      <c r="B2226" s="1" t="s">
        <v>104</v>
      </c>
      <c r="C2226" s="2">
        <v>45231</v>
      </c>
      <c r="D2226" s="1" t="s">
        <v>43</v>
      </c>
      <c r="E2226" s="1" t="s">
        <v>30</v>
      </c>
      <c r="F2226">
        <v>7172.8</v>
      </c>
      <c r="G2226">
        <v>14</v>
      </c>
      <c r="H2226" s="1" t="s">
        <v>57</v>
      </c>
      <c r="I2226">
        <v>547.79</v>
      </c>
      <c r="J2226">
        <v>958.76</v>
      </c>
      <c r="K2226" s="1" t="s">
        <v>20</v>
      </c>
      <c r="L2226">
        <v>7.0000000000000007E-2</v>
      </c>
      <c r="M2226" s="1" t="s">
        <v>27</v>
      </c>
      <c r="N2226" s="1" t="s">
        <v>33</v>
      </c>
      <c r="O2226" s="1" t="s">
        <v>54</v>
      </c>
      <c r="P2226">
        <v>7669.0599999999995</v>
      </c>
      <c r="Q2226">
        <v>2023</v>
      </c>
      <c r="R2226">
        <v>12483.055199999999</v>
      </c>
      <c r="S2226">
        <v>4813.9951999999994</v>
      </c>
      <c r="T2226" s="1" t="s">
        <v>166</v>
      </c>
      <c r="U2226">
        <v>0.38564238664906297</v>
      </c>
    </row>
    <row r="2227" spans="1:21" x14ac:dyDescent="0.3">
      <c r="A2227" s="1" t="s">
        <v>155</v>
      </c>
      <c r="B2227" s="1" t="s">
        <v>120</v>
      </c>
      <c r="C2227" s="2">
        <v>45231</v>
      </c>
      <c r="D2227" s="1" t="s">
        <v>59</v>
      </c>
      <c r="E2227" s="1" t="s">
        <v>30</v>
      </c>
      <c r="F2227">
        <v>7895.13</v>
      </c>
      <c r="G2227">
        <v>36</v>
      </c>
      <c r="H2227" s="1" t="s">
        <v>19</v>
      </c>
      <c r="I2227">
        <v>3067.05</v>
      </c>
      <c r="J2227">
        <v>3386.33</v>
      </c>
      <c r="K2227" s="1" t="s">
        <v>26</v>
      </c>
      <c r="L2227">
        <v>0.2</v>
      </c>
      <c r="M2227" s="1" t="s">
        <v>32</v>
      </c>
      <c r="N2227" s="1" t="s">
        <v>22</v>
      </c>
      <c r="O2227" s="1" t="s">
        <v>86</v>
      </c>
      <c r="P2227">
        <v>110413.8</v>
      </c>
      <c r="Q2227">
        <v>2023</v>
      </c>
      <c r="R2227">
        <v>97526.304000000004</v>
      </c>
      <c r="S2227">
        <v>-12887.495999999999</v>
      </c>
      <c r="T2227" s="1" t="s">
        <v>166</v>
      </c>
      <c r="U2227">
        <v>-0.132143795790723</v>
      </c>
    </row>
    <row r="2228" spans="1:21" x14ac:dyDescent="0.3">
      <c r="A2228" s="1" t="s">
        <v>155</v>
      </c>
      <c r="B2228" s="1" t="s">
        <v>117</v>
      </c>
      <c r="C2228" s="2">
        <v>45231</v>
      </c>
      <c r="D2228" s="1" t="s">
        <v>43</v>
      </c>
      <c r="E2228" s="1" t="s">
        <v>30</v>
      </c>
      <c r="F2228">
        <v>8718.2199999999993</v>
      </c>
      <c r="G2228">
        <v>17</v>
      </c>
      <c r="H2228" s="1" t="s">
        <v>57</v>
      </c>
      <c r="I2228">
        <v>2774.24</v>
      </c>
      <c r="J2228">
        <v>3069.94</v>
      </c>
      <c r="K2228" s="1" t="s">
        <v>20</v>
      </c>
      <c r="L2228">
        <v>0.23</v>
      </c>
      <c r="M2228" s="1" t="s">
        <v>32</v>
      </c>
      <c r="N2228" s="1" t="s">
        <v>33</v>
      </c>
      <c r="O2228" s="1" t="s">
        <v>54</v>
      </c>
      <c r="P2228">
        <v>47162.079999999994</v>
      </c>
      <c r="Q2228">
        <v>2023</v>
      </c>
      <c r="R2228">
        <v>40185.514600000002</v>
      </c>
      <c r="S2228">
        <v>-6976.5653999999922</v>
      </c>
      <c r="T2228" s="1" t="s">
        <v>166</v>
      </c>
      <c r="U2228">
        <v>-0.17360896008035701</v>
      </c>
    </row>
    <row r="2229" spans="1:21" x14ac:dyDescent="0.3">
      <c r="A2229" s="1" t="s">
        <v>155</v>
      </c>
      <c r="B2229" s="1" t="s">
        <v>149</v>
      </c>
      <c r="C2229" s="2">
        <v>45231</v>
      </c>
      <c r="D2229" s="1" t="s">
        <v>25</v>
      </c>
      <c r="E2229" s="1" t="s">
        <v>18</v>
      </c>
      <c r="F2229">
        <v>664.09</v>
      </c>
      <c r="G2229">
        <v>46</v>
      </c>
      <c r="H2229" s="1" t="s">
        <v>19</v>
      </c>
      <c r="I2229">
        <v>401.64</v>
      </c>
      <c r="J2229">
        <v>757.26</v>
      </c>
      <c r="K2229" s="1" t="s">
        <v>26</v>
      </c>
      <c r="L2229">
        <v>0.21</v>
      </c>
      <c r="M2229" s="1" t="s">
        <v>27</v>
      </c>
      <c r="N2229" s="1" t="s">
        <v>33</v>
      </c>
      <c r="O2229" s="1" t="s">
        <v>28</v>
      </c>
      <c r="P2229">
        <v>18475.439999999999</v>
      </c>
      <c r="Q2229">
        <v>2023</v>
      </c>
      <c r="R2229">
        <v>27518.828400000002</v>
      </c>
      <c r="S2229">
        <v>9043.3884000000035</v>
      </c>
      <c r="T2229" s="1" t="s">
        <v>166</v>
      </c>
      <c r="U2229">
        <v>0.32862548755891102</v>
      </c>
    </row>
    <row r="2230" spans="1:21" x14ac:dyDescent="0.3">
      <c r="A2230" s="1" t="s">
        <v>155</v>
      </c>
      <c r="B2230" s="1" t="s">
        <v>129</v>
      </c>
      <c r="C2230" s="2">
        <v>45231</v>
      </c>
      <c r="D2230" s="1" t="s">
        <v>43</v>
      </c>
      <c r="E2230" s="1" t="s">
        <v>44</v>
      </c>
      <c r="F2230">
        <v>7946.69</v>
      </c>
      <c r="G2230">
        <v>24</v>
      </c>
      <c r="H2230" s="1" t="s">
        <v>57</v>
      </c>
      <c r="I2230">
        <v>911.11</v>
      </c>
      <c r="J2230">
        <v>1214.56</v>
      </c>
      <c r="K2230" s="1" t="s">
        <v>26</v>
      </c>
      <c r="L2230">
        <v>0.22</v>
      </c>
      <c r="M2230" s="1" t="s">
        <v>32</v>
      </c>
      <c r="N2230" s="1" t="s">
        <v>22</v>
      </c>
      <c r="O2230" s="1" t="s">
        <v>45</v>
      </c>
      <c r="P2230">
        <v>21866.639999999999</v>
      </c>
      <c r="Q2230">
        <v>2023</v>
      </c>
      <c r="R2230">
        <v>22736.563200000001</v>
      </c>
      <c r="S2230">
        <v>869.92320000000109</v>
      </c>
      <c r="T2230" s="1" t="s">
        <v>166</v>
      </c>
      <c r="U2230">
        <v>3.8260980445804602E-2</v>
      </c>
    </row>
    <row r="2231" spans="1:21" x14ac:dyDescent="0.3">
      <c r="A2231" s="1" t="s">
        <v>155</v>
      </c>
      <c r="B2231" s="1" t="s">
        <v>65</v>
      </c>
      <c r="C2231" s="2">
        <v>45232</v>
      </c>
      <c r="D2231" s="1" t="s">
        <v>25</v>
      </c>
      <c r="E2231" s="1" t="s">
        <v>18</v>
      </c>
      <c r="F2231">
        <v>6283.68</v>
      </c>
      <c r="G2231">
        <v>23</v>
      </c>
      <c r="H2231" s="1" t="s">
        <v>31</v>
      </c>
      <c r="I2231">
        <v>530.24</v>
      </c>
      <c r="J2231">
        <v>987.41</v>
      </c>
      <c r="K2231" s="1" t="s">
        <v>20</v>
      </c>
      <c r="L2231">
        <v>0.23</v>
      </c>
      <c r="M2231" s="1" t="s">
        <v>27</v>
      </c>
      <c r="N2231" s="1" t="s">
        <v>22</v>
      </c>
      <c r="O2231" s="1" t="s">
        <v>28</v>
      </c>
      <c r="P2231">
        <v>12195.52</v>
      </c>
      <c r="Q2231">
        <v>2023</v>
      </c>
      <c r="R2231">
        <v>17487.0311</v>
      </c>
      <c r="S2231">
        <v>5291.5110999999997</v>
      </c>
      <c r="T2231" s="1" t="s">
        <v>166</v>
      </c>
      <c r="U2231">
        <v>0.302596310931248</v>
      </c>
    </row>
    <row r="2232" spans="1:21" x14ac:dyDescent="0.3">
      <c r="A2232" s="1" t="s">
        <v>155</v>
      </c>
      <c r="B2232" s="1" t="s">
        <v>96</v>
      </c>
      <c r="C2232" s="2">
        <v>45233</v>
      </c>
      <c r="D2232" s="1" t="s">
        <v>36</v>
      </c>
      <c r="E2232" s="1" t="s">
        <v>40</v>
      </c>
      <c r="F2232">
        <v>4050.45</v>
      </c>
      <c r="G2232">
        <v>42</v>
      </c>
      <c r="H2232" s="1" t="s">
        <v>19</v>
      </c>
      <c r="I2232">
        <v>3600.95</v>
      </c>
      <c r="J2232">
        <v>3702.84</v>
      </c>
      <c r="K2232" s="1" t="s">
        <v>20</v>
      </c>
      <c r="L2232">
        <v>0.01</v>
      </c>
      <c r="M2232" s="1" t="s">
        <v>21</v>
      </c>
      <c r="N2232" s="1" t="s">
        <v>33</v>
      </c>
      <c r="O2232" s="1" t="s">
        <v>41</v>
      </c>
      <c r="P2232">
        <v>151239.9</v>
      </c>
      <c r="Q2232">
        <v>2023</v>
      </c>
      <c r="R2232">
        <v>153964.08720000001</v>
      </c>
      <c r="S2232">
        <v>2724.1872000000149</v>
      </c>
      <c r="T2232" s="1" t="s">
        <v>166</v>
      </c>
      <c r="U2232">
        <v>1.7693653432707901E-2</v>
      </c>
    </row>
    <row r="2233" spans="1:21" x14ac:dyDescent="0.3">
      <c r="A2233" s="1" t="s">
        <v>155</v>
      </c>
      <c r="B2233" s="1" t="s">
        <v>129</v>
      </c>
      <c r="C2233" s="2">
        <v>45233</v>
      </c>
      <c r="D2233" s="1" t="s">
        <v>59</v>
      </c>
      <c r="E2233" s="1" t="s">
        <v>18</v>
      </c>
      <c r="F2233">
        <v>5755.48</v>
      </c>
      <c r="G2233">
        <v>38</v>
      </c>
      <c r="H2233" s="1" t="s">
        <v>19</v>
      </c>
      <c r="I2233">
        <v>1234.69</v>
      </c>
      <c r="J2233">
        <v>1511.26</v>
      </c>
      <c r="K2233" s="1" t="s">
        <v>26</v>
      </c>
      <c r="L2233">
        <v>0.1</v>
      </c>
      <c r="M2233" s="1" t="s">
        <v>32</v>
      </c>
      <c r="N2233" s="1" t="s">
        <v>22</v>
      </c>
      <c r="O2233" s="1" t="s">
        <v>77</v>
      </c>
      <c r="P2233">
        <v>46918.22</v>
      </c>
      <c r="Q2233">
        <v>2023</v>
      </c>
      <c r="R2233">
        <v>51685.091999999997</v>
      </c>
      <c r="S2233">
        <v>4766.8719999999958</v>
      </c>
      <c r="T2233" s="1" t="s">
        <v>166</v>
      </c>
      <c r="U2233">
        <v>9.2229148010416595E-2</v>
      </c>
    </row>
    <row r="2234" spans="1:21" x14ac:dyDescent="0.3">
      <c r="A2234" s="1" t="s">
        <v>155</v>
      </c>
      <c r="B2234" s="1" t="s">
        <v>68</v>
      </c>
      <c r="C2234" s="2">
        <v>45235</v>
      </c>
      <c r="D2234" s="1" t="s">
        <v>59</v>
      </c>
      <c r="E2234" s="1" t="s">
        <v>44</v>
      </c>
      <c r="F2234">
        <v>9519.16</v>
      </c>
      <c r="G2234">
        <v>3</v>
      </c>
      <c r="H2234" s="1" t="s">
        <v>31</v>
      </c>
      <c r="I2234">
        <v>4173.04</v>
      </c>
      <c r="J2234">
        <v>4362.4399999999996</v>
      </c>
      <c r="K2234" s="1" t="s">
        <v>26</v>
      </c>
      <c r="L2234">
        <v>0.23</v>
      </c>
      <c r="M2234" s="1" t="s">
        <v>32</v>
      </c>
      <c r="N2234" s="1" t="s">
        <v>33</v>
      </c>
      <c r="O2234" s="1" t="s">
        <v>60</v>
      </c>
      <c r="P2234">
        <v>12519.119999999999</v>
      </c>
      <c r="Q2234">
        <v>2023</v>
      </c>
      <c r="R2234">
        <v>10077.2364</v>
      </c>
      <c r="S2234">
        <v>-2441.8835999999992</v>
      </c>
      <c r="T2234" s="1" t="s">
        <v>166</v>
      </c>
      <c r="U2234">
        <v>-0.24231679233008799</v>
      </c>
    </row>
    <row r="2235" spans="1:21" x14ac:dyDescent="0.3">
      <c r="A2235" s="1" t="s">
        <v>155</v>
      </c>
      <c r="B2235" s="1" t="s">
        <v>39</v>
      </c>
      <c r="C2235" s="2">
        <v>45235</v>
      </c>
      <c r="D2235" s="1" t="s">
        <v>43</v>
      </c>
      <c r="E2235" s="1" t="s">
        <v>44</v>
      </c>
      <c r="F2235">
        <v>8127.7</v>
      </c>
      <c r="G2235">
        <v>37</v>
      </c>
      <c r="H2235" s="1" t="s">
        <v>57</v>
      </c>
      <c r="I2235">
        <v>1675.51</v>
      </c>
      <c r="J2235">
        <v>1906.64</v>
      </c>
      <c r="K2235" s="1" t="s">
        <v>26</v>
      </c>
      <c r="L2235">
        <v>0.13</v>
      </c>
      <c r="M2235" s="1" t="s">
        <v>32</v>
      </c>
      <c r="N2235" s="1" t="s">
        <v>22</v>
      </c>
      <c r="O2235" s="1" t="s">
        <v>45</v>
      </c>
      <c r="P2235">
        <v>61993.87</v>
      </c>
      <c r="Q2235">
        <v>2023</v>
      </c>
      <c r="R2235">
        <v>61374.741600000008</v>
      </c>
      <c r="S2235">
        <v>-619.12839999999414</v>
      </c>
      <c r="T2235" s="1" t="s">
        <v>166</v>
      </c>
      <c r="U2235">
        <v>-1.00876742428516E-2</v>
      </c>
    </row>
    <row r="2236" spans="1:21" x14ac:dyDescent="0.3">
      <c r="A2236" s="1" t="s">
        <v>155</v>
      </c>
      <c r="B2236" s="1" t="s">
        <v>46</v>
      </c>
      <c r="C2236" s="2">
        <v>45235</v>
      </c>
      <c r="D2236" s="1" t="s">
        <v>17</v>
      </c>
      <c r="E2236" s="1" t="s">
        <v>44</v>
      </c>
      <c r="F2236">
        <v>2106.06</v>
      </c>
      <c r="G2236">
        <v>30</v>
      </c>
      <c r="H2236" s="1" t="s">
        <v>37</v>
      </c>
      <c r="I2236">
        <v>698.74</v>
      </c>
      <c r="J2236">
        <v>882.28</v>
      </c>
      <c r="K2236" s="1" t="s">
        <v>20</v>
      </c>
      <c r="L2236">
        <v>0.15</v>
      </c>
      <c r="M2236" s="1" t="s">
        <v>27</v>
      </c>
      <c r="N2236" s="1" t="s">
        <v>22</v>
      </c>
      <c r="O2236" s="1" t="s">
        <v>49</v>
      </c>
      <c r="P2236">
        <v>20962.2</v>
      </c>
      <c r="Q2236">
        <v>2023</v>
      </c>
      <c r="R2236">
        <v>22498.139999999996</v>
      </c>
      <c r="S2236">
        <v>1535.9399999999951</v>
      </c>
      <c r="T2236" s="1" t="s">
        <v>166</v>
      </c>
      <c r="U2236">
        <v>6.8269643623872694E-2</v>
      </c>
    </row>
    <row r="2237" spans="1:21" x14ac:dyDescent="0.3">
      <c r="A2237" s="1" t="s">
        <v>155</v>
      </c>
      <c r="B2237" s="1" t="s">
        <v>126</v>
      </c>
      <c r="C2237" s="2">
        <v>45235</v>
      </c>
      <c r="D2237" s="1" t="s">
        <v>36</v>
      </c>
      <c r="E2237" s="1" t="s">
        <v>40</v>
      </c>
      <c r="F2237">
        <v>5969.12</v>
      </c>
      <c r="G2237">
        <v>39</v>
      </c>
      <c r="H2237" s="1" t="s">
        <v>19</v>
      </c>
      <c r="I2237">
        <v>591.98</v>
      </c>
      <c r="J2237">
        <v>934.04</v>
      </c>
      <c r="K2237" s="1" t="s">
        <v>26</v>
      </c>
      <c r="L2237">
        <v>0.26</v>
      </c>
      <c r="M2237" s="1" t="s">
        <v>32</v>
      </c>
      <c r="N2237" s="1" t="s">
        <v>33</v>
      </c>
      <c r="O2237" s="1" t="s">
        <v>41</v>
      </c>
      <c r="P2237">
        <v>23087.22</v>
      </c>
      <c r="Q2237">
        <v>2023</v>
      </c>
      <c r="R2237">
        <v>26956.394399999997</v>
      </c>
      <c r="S2237">
        <v>3869.1743999999962</v>
      </c>
      <c r="T2237" s="1" t="s">
        <v>166</v>
      </c>
      <c r="U2237">
        <v>0.14353456707103199</v>
      </c>
    </row>
    <row r="2238" spans="1:21" x14ac:dyDescent="0.3">
      <c r="A2238" s="1" t="s">
        <v>155</v>
      </c>
      <c r="B2238" s="1" t="s">
        <v>53</v>
      </c>
      <c r="C2238" s="2">
        <v>45235</v>
      </c>
      <c r="D2238" s="1" t="s">
        <v>59</v>
      </c>
      <c r="E2238" s="1" t="s">
        <v>30</v>
      </c>
      <c r="F2238">
        <v>2928.5</v>
      </c>
      <c r="G2238">
        <v>10</v>
      </c>
      <c r="H2238" s="1" t="s">
        <v>31</v>
      </c>
      <c r="I2238">
        <v>2273.91</v>
      </c>
      <c r="J2238">
        <v>2578.8000000000002</v>
      </c>
      <c r="K2238" s="1" t="s">
        <v>26</v>
      </c>
      <c r="L2238">
        <v>0.14000000000000001</v>
      </c>
      <c r="M2238" s="1" t="s">
        <v>21</v>
      </c>
      <c r="N2238" s="1" t="s">
        <v>22</v>
      </c>
      <c r="O2238" s="1" t="s">
        <v>86</v>
      </c>
      <c r="P2238">
        <v>22739.1</v>
      </c>
      <c r="Q2238">
        <v>2023</v>
      </c>
      <c r="R2238">
        <v>22177.68</v>
      </c>
      <c r="S2238">
        <v>-561.41999999999825</v>
      </c>
      <c r="T2238" s="1" t="s">
        <v>166</v>
      </c>
      <c r="U2238">
        <v>-2.5314640665750399E-2</v>
      </c>
    </row>
    <row r="2239" spans="1:21" x14ac:dyDescent="0.3">
      <c r="A2239" s="1" t="s">
        <v>155</v>
      </c>
      <c r="B2239" s="1" t="s">
        <v>63</v>
      </c>
      <c r="C2239" s="2">
        <v>45236</v>
      </c>
      <c r="D2239" s="1" t="s">
        <v>36</v>
      </c>
      <c r="E2239" s="1" t="s">
        <v>44</v>
      </c>
      <c r="F2239">
        <v>2605.71</v>
      </c>
      <c r="G2239">
        <v>25</v>
      </c>
      <c r="H2239" s="1" t="s">
        <v>57</v>
      </c>
      <c r="I2239">
        <v>2361.0500000000002</v>
      </c>
      <c r="J2239">
        <v>2616.19</v>
      </c>
      <c r="K2239" s="1" t="s">
        <v>26</v>
      </c>
      <c r="L2239">
        <v>0.3</v>
      </c>
      <c r="M2239" s="1" t="s">
        <v>32</v>
      </c>
      <c r="N2239" s="1" t="s">
        <v>33</v>
      </c>
      <c r="O2239" s="1" t="s">
        <v>71</v>
      </c>
      <c r="P2239">
        <v>59026.250000000007</v>
      </c>
      <c r="Q2239">
        <v>2023</v>
      </c>
      <c r="R2239">
        <v>45783.324999999997</v>
      </c>
      <c r="S2239">
        <v>-13242.92500000001</v>
      </c>
      <c r="T2239" s="1" t="s">
        <v>166</v>
      </c>
      <c r="U2239">
        <v>-0.28925214584130798</v>
      </c>
    </row>
    <row r="2240" spans="1:21" x14ac:dyDescent="0.3">
      <c r="A2240" s="1" t="s">
        <v>155</v>
      </c>
      <c r="B2240" s="1" t="s">
        <v>113</v>
      </c>
      <c r="C2240" s="2">
        <v>45236</v>
      </c>
      <c r="D2240" s="1" t="s">
        <v>43</v>
      </c>
      <c r="E2240" s="1" t="s">
        <v>30</v>
      </c>
      <c r="F2240">
        <v>189.64</v>
      </c>
      <c r="G2240">
        <v>22</v>
      </c>
      <c r="H2240" s="1" t="s">
        <v>57</v>
      </c>
      <c r="I2240">
        <v>834.32</v>
      </c>
      <c r="J2240">
        <v>1098.97</v>
      </c>
      <c r="K2240" s="1" t="s">
        <v>20</v>
      </c>
      <c r="L2240">
        <v>0.17</v>
      </c>
      <c r="M2240" s="1" t="s">
        <v>21</v>
      </c>
      <c r="N2240" s="1" t="s">
        <v>22</v>
      </c>
      <c r="O2240" s="1" t="s">
        <v>54</v>
      </c>
      <c r="P2240">
        <v>18355.04</v>
      </c>
      <c r="Q2240">
        <v>2023</v>
      </c>
      <c r="R2240">
        <v>20067.192199999998</v>
      </c>
      <c r="S2240">
        <v>1712.1521999999968</v>
      </c>
      <c r="T2240" s="1" t="s">
        <v>166</v>
      </c>
      <c r="U2240">
        <v>8.5320964833336094E-2</v>
      </c>
    </row>
    <row r="2241" spans="1:21" x14ac:dyDescent="0.3">
      <c r="A2241" s="1" t="s">
        <v>155</v>
      </c>
      <c r="B2241" s="1" t="s">
        <v>151</v>
      </c>
      <c r="C2241" s="2">
        <v>45236</v>
      </c>
      <c r="D2241" s="1" t="s">
        <v>36</v>
      </c>
      <c r="E2241" s="1" t="s">
        <v>18</v>
      </c>
      <c r="F2241">
        <v>7262.09</v>
      </c>
      <c r="G2241">
        <v>47</v>
      </c>
      <c r="H2241" s="1" t="s">
        <v>57</v>
      </c>
      <c r="I2241">
        <v>3942.34</v>
      </c>
      <c r="J2241">
        <v>4142.09</v>
      </c>
      <c r="K2241" s="1" t="s">
        <v>20</v>
      </c>
      <c r="L2241">
        <v>0.03</v>
      </c>
      <c r="M2241" s="1" t="s">
        <v>27</v>
      </c>
      <c r="N2241" s="1" t="s">
        <v>33</v>
      </c>
      <c r="O2241" s="1" t="s">
        <v>115</v>
      </c>
      <c r="P2241">
        <v>185289.98</v>
      </c>
      <c r="Q2241">
        <v>2023</v>
      </c>
      <c r="R2241">
        <v>188837.88310000001</v>
      </c>
      <c r="S2241">
        <v>3547.9030999999959</v>
      </c>
      <c r="T2241" s="1" t="s">
        <v>166</v>
      </c>
      <c r="U2241">
        <v>1.87880897718028E-2</v>
      </c>
    </row>
    <row r="2242" spans="1:21" x14ac:dyDescent="0.3">
      <c r="A2242" s="1" t="s">
        <v>155</v>
      </c>
      <c r="B2242" s="1" t="s">
        <v>85</v>
      </c>
      <c r="C2242" s="2">
        <v>45236</v>
      </c>
      <c r="D2242" s="1" t="s">
        <v>36</v>
      </c>
      <c r="E2242" s="1" t="s">
        <v>30</v>
      </c>
      <c r="F2242">
        <v>6772.54</v>
      </c>
      <c r="G2242">
        <v>8</v>
      </c>
      <c r="H2242" s="1" t="s">
        <v>57</v>
      </c>
      <c r="I2242">
        <v>1786.35</v>
      </c>
      <c r="J2242">
        <v>1935.29</v>
      </c>
      <c r="K2242" s="1" t="s">
        <v>26</v>
      </c>
      <c r="L2242">
        <v>0.04</v>
      </c>
      <c r="M2242" s="1" t="s">
        <v>21</v>
      </c>
      <c r="N2242" s="1" t="s">
        <v>22</v>
      </c>
      <c r="O2242" s="1" t="s">
        <v>38</v>
      </c>
      <c r="P2242">
        <v>14290.8</v>
      </c>
      <c r="Q2242">
        <v>2023</v>
      </c>
      <c r="R2242">
        <v>14863.027199999999</v>
      </c>
      <c r="S2242">
        <v>572.22719999999936</v>
      </c>
      <c r="T2242" s="1" t="s">
        <v>166</v>
      </c>
      <c r="U2242">
        <v>3.8500043921066103E-2</v>
      </c>
    </row>
    <row r="2243" spans="1:21" x14ac:dyDescent="0.3">
      <c r="A2243" s="1" t="s">
        <v>155</v>
      </c>
      <c r="B2243" s="1" t="s">
        <v>24</v>
      </c>
      <c r="C2243" s="2">
        <v>45237</v>
      </c>
      <c r="D2243" s="1" t="s">
        <v>43</v>
      </c>
      <c r="E2243" s="1" t="s">
        <v>40</v>
      </c>
      <c r="F2243">
        <v>2945.36</v>
      </c>
      <c r="G2243">
        <v>47</v>
      </c>
      <c r="H2243" s="1" t="s">
        <v>31</v>
      </c>
      <c r="I2243">
        <v>4157.62</v>
      </c>
      <c r="J2243">
        <v>4314.5600000000004</v>
      </c>
      <c r="K2243" s="1" t="s">
        <v>26</v>
      </c>
      <c r="L2243">
        <v>0.17</v>
      </c>
      <c r="M2243" s="1" t="s">
        <v>32</v>
      </c>
      <c r="N2243" s="1" t="s">
        <v>33</v>
      </c>
      <c r="O2243" s="1" t="s">
        <v>99</v>
      </c>
      <c r="P2243">
        <v>195408.13999999998</v>
      </c>
      <c r="Q2243">
        <v>2023</v>
      </c>
      <c r="R2243">
        <v>168310.98559999999</v>
      </c>
      <c r="S2243">
        <v>-27097.154399999999</v>
      </c>
      <c r="T2243" s="1" t="s">
        <v>166</v>
      </c>
      <c r="U2243">
        <v>-0.16099456790300001</v>
      </c>
    </row>
    <row r="2244" spans="1:21" x14ac:dyDescent="0.3">
      <c r="A2244" s="1" t="s">
        <v>155</v>
      </c>
      <c r="B2244" s="1" t="s">
        <v>141</v>
      </c>
      <c r="C2244" s="2">
        <v>45237</v>
      </c>
      <c r="D2244" s="1" t="s">
        <v>59</v>
      </c>
      <c r="E2244" s="1" t="s">
        <v>40</v>
      </c>
      <c r="F2244">
        <v>3166.9</v>
      </c>
      <c r="G2244">
        <v>31</v>
      </c>
      <c r="H2244" s="1" t="s">
        <v>57</v>
      </c>
      <c r="I2244">
        <v>2407.8000000000002</v>
      </c>
      <c r="J2244">
        <v>2502.7600000000002</v>
      </c>
      <c r="K2244" s="1" t="s">
        <v>20</v>
      </c>
      <c r="L2244">
        <v>0.27</v>
      </c>
      <c r="M2244" s="1" t="s">
        <v>21</v>
      </c>
      <c r="N2244" s="1" t="s">
        <v>33</v>
      </c>
      <c r="O2244" s="1" t="s">
        <v>90</v>
      </c>
      <c r="P2244">
        <v>74641.8</v>
      </c>
      <c r="Q2244">
        <v>2023</v>
      </c>
      <c r="R2244">
        <v>56637.458800000008</v>
      </c>
      <c r="S2244">
        <v>-18004.341199999995</v>
      </c>
      <c r="T2244" s="1" t="s">
        <v>166</v>
      </c>
      <c r="U2244">
        <v>-0.31788751793362602</v>
      </c>
    </row>
    <row r="2245" spans="1:21" x14ac:dyDescent="0.3">
      <c r="A2245" s="1" t="s">
        <v>155</v>
      </c>
      <c r="B2245" s="1" t="s">
        <v>74</v>
      </c>
      <c r="C2245" s="2">
        <v>45237</v>
      </c>
      <c r="D2245" s="1" t="s">
        <v>43</v>
      </c>
      <c r="E2245" s="1" t="s">
        <v>44</v>
      </c>
      <c r="F2245">
        <v>7084.06</v>
      </c>
      <c r="G2245">
        <v>26</v>
      </c>
      <c r="H2245" s="1" t="s">
        <v>19</v>
      </c>
      <c r="I2245">
        <v>1291.82</v>
      </c>
      <c r="J2245">
        <v>1308.44</v>
      </c>
      <c r="K2245" s="1" t="s">
        <v>20</v>
      </c>
      <c r="L2245">
        <v>7.0000000000000007E-2</v>
      </c>
      <c r="M2245" s="1" t="s">
        <v>27</v>
      </c>
      <c r="N2245" s="1" t="s">
        <v>22</v>
      </c>
      <c r="O2245" s="1" t="s">
        <v>45</v>
      </c>
      <c r="P2245">
        <v>33587.32</v>
      </c>
      <c r="Q2245">
        <v>2023</v>
      </c>
      <c r="R2245">
        <v>31638.0792</v>
      </c>
      <c r="S2245">
        <v>-1949.2407999999996</v>
      </c>
      <c r="T2245" s="1" t="s">
        <v>166</v>
      </c>
      <c r="U2245">
        <v>-6.1610592339626E-2</v>
      </c>
    </row>
    <row r="2246" spans="1:21" x14ac:dyDescent="0.3">
      <c r="A2246" s="1" t="s">
        <v>155</v>
      </c>
      <c r="B2246" s="1" t="s">
        <v>138</v>
      </c>
      <c r="C2246" s="2">
        <v>45237</v>
      </c>
      <c r="D2246" s="1" t="s">
        <v>25</v>
      </c>
      <c r="E2246" s="1" t="s">
        <v>40</v>
      </c>
      <c r="F2246">
        <v>6970.1</v>
      </c>
      <c r="G2246">
        <v>32</v>
      </c>
      <c r="H2246" s="1" t="s">
        <v>19</v>
      </c>
      <c r="I2246">
        <v>4266.6400000000003</v>
      </c>
      <c r="J2246">
        <v>4523.3599999999997</v>
      </c>
      <c r="K2246" s="1" t="s">
        <v>26</v>
      </c>
      <c r="L2246">
        <v>0.3</v>
      </c>
      <c r="M2246" s="1" t="s">
        <v>32</v>
      </c>
      <c r="N2246" s="1" t="s">
        <v>33</v>
      </c>
      <c r="O2246" s="1" t="s">
        <v>83</v>
      </c>
      <c r="P2246">
        <v>136532.48000000001</v>
      </c>
      <c r="Q2246">
        <v>2023</v>
      </c>
      <c r="R2246">
        <v>101323.26399999998</v>
      </c>
      <c r="S2246">
        <v>-35209.216000000029</v>
      </c>
      <c r="T2246" s="1" t="s">
        <v>166</v>
      </c>
      <c r="U2246">
        <v>-0.34749389834105698</v>
      </c>
    </row>
    <row r="2247" spans="1:21" x14ac:dyDescent="0.3">
      <c r="A2247" s="1" t="s">
        <v>155</v>
      </c>
      <c r="B2247" s="1" t="s">
        <v>61</v>
      </c>
      <c r="C2247" s="2">
        <v>45238</v>
      </c>
      <c r="D2247" s="1" t="s">
        <v>25</v>
      </c>
      <c r="E2247" s="1" t="s">
        <v>44</v>
      </c>
      <c r="F2247">
        <v>2072.7800000000002</v>
      </c>
      <c r="G2247">
        <v>18</v>
      </c>
      <c r="H2247" s="1" t="s">
        <v>31</v>
      </c>
      <c r="I2247">
        <v>3271.62</v>
      </c>
      <c r="J2247">
        <v>3722.38</v>
      </c>
      <c r="K2247" s="1" t="s">
        <v>20</v>
      </c>
      <c r="L2247">
        <v>0.19</v>
      </c>
      <c r="M2247" s="1" t="s">
        <v>32</v>
      </c>
      <c r="N2247" s="1" t="s">
        <v>33</v>
      </c>
      <c r="O2247" s="1" t="s">
        <v>47</v>
      </c>
      <c r="P2247">
        <v>58889.159999999996</v>
      </c>
      <c r="Q2247">
        <v>2023</v>
      </c>
      <c r="R2247">
        <v>54272.3004</v>
      </c>
      <c r="S2247">
        <v>-4616.8595999999961</v>
      </c>
      <c r="T2247" s="1" t="s">
        <v>166</v>
      </c>
      <c r="U2247">
        <v>-8.5068433915139394E-2</v>
      </c>
    </row>
    <row r="2248" spans="1:21" x14ac:dyDescent="0.3">
      <c r="A2248" s="1" t="s">
        <v>155</v>
      </c>
      <c r="B2248" s="1" t="s">
        <v>147</v>
      </c>
      <c r="C2248" s="2">
        <v>45238</v>
      </c>
      <c r="D2248" s="1" t="s">
        <v>36</v>
      </c>
      <c r="E2248" s="1" t="s">
        <v>30</v>
      </c>
      <c r="F2248">
        <v>8466.7000000000007</v>
      </c>
      <c r="G2248">
        <v>17</v>
      </c>
      <c r="H2248" s="1" t="s">
        <v>19</v>
      </c>
      <c r="I2248">
        <v>1780.14</v>
      </c>
      <c r="J2248">
        <v>2185.42</v>
      </c>
      <c r="K2248" s="1" t="s">
        <v>20</v>
      </c>
      <c r="L2248">
        <v>0.15</v>
      </c>
      <c r="M2248" s="1" t="s">
        <v>27</v>
      </c>
      <c r="N2248" s="1" t="s">
        <v>33</v>
      </c>
      <c r="O2248" s="1" t="s">
        <v>38</v>
      </c>
      <c r="P2248">
        <v>30262.38</v>
      </c>
      <c r="Q2248">
        <v>2023</v>
      </c>
      <c r="R2248">
        <v>31579.319</v>
      </c>
      <c r="S2248">
        <v>1316.9389999999985</v>
      </c>
      <c r="T2248" s="1" t="s">
        <v>166</v>
      </c>
      <c r="U2248">
        <v>4.1702577563499703E-2</v>
      </c>
    </row>
    <row r="2249" spans="1:21" x14ac:dyDescent="0.3">
      <c r="A2249" s="1" t="s">
        <v>155</v>
      </c>
      <c r="B2249" s="1" t="s">
        <v>140</v>
      </c>
      <c r="C2249" s="2">
        <v>45239</v>
      </c>
      <c r="D2249" s="1" t="s">
        <v>43</v>
      </c>
      <c r="E2249" s="1" t="s">
        <v>44</v>
      </c>
      <c r="F2249">
        <v>804.47</v>
      </c>
      <c r="G2249">
        <v>25</v>
      </c>
      <c r="H2249" s="1" t="s">
        <v>37</v>
      </c>
      <c r="I2249">
        <v>2934.3</v>
      </c>
      <c r="J2249">
        <v>3337.4</v>
      </c>
      <c r="K2249" s="1" t="s">
        <v>20</v>
      </c>
      <c r="L2249">
        <v>0.25</v>
      </c>
      <c r="M2249" s="1" t="s">
        <v>27</v>
      </c>
      <c r="N2249" s="1" t="s">
        <v>33</v>
      </c>
      <c r="O2249" s="1" t="s">
        <v>45</v>
      </c>
      <c r="P2249">
        <v>73357.5</v>
      </c>
      <c r="Q2249">
        <v>2023</v>
      </c>
      <c r="R2249">
        <v>62576.25</v>
      </c>
      <c r="S2249">
        <v>-10781.25</v>
      </c>
      <c r="T2249" s="1" t="s">
        <v>166</v>
      </c>
      <c r="U2249">
        <v>-0.172289806436148</v>
      </c>
    </row>
    <row r="2250" spans="1:21" x14ac:dyDescent="0.3">
      <c r="A2250" s="1" t="s">
        <v>155</v>
      </c>
      <c r="B2250" s="1" t="s">
        <v>123</v>
      </c>
      <c r="C2250" s="2">
        <v>45239</v>
      </c>
      <c r="D2250" s="1" t="s">
        <v>36</v>
      </c>
      <c r="E2250" s="1" t="s">
        <v>44</v>
      </c>
      <c r="F2250">
        <v>6966.82</v>
      </c>
      <c r="G2250">
        <v>1</v>
      </c>
      <c r="H2250" s="1" t="s">
        <v>57</v>
      </c>
      <c r="I2250">
        <v>1281.6500000000001</v>
      </c>
      <c r="J2250">
        <v>1709.71</v>
      </c>
      <c r="K2250" s="1" t="s">
        <v>20</v>
      </c>
      <c r="L2250">
        <v>0.14000000000000001</v>
      </c>
      <c r="M2250" s="1" t="s">
        <v>27</v>
      </c>
      <c r="N2250" s="1" t="s">
        <v>22</v>
      </c>
      <c r="O2250" s="1" t="s">
        <v>71</v>
      </c>
      <c r="P2250">
        <v>1281.6500000000001</v>
      </c>
      <c r="Q2250">
        <v>2023</v>
      </c>
      <c r="R2250">
        <v>1470.3506</v>
      </c>
      <c r="S2250">
        <v>188.70059999999989</v>
      </c>
      <c r="T2250" s="1" t="s">
        <v>166</v>
      </c>
      <c r="U2250">
        <v>0.12833714625613801</v>
      </c>
    </row>
    <row r="2251" spans="1:21" x14ac:dyDescent="0.3">
      <c r="A2251" s="1" t="s">
        <v>155</v>
      </c>
      <c r="B2251" s="1" t="s">
        <v>95</v>
      </c>
      <c r="C2251" s="2">
        <v>45239</v>
      </c>
      <c r="D2251" s="1" t="s">
        <v>36</v>
      </c>
      <c r="E2251" s="1" t="s">
        <v>44</v>
      </c>
      <c r="F2251">
        <v>7370.99</v>
      </c>
      <c r="G2251">
        <v>6</v>
      </c>
      <c r="H2251" s="1" t="s">
        <v>19</v>
      </c>
      <c r="I2251">
        <v>1621.07</v>
      </c>
      <c r="J2251">
        <v>1687.5</v>
      </c>
      <c r="K2251" s="1" t="s">
        <v>20</v>
      </c>
      <c r="L2251">
        <v>0.12</v>
      </c>
      <c r="M2251" s="1" t="s">
        <v>27</v>
      </c>
      <c r="N2251" s="1" t="s">
        <v>22</v>
      </c>
      <c r="O2251" s="1" t="s">
        <v>71</v>
      </c>
      <c r="P2251">
        <v>9726.42</v>
      </c>
      <c r="Q2251">
        <v>2023</v>
      </c>
      <c r="R2251">
        <v>8910</v>
      </c>
      <c r="S2251">
        <v>-816.42000000000007</v>
      </c>
      <c r="T2251" s="1" t="s">
        <v>166</v>
      </c>
      <c r="U2251">
        <v>-9.1629629629629603E-2</v>
      </c>
    </row>
    <row r="2252" spans="1:21" x14ac:dyDescent="0.3">
      <c r="A2252" s="1" t="s">
        <v>155</v>
      </c>
      <c r="B2252" s="1" t="s">
        <v>130</v>
      </c>
      <c r="C2252" s="2">
        <v>45239</v>
      </c>
      <c r="D2252" s="1" t="s">
        <v>36</v>
      </c>
      <c r="E2252" s="1" t="s">
        <v>18</v>
      </c>
      <c r="F2252">
        <v>6016.92</v>
      </c>
      <c r="G2252">
        <v>9</v>
      </c>
      <c r="H2252" s="1" t="s">
        <v>37</v>
      </c>
      <c r="I2252">
        <v>132.47</v>
      </c>
      <c r="J2252">
        <v>316.39</v>
      </c>
      <c r="K2252" s="1" t="s">
        <v>26</v>
      </c>
      <c r="L2252">
        <v>0.14000000000000001</v>
      </c>
      <c r="M2252" s="1" t="s">
        <v>27</v>
      </c>
      <c r="N2252" s="1" t="s">
        <v>22</v>
      </c>
      <c r="O2252" s="1" t="s">
        <v>115</v>
      </c>
      <c r="P2252">
        <v>1192.23</v>
      </c>
      <c r="Q2252">
        <v>2023</v>
      </c>
      <c r="R2252">
        <v>2448.8585999999996</v>
      </c>
      <c r="S2252">
        <v>1256.6285999999996</v>
      </c>
      <c r="T2252" s="1" t="s">
        <v>166</v>
      </c>
      <c r="U2252">
        <v>0.513148697111381</v>
      </c>
    </row>
    <row r="2253" spans="1:21" x14ac:dyDescent="0.3">
      <c r="A2253" s="1" t="s">
        <v>155</v>
      </c>
      <c r="B2253" s="1" t="s">
        <v>105</v>
      </c>
      <c r="C2253" s="2">
        <v>45239</v>
      </c>
      <c r="D2253" s="1" t="s">
        <v>25</v>
      </c>
      <c r="E2253" s="1" t="s">
        <v>30</v>
      </c>
      <c r="F2253">
        <v>3402.92</v>
      </c>
      <c r="G2253">
        <v>24</v>
      </c>
      <c r="H2253" s="1" t="s">
        <v>31</v>
      </c>
      <c r="I2253">
        <v>88.44</v>
      </c>
      <c r="J2253">
        <v>338.94</v>
      </c>
      <c r="K2253" s="1" t="s">
        <v>26</v>
      </c>
      <c r="L2253">
        <v>0.28999999999999998</v>
      </c>
      <c r="M2253" s="1" t="s">
        <v>21</v>
      </c>
      <c r="N2253" s="1" t="s">
        <v>22</v>
      </c>
      <c r="O2253" s="1" t="s">
        <v>92</v>
      </c>
      <c r="P2253">
        <v>2122.56</v>
      </c>
      <c r="Q2253">
        <v>2023</v>
      </c>
      <c r="R2253">
        <v>5775.5375999999997</v>
      </c>
      <c r="S2253">
        <v>3652.9775999999997</v>
      </c>
      <c r="T2253" s="1" t="s">
        <v>166</v>
      </c>
      <c r="U2253">
        <v>0.632491354571044</v>
      </c>
    </row>
    <row r="2254" spans="1:21" x14ac:dyDescent="0.3">
      <c r="A2254" s="1" t="s">
        <v>155</v>
      </c>
      <c r="B2254" s="1" t="s">
        <v>152</v>
      </c>
      <c r="C2254" s="2">
        <v>45240</v>
      </c>
      <c r="D2254" s="1" t="s">
        <v>43</v>
      </c>
      <c r="E2254" s="1" t="s">
        <v>44</v>
      </c>
      <c r="F2254">
        <v>7632.43</v>
      </c>
      <c r="G2254">
        <v>33</v>
      </c>
      <c r="H2254" s="1" t="s">
        <v>31</v>
      </c>
      <c r="I2254">
        <v>1362.31</v>
      </c>
      <c r="J2254">
        <v>1486.29</v>
      </c>
      <c r="K2254" s="1" t="s">
        <v>20</v>
      </c>
      <c r="L2254">
        <v>0.18</v>
      </c>
      <c r="M2254" s="1" t="s">
        <v>27</v>
      </c>
      <c r="N2254" s="1" t="s">
        <v>33</v>
      </c>
      <c r="O2254" s="1" t="s">
        <v>45</v>
      </c>
      <c r="P2254">
        <v>44956.229999999996</v>
      </c>
      <c r="Q2254">
        <v>2023</v>
      </c>
      <c r="R2254">
        <v>40219.007400000002</v>
      </c>
      <c r="S2254">
        <v>-4737.2225999999937</v>
      </c>
      <c r="T2254" s="1" t="s">
        <v>166</v>
      </c>
      <c r="U2254">
        <v>-0.11778566668455399</v>
      </c>
    </row>
    <row r="2255" spans="1:21" x14ac:dyDescent="0.3">
      <c r="A2255" s="1" t="s">
        <v>155</v>
      </c>
      <c r="B2255" s="1" t="s">
        <v>55</v>
      </c>
      <c r="C2255" s="2">
        <v>45240</v>
      </c>
      <c r="D2255" s="1" t="s">
        <v>59</v>
      </c>
      <c r="E2255" s="1" t="s">
        <v>18</v>
      </c>
      <c r="F2255">
        <v>3349.51</v>
      </c>
      <c r="G2255">
        <v>16</v>
      </c>
      <c r="H2255" s="1" t="s">
        <v>19</v>
      </c>
      <c r="I2255">
        <v>2183.37</v>
      </c>
      <c r="J2255">
        <v>2263.36</v>
      </c>
      <c r="K2255" s="1" t="s">
        <v>20</v>
      </c>
      <c r="L2255">
        <v>0</v>
      </c>
      <c r="M2255" s="1" t="s">
        <v>32</v>
      </c>
      <c r="N2255" s="1" t="s">
        <v>33</v>
      </c>
      <c r="O2255" s="1" t="s">
        <v>77</v>
      </c>
      <c r="P2255">
        <v>34933.919999999998</v>
      </c>
      <c r="Q2255">
        <v>2023</v>
      </c>
      <c r="R2255">
        <v>36213.760000000002</v>
      </c>
      <c r="S2255">
        <v>1279.8400000000038</v>
      </c>
      <c r="T2255" s="1" t="s">
        <v>166</v>
      </c>
      <c r="U2255">
        <v>3.5341262547716801E-2</v>
      </c>
    </row>
    <row r="2256" spans="1:21" x14ac:dyDescent="0.3">
      <c r="A2256" s="1" t="s">
        <v>155</v>
      </c>
      <c r="B2256" s="1" t="s">
        <v>97</v>
      </c>
      <c r="C2256" s="2">
        <v>45241</v>
      </c>
      <c r="D2256" s="1" t="s">
        <v>17</v>
      </c>
      <c r="E2256" s="1" t="s">
        <v>40</v>
      </c>
      <c r="F2256">
        <v>6607.8</v>
      </c>
      <c r="G2256">
        <v>21</v>
      </c>
      <c r="H2256" s="1" t="s">
        <v>57</v>
      </c>
      <c r="I2256">
        <v>622.01</v>
      </c>
      <c r="J2256">
        <v>641.09</v>
      </c>
      <c r="K2256" s="1" t="s">
        <v>20</v>
      </c>
      <c r="L2256">
        <v>0</v>
      </c>
      <c r="M2256" s="1" t="s">
        <v>32</v>
      </c>
      <c r="N2256" s="1" t="s">
        <v>33</v>
      </c>
      <c r="O2256" s="1" t="s">
        <v>67</v>
      </c>
      <c r="P2256">
        <v>13062.21</v>
      </c>
      <c r="Q2256">
        <v>2023</v>
      </c>
      <c r="R2256">
        <v>13462.890000000001</v>
      </c>
      <c r="S2256">
        <v>400.68000000000211</v>
      </c>
      <c r="T2256" s="1" t="s">
        <v>166</v>
      </c>
      <c r="U2256">
        <v>2.9761811914083999E-2</v>
      </c>
    </row>
    <row r="2257" spans="1:21" x14ac:dyDescent="0.3">
      <c r="A2257" s="1" t="s">
        <v>155</v>
      </c>
      <c r="B2257" s="1" t="s">
        <v>103</v>
      </c>
      <c r="C2257" s="2">
        <v>45241</v>
      </c>
      <c r="D2257" s="1" t="s">
        <v>59</v>
      </c>
      <c r="E2257" s="1" t="s">
        <v>44</v>
      </c>
      <c r="F2257">
        <v>3602.51</v>
      </c>
      <c r="G2257">
        <v>32</v>
      </c>
      <c r="H2257" s="1" t="s">
        <v>37</v>
      </c>
      <c r="I2257">
        <v>3414.54</v>
      </c>
      <c r="J2257">
        <v>3753.83</v>
      </c>
      <c r="K2257" s="1" t="s">
        <v>26</v>
      </c>
      <c r="L2257">
        <v>0.22</v>
      </c>
      <c r="M2257" s="1" t="s">
        <v>21</v>
      </c>
      <c r="N2257" s="1" t="s">
        <v>33</v>
      </c>
      <c r="O2257" s="1" t="s">
        <v>60</v>
      </c>
      <c r="P2257">
        <v>109265.28</v>
      </c>
      <c r="Q2257">
        <v>2023</v>
      </c>
      <c r="R2257">
        <v>93695.596799999999</v>
      </c>
      <c r="S2257">
        <v>-15569.683199999999</v>
      </c>
      <c r="T2257" s="1" t="s">
        <v>166</v>
      </c>
      <c r="U2257">
        <v>-0.16617305115452299</v>
      </c>
    </row>
    <row r="2258" spans="1:21" x14ac:dyDescent="0.3">
      <c r="A2258" s="1" t="s">
        <v>155</v>
      </c>
      <c r="B2258" s="1" t="s">
        <v>134</v>
      </c>
      <c r="C2258" s="2">
        <v>45242</v>
      </c>
      <c r="D2258" s="1" t="s">
        <v>59</v>
      </c>
      <c r="E2258" s="1" t="s">
        <v>18</v>
      </c>
      <c r="F2258">
        <v>715.81</v>
      </c>
      <c r="G2258">
        <v>8</v>
      </c>
      <c r="H2258" s="1" t="s">
        <v>37</v>
      </c>
      <c r="I2258">
        <v>3657.91</v>
      </c>
      <c r="J2258">
        <v>3729.27</v>
      </c>
      <c r="K2258" s="1" t="s">
        <v>26</v>
      </c>
      <c r="L2258">
        <v>0.09</v>
      </c>
      <c r="M2258" s="1" t="s">
        <v>32</v>
      </c>
      <c r="N2258" s="1" t="s">
        <v>33</v>
      </c>
      <c r="O2258" s="1" t="s">
        <v>77</v>
      </c>
      <c r="P2258">
        <v>29263.279999999999</v>
      </c>
      <c r="Q2258">
        <v>2023</v>
      </c>
      <c r="R2258">
        <v>27149.085600000002</v>
      </c>
      <c r="S2258">
        <v>-2114.1943999999967</v>
      </c>
      <c r="T2258" s="1" t="s">
        <v>166</v>
      </c>
      <c r="U2258">
        <v>-7.7873503039822295E-2</v>
      </c>
    </row>
    <row r="2259" spans="1:21" x14ac:dyDescent="0.3">
      <c r="A2259" s="1" t="s">
        <v>155</v>
      </c>
      <c r="B2259" s="1" t="s">
        <v>63</v>
      </c>
      <c r="C2259" s="2">
        <v>45242</v>
      </c>
      <c r="D2259" s="1" t="s">
        <v>17</v>
      </c>
      <c r="E2259" s="1" t="s">
        <v>30</v>
      </c>
      <c r="F2259">
        <v>8681.0300000000007</v>
      </c>
      <c r="G2259">
        <v>9</v>
      </c>
      <c r="H2259" s="1" t="s">
        <v>37</v>
      </c>
      <c r="I2259">
        <v>1468.05</v>
      </c>
      <c r="J2259">
        <v>1838.21</v>
      </c>
      <c r="K2259" s="1" t="s">
        <v>26</v>
      </c>
      <c r="L2259">
        <v>0.15</v>
      </c>
      <c r="M2259" s="1" t="s">
        <v>32</v>
      </c>
      <c r="N2259" s="1" t="s">
        <v>33</v>
      </c>
      <c r="O2259" s="1" t="s">
        <v>34</v>
      </c>
      <c r="P2259">
        <v>13212.449999999999</v>
      </c>
      <c r="Q2259">
        <v>2023</v>
      </c>
      <c r="R2259">
        <v>14062.306499999999</v>
      </c>
      <c r="S2259">
        <v>849.85649999999987</v>
      </c>
      <c r="T2259" s="1" t="s">
        <v>166</v>
      </c>
      <c r="U2259">
        <v>6.0435071586585003E-2</v>
      </c>
    </row>
    <row r="2260" spans="1:21" x14ac:dyDescent="0.3">
      <c r="A2260" s="1" t="s">
        <v>155</v>
      </c>
      <c r="B2260" s="1" t="s">
        <v>29</v>
      </c>
      <c r="C2260" s="2">
        <v>45242</v>
      </c>
      <c r="D2260" s="1" t="s">
        <v>43</v>
      </c>
      <c r="E2260" s="1" t="s">
        <v>30</v>
      </c>
      <c r="F2260">
        <v>7448.31</v>
      </c>
      <c r="G2260">
        <v>9</v>
      </c>
      <c r="H2260" s="1" t="s">
        <v>37</v>
      </c>
      <c r="I2260">
        <v>310.24</v>
      </c>
      <c r="J2260">
        <v>451.81</v>
      </c>
      <c r="K2260" s="1" t="s">
        <v>20</v>
      </c>
      <c r="L2260">
        <v>0.1</v>
      </c>
      <c r="M2260" s="1" t="s">
        <v>21</v>
      </c>
      <c r="N2260" s="1" t="s">
        <v>33</v>
      </c>
      <c r="O2260" s="1" t="s">
        <v>54</v>
      </c>
      <c r="P2260">
        <v>2792.16</v>
      </c>
      <c r="Q2260">
        <v>2023</v>
      </c>
      <c r="R2260">
        <v>3659.6610000000001</v>
      </c>
      <c r="S2260">
        <v>867.5010000000002</v>
      </c>
      <c r="T2260" s="1" t="s">
        <v>166</v>
      </c>
      <c r="U2260">
        <v>0.23704408687034101</v>
      </c>
    </row>
    <row r="2261" spans="1:21" x14ac:dyDescent="0.3">
      <c r="A2261" s="1" t="s">
        <v>155</v>
      </c>
      <c r="B2261" s="1" t="s">
        <v>139</v>
      </c>
      <c r="C2261" s="2">
        <v>45242</v>
      </c>
      <c r="D2261" s="1" t="s">
        <v>17</v>
      </c>
      <c r="E2261" s="1" t="s">
        <v>44</v>
      </c>
      <c r="F2261">
        <v>2191.1999999999998</v>
      </c>
      <c r="G2261">
        <v>28</v>
      </c>
      <c r="H2261" s="1" t="s">
        <v>19</v>
      </c>
      <c r="I2261">
        <v>3592.32</v>
      </c>
      <c r="J2261">
        <v>3813.48</v>
      </c>
      <c r="K2261" s="1" t="s">
        <v>26</v>
      </c>
      <c r="L2261">
        <v>7.0000000000000007E-2</v>
      </c>
      <c r="M2261" s="1" t="s">
        <v>27</v>
      </c>
      <c r="N2261" s="1" t="s">
        <v>33</v>
      </c>
      <c r="O2261" s="1" t="s">
        <v>49</v>
      </c>
      <c r="P2261">
        <v>100584.96000000001</v>
      </c>
      <c r="Q2261">
        <v>2023</v>
      </c>
      <c r="R2261">
        <v>99303.019199999995</v>
      </c>
      <c r="S2261">
        <v>-1281.9408000000112</v>
      </c>
      <c r="T2261" s="1" t="s">
        <v>166</v>
      </c>
      <c r="U2261">
        <v>-1.29093839273722E-2</v>
      </c>
    </row>
    <row r="2262" spans="1:21" x14ac:dyDescent="0.3">
      <c r="A2262" s="1" t="s">
        <v>155</v>
      </c>
      <c r="B2262" s="1" t="s">
        <v>131</v>
      </c>
      <c r="C2262" s="2">
        <v>45243</v>
      </c>
      <c r="D2262" s="1" t="s">
        <v>59</v>
      </c>
      <c r="E2262" s="1" t="s">
        <v>18</v>
      </c>
      <c r="F2262">
        <v>4638.47</v>
      </c>
      <c r="G2262">
        <v>28</v>
      </c>
      <c r="H2262" s="1" t="s">
        <v>57</v>
      </c>
      <c r="I2262">
        <v>1711.63</v>
      </c>
      <c r="J2262">
        <v>1951.24</v>
      </c>
      <c r="K2262" s="1" t="s">
        <v>26</v>
      </c>
      <c r="L2262">
        <v>0.22</v>
      </c>
      <c r="M2262" s="1" t="s">
        <v>21</v>
      </c>
      <c r="N2262" s="1" t="s">
        <v>22</v>
      </c>
      <c r="O2262" s="1" t="s">
        <v>77</v>
      </c>
      <c r="P2262">
        <v>47925.64</v>
      </c>
      <c r="Q2262">
        <v>2023</v>
      </c>
      <c r="R2262">
        <v>42615.081600000005</v>
      </c>
      <c r="S2262">
        <v>-5310.5583999999944</v>
      </c>
      <c r="T2262" s="1" t="s">
        <v>166</v>
      </c>
      <c r="U2262">
        <v>-0.124616877420223</v>
      </c>
    </row>
    <row r="2263" spans="1:21" x14ac:dyDescent="0.3">
      <c r="A2263" s="1" t="s">
        <v>155</v>
      </c>
      <c r="B2263" s="1" t="s">
        <v>95</v>
      </c>
      <c r="C2263" s="2">
        <v>45244</v>
      </c>
      <c r="D2263" s="1" t="s">
        <v>36</v>
      </c>
      <c r="E2263" s="1" t="s">
        <v>30</v>
      </c>
      <c r="F2263">
        <v>4011.8</v>
      </c>
      <c r="G2263">
        <v>23</v>
      </c>
      <c r="H2263" s="1" t="s">
        <v>31</v>
      </c>
      <c r="I2263">
        <v>2981.5</v>
      </c>
      <c r="J2263">
        <v>3360.4</v>
      </c>
      <c r="K2263" s="1" t="s">
        <v>20</v>
      </c>
      <c r="L2263">
        <v>0.22</v>
      </c>
      <c r="M2263" s="1" t="s">
        <v>32</v>
      </c>
      <c r="N2263" s="1" t="s">
        <v>33</v>
      </c>
      <c r="O2263" s="1" t="s">
        <v>38</v>
      </c>
      <c r="P2263">
        <v>68574.5</v>
      </c>
      <c r="Q2263">
        <v>2023</v>
      </c>
      <c r="R2263">
        <v>60285.576000000001</v>
      </c>
      <c r="S2263">
        <v>-8288.9239999999991</v>
      </c>
      <c r="T2263" s="1" t="s">
        <v>166</v>
      </c>
      <c r="U2263">
        <v>-0.137494315389804</v>
      </c>
    </row>
    <row r="2264" spans="1:21" x14ac:dyDescent="0.3">
      <c r="A2264" s="1" t="s">
        <v>155</v>
      </c>
      <c r="B2264" s="1" t="s">
        <v>66</v>
      </c>
      <c r="C2264" s="2">
        <v>45244</v>
      </c>
      <c r="D2264" s="1" t="s">
        <v>25</v>
      </c>
      <c r="E2264" s="1" t="s">
        <v>30</v>
      </c>
      <c r="F2264">
        <v>2038.75</v>
      </c>
      <c r="G2264">
        <v>32</v>
      </c>
      <c r="H2264" s="1" t="s">
        <v>31</v>
      </c>
      <c r="I2264">
        <v>1074.93</v>
      </c>
      <c r="J2264">
        <v>1492.48</v>
      </c>
      <c r="K2264" s="1" t="s">
        <v>20</v>
      </c>
      <c r="L2264">
        <v>0.04</v>
      </c>
      <c r="M2264" s="1" t="s">
        <v>27</v>
      </c>
      <c r="N2264" s="1" t="s">
        <v>33</v>
      </c>
      <c r="O2264" s="1" t="s">
        <v>92</v>
      </c>
      <c r="P2264">
        <v>34397.760000000002</v>
      </c>
      <c r="Q2264">
        <v>2023</v>
      </c>
      <c r="R2264">
        <v>45848.9856</v>
      </c>
      <c r="S2264">
        <v>11451.225599999998</v>
      </c>
      <c r="T2264" s="1" t="s">
        <v>166</v>
      </c>
      <c r="U2264">
        <v>0.249759628269726</v>
      </c>
    </row>
    <row r="2265" spans="1:21" x14ac:dyDescent="0.3">
      <c r="A2265" s="1" t="s">
        <v>155</v>
      </c>
      <c r="B2265" s="1" t="s">
        <v>94</v>
      </c>
      <c r="C2265" s="2">
        <v>45244</v>
      </c>
      <c r="D2265" s="1" t="s">
        <v>17</v>
      </c>
      <c r="E2265" s="1" t="s">
        <v>18</v>
      </c>
      <c r="F2265">
        <v>519.98</v>
      </c>
      <c r="G2265">
        <v>6</v>
      </c>
      <c r="H2265" s="1" t="s">
        <v>19</v>
      </c>
      <c r="I2265">
        <v>3609.42</v>
      </c>
      <c r="J2265">
        <v>4082.62</v>
      </c>
      <c r="K2265" s="1" t="s">
        <v>20</v>
      </c>
      <c r="L2265">
        <v>0.3</v>
      </c>
      <c r="M2265" s="1" t="s">
        <v>32</v>
      </c>
      <c r="N2265" s="1" t="s">
        <v>33</v>
      </c>
      <c r="O2265" s="1" t="s">
        <v>23</v>
      </c>
      <c r="P2265">
        <v>21656.52</v>
      </c>
      <c r="Q2265">
        <v>2023</v>
      </c>
      <c r="R2265">
        <v>17147.004000000001</v>
      </c>
      <c r="S2265">
        <v>-4509.5159999999996</v>
      </c>
      <c r="T2265" s="1" t="s">
        <v>166</v>
      </c>
      <c r="U2265">
        <v>-0.26299148236041697</v>
      </c>
    </row>
    <row r="2266" spans="1:21" x14ac:dyDescent="0.3">
      <c r="A2266" s="1" t="s">
        <v>155</v>
      </c>
      <c r="B2266" s="1" t="s">
        <v>108</v>
      </c>
      <c r="C2266" s="2">
        <v>45244</v>
      </c>
      <c r="D2266" s="1" t="s">
        <v>17</v>
      </c>
      <c r="E2266" s="1" t="s">
        <v>44</v>
      </c>
      <c r="F2266">
        <v>6528.29</v>
      </c>
      <c r="G2266">
        <v>28</v>
      </c>
      <c r="H2266" s="1" t="s">
        <v>19</v>
      </c>
      <c r="I2266">
        <v>3936.69</v>
      </c>
      <c r="J2266">
        <v>4362.51</v>
      </c>
      <c r="K2266" s="1" t="s">
        <v>20</v>
      </c>
      <c r="L2266">
        <v>7.0000000000000007E-2</v>
      </c>
      <c r="M2266" s="1" t="s">
        <v>27</v>
      </c>
      <c r="N2266" s="1" t="s">
        <v>33</v>
      </c>
      <c r="O2266" s="1" t="s">
        <v>49</v>
      </c>
      <c r="P2266">
        <v>110227.32</v>
      </c>
      <c r="Q2266">
        <v>2023</v>
      </c>
      <c r="R2266">
        <v>113599.76039999998</v>
      </c>
      <c r="S2266">
        <v>3372.4403999999777</v>
      </c>
      <c r="T2266" s="1" t="s">
        <v>166</v>
      </c>
      <c r="U2266">
        <v>2.9687037966675E-2</v>
      </c>
    </row>
    <row r="2267" spans="1:21" x14ac:dyDescent="0.3">
      <c r="A2267" s="1" t="s">
        <v>155</v>
      </c>
      <c r="B2267" s="1" t="s">
        <v>137</v>
      </c>
      <c r="C2267" s="2">
        <v>45244</v>
      </c>
      <c r="D2267" s="1" t="s">
        <v>25</v>
      </c>
      <c r="E2267" s="1" t="s">
        <v>40</v>
      </c>
      <c r="F2267">
        <v>3607.29</v>
      </c>
      <c r="G2267">
        <v>42</v>
      </c>
      <c r="H2267" s="1" t="s">
        <v>19</v>
      </c>
      <c r="I2267">
        <v>1218.18</v>
      </c>
      <c r="J2267">
        <v>1566.36</v>
      </c>
      <c r="K2267" s="1" t="s">
        <v>20</v>
      </c>
      <c r="L2267">
        <v>0.03</v>
      </c>
      <c r="M2267" s="1" t="s">
        <v>27</v>
      </c>
      <c r="N2267" s="1" t="s">
        <v>33</v>
      </c>
      <c r="O2267" s="1" t="s">
        <v>83</v>
      </c>
      <c r="P2267">
        <v>51163.560000000005</v>
      </c>
      <c r="Q2267">
        <v>2023</v>
      </c>
      <c r="R2267">
        <v>63813.506399999991</v>
      </c>
      <c r="S2267">
        <v>12649.946399999986</v>
      </c>
      <c r="T2267" s="1" t="s">
        <v>166</v>
      </c>
      <c r="U2267">
        <v>0.19823305619200399</v>
      </c>
    </row>
    <row r="2268" spans="1:21" x14ac:dyDescent="0.3">
      <c r="A2268" s="1" t="s">
        <v>155</v>
      </c>
      <c r="B2268" s="1" t="s">
        <v>55</v>
      </c>
      <c r="C2268" s="2">
        <v>45244</v>
      </c>
      <c r="D2268" s="1" t="s">
        <v>43</v>
      </c>
      <c r="E2268" s="1" t="s">
        <v>44</v>
      </c>
      <c r="F2268">
        <v>6575.91</v>
      </c>
      <c r="G2268">
        <v>1</v>
      </c>
      <c r="H2268" s="1" t="s">
        <v>19</v>
      </c>
      <c r="I2268">
        <v>60.28</v>
      </c>
      <c r="J2268">
        <v>260.73</v>
      </c>
      <c r="K2268" s="1" t="s">
        <v>20</v>
      </c>
      <c r="L2268">
        <v>0.17</v>
      </c>
      <c r="M2268" s="1" t="s">
        <v>21</v>
      </c>
      <c r="N2268" s="1" t="s">
        <v>22</v>
      </c>
      <c r="O2268" s="1" t="s">
        <v>45</v>
      </c>
      <c r="P2268">
        <v>60.28</v>
      </c>
      <c r="Q2268">
        <v>2023</v>
      </c>
      <c r="R2268">
        <v>216.4059</v>
      </c>
      <c r="S2268">
        <v>156.1259</v>
      </c>
      <c r="T2268" s="1" t="s">
        <v>166</v>
      </c>
      <c r="U2268">
        <v>0.72144936898670498</v>
      </c>
    </row>
    <row r="2269" spans="1:21" x14ac:dyDescent="0.3">
      <c r="A2269" s="1" t="s">
        <v>155</v>
      </c>
      <c r="B2269" s="1" t="s">
        <v>134</v>
      </c>
      <c r="C2269" s="2">
        <v>45244</v>
      </c>
      <c r="D2269" s="1" t="s">
        <v>36</v>
      </c>
      <c r="E2269" s="1" t="s">
        <v>18</v>
      </c>
      <c r="F2269">
        <v>4944.99</v>
      </c>
      <c r="G2269">
        <v>36</v>
      </c>
      <c r="H2269" s="1" t="s">
        <v>31</v>
      </c>
      <c r="I2269">
        <v>666.84</v>
      </c>
      <c r="J2269">
        <v>682.24</v>
      </c>
      <c r="K2269" s="1" t="s">
        <v>26</v>
      </c>
      <c r="L2269">
        <v>0.16</v>
      </c>
      <c r="M2269" s="1" t="s">
        <v>32</v>
      </c>
      <c r="N2269" s="1" t="s">
        <v>33</v>
      </c>
      <c r="O2269" s="1" t="s">
        <v>115</v>
      </c>
      <c r="P2269">
        <v>24006.240000000002</v>
      </c>
      <c r="Q2269">
        <v>2023</v>
      </c>
      <c r="R2269">
        <v>20630.937599999997</v>
      </c>
      <c r="S2269">
        <v>-3375.3024000000041</v>
      </c>
      <c r="T2269" s="1" t="s">
        <v>166</v>
      </c>
      <c r="U2269">
        <v>-0.16360392656124401</v>
      </c>
    </row>
    <row r="2270" spans="1:21" x14ac:dyDescent="0.3">
      <c r="A2270" s="1" t="s">
        <v>155</v>
      </c>
      <c r="B2270" s="1" t="s">
        <v>94</v>
      </c>
      <c r="C2270" s="2">
        <v>45244</v>
      </c>
      <c r="D2270" s="1" t="s">
        <v>36</v>
      </c>
      <c r="E2270" s="1" t="s">
        <v>18</v>
      </c>
      <c r="F2270">
        <v>4976.43</v>
      </c>
      <c r="G2270">
        <v>14</v>
      </c>
      <c r="H2270" s="1" t="s">
        <v>37</v>
      </c>
      <c r="I2270">
        <v>1185.5</v>
      </c>
      <c r="J2270">
        <v>1271.45</v>
      </c>
      <c r="K2270" s="1" t="s">
        <v>20</v>
      </c>
      <c r="L2270">
        <v>0.03</v>
      </c>
      <c r="M2270" s="1" t="s">
        <v>32</v>
      </c>
      <c r="N2270" s="1" t="s">
        <v>33</v>
      </c>
      <c r="O2270" s="1" t="s">
        <v>115</v>
      </c>
      <c r="P2270">
        <v>16597</v>
      </c>
      <c r="Q2270">
        <v>2023</v>
      </c>
      <c r="R2270">
        <v>17266.290999999997</v>
      </c>
      <c r="S2270">
        <v>669.29099999999744</v>
      </c>
      <c r="T2270" s="1" t="s">
        <v>166</v>
      </c>
      <c r="U2270">
        <v>3.8762870381368997E-2</v>
      </c>
    </row>
    <row r="2271" spans="1:21" x14ac:dyDescent="0.3">
      <c r="A2271" s="1" t="s">
        <v>155</v>
      </c>
      <c r="B2271" s="1" t="s">
        <v>136</v>
      </c>
      <c r="C2271" s="2">
        <v>45245</v>
      </c>
      <c r="D2271" s="1" t="s">
        <v>17</v>
      </c>
      <c r="E2271" s="1" t="s">
        <v>44</v>
      </c>
      <c r="F2271">
        <v>672.66</v>
      </c>
      <c r="G2271">
        <v>2</v>
      </c>
      <c r="H2271" s="1" t="s">
        <v>31</v>
      </c>
      <c r="I2271">
        <v>1036.76</v>
      </c>
      <c r="J2271">
        <v>1189.3499999999999</v>
      </c>
      <c r="K2271" s="1" t="s">
        <v>26</v>
      </c>
      <c r="L2271">
        <v>0.27</v>
      </c>
      <c r="M2271" s="1" t="s">
        <v>32</v>
      </c>
      <c r="N2271" s="1" t="s">
        <v>22</v>
      </c>
      <c r="O2271" s="1" t="s">
        <v>49</v>
      </c>
      <c r="P2271">
        <v>2073.52</v>
      </c>
      <c r="Q2271">
        <v>2023</v>
      </c>
      <c r="R2271">
        <v>1736.4509999999998</v>
      </c>
      <c r="S2271">
        <v>-337.06900000000019</v>
      </c>
      <c r="T2271" s="1" t="s">
        <v>166</v>
      </c>
      <c r="U2271">
        <v>-0.19411374118820501</v>
      </c>
    </row>
    <row r="2272" spans="1:21" x14ac:dyDescent="0.3">
      <c r="A2272" s="1" t="s">
        <v>155</v>
      </c>
      <c r="B2272" s="1" t="s">
        <v>140</v>
      </c>
      <c r="C2272" s="2">
        <v>45245</v>
      </c>
      <c r="D2272" s="1" t="s">
        <v>59</v>
      </c>
      <c r="E2272" s="1" t="s">
        <v>40</v>
      </c>
      <c r="F2272">
        <v>9413.77</v>
      </c>
      <c r="G2272">
        <v>1</v>
      </c>
      <c r="H2272" s="1" t="s">
        <v>57</v>
      </c>
      <c r="I2272">
        <v>651</v>
      </c>
      <c r="J2272">
        <v>865.76</v>
      </c>
      <c r="K2272" s="1" t="s">
        <v>20</v>
      </c>
      <c r="L2272">
        <v>0.09</v>
      </c>
      <c r="M2272" s="1" t="s">
        <v>32</v>
      </c>
      <c r="N2272" s="1" t="s">
        <v>33</v>
      </c>
      <c r="O2272" s="1" t="s">
        <v>90</v>
      </c>
      <c r="P2272">
        <v>651</v>
      </c>
      <c r="Q2272">
        <v>2023</v>
      </c>
      <c r="R2272">
        <v>787.84159999999997</v>
      </c>
      <c r="S2272">
        <v>136.84159999999997</v>
      </c>
      <c r="T2272" s="1" t="s">
        <v>166</v>
      </c>
      <c r="U2272">
        <v>0.173691767482194</v>
      </c>
    </row>
    <row r="2273" spans="1:21" x14ac:dyDescent="0.3">
      <c r="A2273" s="1" t="s">
        <v>155</v>
      </c>
      <c r="B2273" s="1" t="s">
        <v>125</v>
      </c>
      <c r="C2273" s="2">
        <v>45245</v>
      </c>
      <c r="D2273" s="1" t="s">
        <v>43</v>
      </c>
      <c r="E2273" s="1" t="s">
        <v>40</v>
      </c>
      <c r="F2273">
        <v>7316.91</v>
      </c>
      <c r="G2273">
        <v>19</v>
      </c>
      <c r="H2273" s="1" t="s">
        <v>31</v>
      </c>
      <c r="I2273">
        <v>2844.97</v>
      </c>
      <c r="J2273">
        <v>3215</v>
      </c>
      <c r="K2273" s="1" t="s">
        <v>20</v>
      </c>
      <c r="L2273">
        <v>0.09</v>
      </c>
      <c r="M2273" s="1" t="s">
        <v>27</v>
      </c>
      <c r="N2273" s="1" t="s">
        <v>33</v>
      </c>
      <c r="O2273" s="1" t="s">
        <v>99</v>
      </c>
      <c r="P2273">
        <v>54054.429999999993</v>
      </c>
      <c r="Q2273">
        <v>2023</v>
      </c>
      <c r="R2273">
        <v>55587.35</v>
      </c>
      <c r="S2273">
        <v>1532.9200000000055</v>
      </c>
      <c r="T2273" s="1" t="s">
        <v>166</v>
      </c>
      <c r="U2273">
        <v>2.7576777810059398E-2</v>
      </c>
    </row>
    <row r="2274" spans="1:21" x14ac:dyDescent="0.3">
      <c r="A2274" s="1" t="s">
        <v>155</v>
      </c>
      <c r="B2274" s="1" t="s">
        <v>124</v>
      </c>
      <c r="C2274" s="2">
        <v>45245</v>
      </c>
      <c r="D2274" s="1" t="s">
        <v>17</v>
      </c>
      <c r="E2274" s="1" t="s">
        <v>44</v>
      </c>
      <c r="F2274">
        <v>6951.53</v>
      </c>
      <c r="G2274">
        <v>24</v>
      </c>
      <c r="H2274" s="1" t="s">
        <v>19</v>
      </c>
      <c r="I2274">
        <v>1370.52</v>
      </c>
      <c r="J2274">
        <v>1482.58</v>
      </c>
      <c r="K2274" s="1" t="s">
        <v>20</v>
      </c>
      <c r="L2274">
        <v>0.2</v>
      </c>
      <c r="M2274" s="1" t="s">
        <v>27</v>
      </c>
      <c r="N2274" s="1" t="s">
        <v>33</v>
      </c>
      <c r="O2274" s="1" t="s">
        <v>49</v>
      </c>
      <c r="P2274">
        <v>32892.479999999996</v>
      </c>
      <c r="Q2274">
        <v>2023</v>
      </c>
      <c r="R2274">
        <v>28465.536</v>
      </c>
      <c r="S2274">
        <v>-4426.9439999999959</v>
      </c>
      <c r="T2274" s="1" t="s">
        <v>166</v>
      </c>
      <c r="U2274">
        <v>-0.155519432340919</v>
      </c>
    </row>
    <row r="2275" spans="1:21" x14ac:dyDescent="0.3">
      <c r="A2275" s="1" t="s">
        <v>155</v>
      </c>
      <c r="B2275" s="1" t="s">
        <v>108</v>
      </c>
      <c r="C2275" s="2">
        <v>45245</v>
      </c>
      <c r="D2275" s="1" t="s">
        <v>36</v>
      </c>
      <c r="E2275" s="1" t="s">
        <v>44</v>
      </c>
      <c r="F2275">
        <v>499.47</v>
      </c>
      <c r="G2275">
        <v>47</v>
      </c>
      <c r="H2275" s="1" t="s">
        <v>37</v>
      </c>
      <c r="I2275">
        <v>3034.32</v>
      </c>
      <c r="J2275">
        <v>3375.79</v>
      </c>
      <c r="K2275" s="1" t="s">
        <v>26</v>
      </c>
      <c r="L2275">
        <v>0.28000000000000003</v>
      </c>
      <c r="M2275" s="1" t="s">
        <v>27</v>
      </c>
      <c r="N2275" s="1" t="s">
        <v>22</v>
      </c>
      <c r="O2275" s="1" t="s">
        <v>71</v>
      </c>
      <c r="P2275">
        <v>142613.04</v>
      </c>
      <c r="Q2275">
        <v>2023</v>
      </c>
      <c r="R2275">
        <v>114236.73359999999</v>
      </c>
      <c r="S2275">
        <v>-28376.306400000016</v>
      </c>
      <c r="T2275" s="1" t="s">
        <v>166</v>
      </c>
      <c r="U2275">
        <v>-0.24839914015188599</v>
      </c>
    </row>
    <row r="2276" spans="1:21" x14ac:dyDescent="0.3">
      <c r="A2276" s="1" t="s">
        <v>155</v>
      </c>
      <c r="B2276" s="1" t="s">
        <v>50</v>
      </c>
      <c r="C2276" s="2">
        <v>45245</v>
      </c>
      <c r="D2276" s="1" t="s">
        <v>59</v>
      </c>
      <c r="E2276" s="1" t="s">
        <v>18</v>
      </c>
      <c r="F2276">
        <v>4703.59</v>
      </c>
      <c r="G2276">
        <v>23</v>
      </c>
      <c r="H2276" s="1" t="s">
        <v>37</v>
      </c>
      <c r="I2276">
        <v>1676.42</v>
      </c>
      <c r="J2276">
        <v>2082.52</v>
      </c>
      <c r="K2276" s="1" t="s">
        <v>26</v>
      </c>
      <c r="L2276">
        <v>0.15</v>
      </c>
      <c r="M2276" s="1" t="s">
        <v>32</v>
      </c>
      <c r="N2276" s="1" t="s">
        <v>33</v>
      </c>
      <c r="O2276" s="1" t="s">
        <v>77</v>
      </c>
      <c r="P2276">
        <v>38557.660000000003</v>
      </c>
      <c r="Q2276">
        <v>2023</v>
      </c>
      <c r="R2276">
        <v>40713.265999999996</v>
      </c>
      <c r="S2276">
        <v>2155.6059999999925</v>
      </c>
      <c r="T2276" s="1" t="s">
        <v>166</v>
      </c>
      <c r="U2276">
        <v>5.2946034837882898E-2</v>
      </c>
    </row>
    <row r="2277" spans="1:21" x14ac:dyDescent="0.3">
      <c r="A2277" s="1" t="s">
        <v>155</v>
      </c>
      <c r="B2277" s="1" t="s">
        <v>85</v>
      </c>
      <c r="C2277" s="2">
        <v>45246</v>
      </c>
      <c r="D2277" s="1" t="s">
        <v>17</v>
      </c>
      <c r="E2277" s="1" t="s">
        <v>18</v>
      </c>
      <c r="F2277">
        <v>8518.4500000000007</v>
      </c>
      <c r="G2277">
        <v>13</v>
      </c>
      <c r="H2277" s="1" t="s">
        <v>31</v>
      </c>
      <c r="I2277">
        <v>2440.11</v>
      </c>
      <c r="J2277">
        <v>2517.6</v>
      </c>
      <c r="K2277" s="1" t="s">
        <v>26</v>
      </c>
      <c r="L2277">
        <v>0.23</v>
      </c>
      <c r="M2277" s="1" t="s">
        <v>32</v>
      </c>
      <c r="N2277" s="1" t="s">
        <v>33</v>
      </c>
      <c r="O2277" s="1" t="s">
        <v>23</v>
      </c>
      <c r="P2277">
        <v>31721.43</v>
      </c>
      <c r="Q2277">
        <v>2023</v>
      </c>
      <c r="R2277">
        <v>25201.175999999999</v>
      </c>
      <c r="S2277">
        <v>-6520.2540000000008</v>
      </c>
      <c r="T2277" s="1" t="s">
        <v>166</v>
      </c>
      <c r="U2277">
        <v>-0.25872816411424598</v>
      </c>
    </row>
    <row r="2278" spans="1:21" x14ac:dyDescent="0.3">
      <c r="A2278" s="1" t="s">
        <v>155</v>
      </c>
      <c r="B2278" s="1" t="s">
        <v>88</v>
      </c>
      <c r="C2278" s="2">
        <v>45246</v>
      </c>
      <c r="D2278" s="1" t="s">
        <v>36</v>
      </c>
      <c r="E2278" s="1" t="s">
        <v>44</v>
      </c>
      <c r="F2278">
        <v>113.4</v>
      </c>
      <c r="G2278">
        <v>8</v>
      </c>
      <c r="H2278" s="1" t="s">
        <v>31</v>
      </c>
      <c r="I2278">
        <v>3459.61</v>
      </c>
      <c r="J2278">
        <v>3657.23</v>
      </c>
      <c r="K2278" s="1" t="s">
        <v>20</v>
      </c>
      <c r="L2278">
        <v>0.03</v>
      </c>
      <c r="M2278" s="1" t="s">
        <v>32</v>
      </c>
      <c r="N2278" s="1" t="s">
        <v>22</v>
      </c>
      <c r="O2278" s="1" t="s">
        <v>71</v>
      </c>
      <c r="P2278">
        <v>27676.880000000001</v>
      </c>
      <c r="Q2278">
        <v>2023</v>
      </c>
      <c r="R2278">
        <v>28380.104800000001</v>
      </c>
      <c r="S2278">
        <v>703.22479999999996</v>
      </c>
      <c r="T2278" s="1" t="s">
        <v>166</v>
      </c>
      <c r="U2278">
        <v>2.47787950381353E-2</v>
      </c>
    </row>
    <row r="2279" spans="1:21" x14ac:dyDescent="0.3">
      <c r="A2279" s="1" t="s">
        <v>155</v>
      </c>
      <c r="B2279" s="1" t="s">
        <v>70</v>
      </c>
      <c r="C2279" s="2">
        <v>45246</v>
      </c>
      <c r="D2279" s="1" t="s">
        <v>36</v>
      </c>
      <c r="E2279" s="1" t="s">
        <v>30</v>
      </c>
      <c r="F2279">
        <v>3942.84</v>
      </c>
      <c r="G2279">
        <v>40</v>
      </c>
      <c r="H2279" s="1" t="s">
        <v>57</v>
      </c>
      <c r="I2279">
        <v>601.86</v>
      </c>
      <c r="J2279">
        <v>1067.53</v>
      </c>
      <c r="K2279" s="1" t="s">
        <v>26</v>
      </c>
      <c r="L2279">
        <v>0.18</v>
      </c>
      <c r="M2279" s="1" t="s">
        <v>21</v>
      </c>
      <c r="N2279" s="1" t="s">
        <v>22</v>
      </c>
      <c r="O2279" s="1" t="s">
        <v>38</v>
      </c>
      <c r="P2279">
        <v>24074.400000000001</v>
      </c>
      <c r="Q2279">
        <v>2023</v>
      </c>
      <c r="R2279">
        <v>35014.983999999997</v>
      </c>
      <c r="S2279">
        <v>10940.583999999995</v>
      </c>
      <c r="T2279" s="1" t="s">
        <v>166</v>
      </c>
      <c r="U2279">
        <v>0.31245434811565198</v>
      </c>
    </row>
    <row r="2280" spans="1:21" x14ac:dyDescent="0.3">
      <c r="A2280" s="1" t="s">
        <v>155</v>
      </c>
      <c r="B2280" s="1" t="s">
        <v>127</v>
      </c>
      <c r="C2280" s="2">
        <v>45246</v>
      </c>
      <c r="D2280" s="1" t="s">
        <v>17</v>
      </c>
      <c r="E2280" s="1" t="s">
        <v>44</v>
      </c>
      <c r="F2280">
        <v>2673.06</v>
      </c>
      <c r="G2280">
        <v>1</v>
      </c>
      <c r="H2280" s="1" t="s">
        <v>31</v>
      </c>
      <c r="I2280">
        <v>2928.74</v>
      </c>
      <c r="J2280">
        <v>3027.74</v>
      </c>
      <c r="K2280" s="1" t="s">
        <v>26</v>
      </c>
      <c r="L2280">
        <v>0.15</v>
      </c>
      <c r="M2280" s="1" t="s">
        <v>32</v>
      </c>
      <c r="N2280" s="1" t="s">
        <v>33</v>
      </c>
      <c r="O2280" s="1" t="s">
        <v>49</v>
      </c>
      <c r="P2280">
        <v>2928.74</v>
      </c>
      <c r="Q2280">
        <v>2023</v>
      </c>
      <c r="R2280">
        <v>2573.5789999999997</v>
      </c>
      <c r="S2280">
        <v>-355.16100000000006</v>
      </c>
      <c r="T2280" s="1" t="s">
        <v>166</v>
      </c>
      <c r="U2280">
        <v>-0.13800275802685699</v>
      </c>
    </row>
    <row r="2281" spans="1:21" x14ac:dyDescent="0.3">
      <c r="A2281" s="1" t="s">
        <v>155</v>
      </c>
      <c r="B2281" s="1" t="s">
        <v>150</v>
      </c>
      <c r="C2281" s="2">
        <v>45246</v>
      </c>
      <c r="D2281" s="1" t="s">
        <v>36</v>
      </c>
      <c r="E2281" s="1" t="s">
        <v>30</v>
      </c>
      <c r="F2281">
        <v>7026.43</v>
      </c>
      <c r="G2281">
        <v>48</v>
      </c>
      <c r="H2281" s="1" t="s">
        <v>19</v>
      </c>
      <c r="I2281">
        <v>2658.9</v>
      </c>
      <c r="J2281">
        <v>2838.27</v>
      </c>
      <c r="K2281" s="1" t="s">
        <v>26</v>
      </c>
      <c r="L2281">
        <v>0.25</v>
      </c>
      <c r="M2281" s="1" t="s">
        <v>27</v>
      </c>
      <c r="N2281" s="1" t="s">
        <v>22</v>
      </c>
      <c r="O2281" s="1" t="s">
        <v>38</v>
      </c>
      <c r="P2281">
        <v>127627.20000000001</v>
      </c>
      <c r="Q2281">
        <v>2023</v>
      </c>
      <c r="R2281">
        <v>102177.72</v>
      </c>
      <c r="S2281">
        <v>-25449.48000000001</v>
      </c>
      <c r="T2281" s="1" t="s">
        <v>166</v>
      </c>
      <c r="U2281">
        <v>-0.24907073675161301</v>
      </c>
    </row>
    <row r="2282" spans="1:21" x14ac:dyDescent="0.3">
      <c r="A2282" s="1" t="s">
        <v>155</v>
      </c>
      <c r="B2282" s="1" t="s">
        <v>50</v>
      </c>
      <c r="C2282" s="2">
        <v>45246</v>
      </c>
      <c r="D2282" s="1" t="s">
        <v>43</v>
      </c>
      <c r="E2282" s="1" t="s">
        <v>40</v>
      </c>
      <c r="F2282">
        <v>803.25</v>
      </c>
      <c r="G2282">
        <v>31</v>
      </c>
      <c r="H2282" s="1" t="s">
        <v>31</v>
      </c>
      <c r="I2282">
        <v>144.88</v>
      </c>
      <c r="J2282">
        <v>175.29</v>
      </c>
      <c r="K2282" s="1" t="s">
        <v>26</v>
      </c>
      <c r="L2282">
        <v>7.0000000000000007E-2</v>
      </c>
      <c r="M2282" s="1" t="s">
        <v>32</v>
      </c>
      <c r="N2282" s="1" t="s">
        <v>22</v>
      </c>
      <c r="O2282" s="1" t="s">
        <v>99</v>
      </c>
      <c r="P2282">
        <v>4491.28</v>
      </c>
      <c r="Q2282">
        <v>2023</v>
      </c>
      <c r="R2282">
        <v>5053.6106999999993</v>
      </c>
      <c r="S2282">
        <v>562.33069999999952</v>
      </c>
      <c r="T2282" s="1" t="s">
        <v>166</v>
      </c>
      <c r="U2282">
        <v>0.11127305472896799</v>
      </c>
    </row>
    <row r="2283" spans="1:21" x14ac:dyDescent="0.3">
      <c r="A2283" s="1" t="s">
        <v>155</v>
      </c>
      <c r="B2283" s="1" t="s">
        <v>63</v>
      </c>
      <c r="C2283" s="2">
        <v>45247</v>
      </c>
      <c r="D2283" s="1" t="s">
        <v>25</v>
      </c>
      <c r="E2283" s="1" t="s">
        <v>18</v>
      </c>
      <c r="F2283">
        <v>4790.72</v>
      </c>
      <c r="G2283">
        <v>28</v>
      </c>
      <c r="H2283" s="1" t="s">
        <v>19</v>
      </c>
      <c r="I2283">
        <v>2094.88</v>
      </c>
      <c r="J2283">
        <v>2168.91</v>
      </c>
      <c r="K2283" s="1" t="s">
        <v>20</v>
      </c>
      <c r="L2283">
        <v>0.08</v>
      </c>
      <c r="M2283" s="1" t="s">
        <v>21</v>
      </c>
      <c r="N2283" s="1" t="s">
        <v>33</v>
      </c>
      <c r="O2283" s="1" t="s">
        <v>28</v>
      </c>
      <c r="P2283">
        <v>58656.639999999999</v>
      </c>
      <c r="Q2283">
        <v>2023</v>
      </c>
      <c r="R2283">
        <v>55871.121599999999</v>
      </c>
      <c r="S2283">
        <v>-2785.5184000000008</v>
      </c>
      <c r="T2283" s="1" t="s">
        <v>166</v>
      </c>
      <c r="U2283">
        <v>-4.9856138918106203E-2</v>
      </c>
    </row>
    <row r="2284" spans="1:21" x14ac:dyDescent="0.3">
      <c r="A2284" s="1" t="s">
        <v>155</v>
      </c>
      <c r="B2284" s="1" t="s">
        <v>136</v>
      </c>
      <c r="C2284" s="2">
        <v>45247</v>
      </c>
      <c r="D2284" s="1" t="s">
        <v>43</v>
      </c>
      <c r="E2284" s="1" t="s">
        <v>44</v>
      </c>
      <c r="F2284">
        <v>7883.44</v>
      </c>
      <c r="G2284">
        <v>13</v>
      </c>
      <c r="H2284" s="1" t="s">
        <v>57</v>
      </c>
      <c r="I2284">
        <v>366.2</v>
      </c>
      <c r="J2284">
        <v>732.69</v>
      </c>
      <c r="K2284" s="1" t="s">
        <v>26</v>
      </c>
      <c r="L2284">
        <v>0.04</v>
      </c>
      <c r="M2284" s="1" t="s">
        <v>21</v>
      </c>
      <c r="N2284" s="1" t="s">
        <v>33</v>
      </c>
      <c r="O2284" s="1" t="s">
        <v>45</v>
      </c>
      <c r="P2284">
        <v>4760.5999999999995</v>
      </c>
      <c r="Q2284">
        <v>2023</v>
      </c>
      <c r="R2284">
        <v>9143.9712</v>
      </c>
      <c r="S2284">
        <v>4383.3712000000005</v>
      </c>
      <c r="T2284" s="1" t="s">
        <v>166</v>
      </c>
      <c r="U2284">
        <v>0.47937281342268401</v>
      </c>
    </row>
    <row r="2285" spans="1:21" x14ac:dyDescent="0.3">
      <c r="A2285" s="1" t="s">
        <v>155</v>
      </c>
      <c r="B2285" s="1" t="s">
        <v>63</v>
      </c>
      <c r="C2285" s="2">
        <v>45248</v>
      </c>
      <c r="D2285" s="1" t="s">
        <v>59</v>
      </c>
      <c r="E2285" s="1" t="s">
        <v>44</v>
      </c>
      <c r="F2285">
        <v>291.33999999999997</v>
      </c>
      <c r="G2285">
        <v>12</v>
      </c>
      <c r="H2285" s="1" t="s">
        <v>31</v>
      </c>
      <c r="I2285">
        <v>1088.99</v>
      </c>
      <c r="J2285">
        <v>1545</v>
      </c>
      <c r="K2285" s="1" t="s">
        <v>20</v>
      </c>
      <c r="L2285">
        <v>0.04</v>
      </c>
      <c r="M2285" s="1" t="s">
        <v>32</v>
      </c>
      <c r="N2285" s="1" t="s">
        <v>33</v>
      </c>
      <c r="O2285" s="1" t="s">
        <v>60</v>
      </c>
      <c r="P2285">
        <v>13067.880000000001</v>
      </c>
      <c r="Q2285">
        <v>2023</v>
      </c>
      <c r="R2285">
        <v>17798.399999999998</v>
      </c>
      <c r="S2285">
        <v>4730.5199999999968</v>
      </c>
      <c r="T2285" s="1" t="s">
        <v>166</v>
      </c>
      <c r="U2285">
        <v>0.26578344120819802</v>
      </c>
    </row>
    <row r="2286" spans="1:21" x14ac:dyDescent="0.3">
      <c r="A2286" s="1" t="s">
        <v>155</v>
      </c>
      <c r="B2286" s="1" t="s">
        <v>146</v>
      </c>
      <c r="C2286" s="2">
        <v>45248</v>
      </c>
      <c r="D2286" s="1" t="s">
        <v>59</v>
      </c>
      <c r="E2286" s="1" t="s">
        <v>44</v>
      </c>
      <c r="F2286">
        <v>7211.48</v>
      </c>
      <c r="G2286">
        <v>1</v>
      </c>
      <c r="H2286" s="1" t="s">
        <v>57</v>
      </c>
      <c r="I2286">
        <v>182.99</v>
      </c>
      <c r="J2286">
        <v>211.18</v>
      </c>
      <c r="K2286" s="1" t="s">
        <v>20</v>
      </c>
      <c r="L2286">
        <v>0.27</v>
      </c>
      <c r="M2286" s="1" t="s">
        <v>32</v>
      </c>
      <c r="N2286" s="1" t="s">
        <v>33</v>
      </c>
      <c r="O2286" s="1" t="s">
        <v>60</v>
      </c>
      <c r="P2286">
        <v>182.99</v>
      </c>
      <c r="Q2286">
        <v>2023</v>
      </c>
      <c r="R2286">
        <v>154.16140000000001</v>
      </c>
      <c r="S2286">
        <v>-28.828599999999994</v>
      </c>
      <c r="T2286" s="1" t="s">
        <v>166</v>
      </c>
      <c r="U2286">
        <v>-0.18700271274132199</v>
      </c>
    </row>
    <row r="2287" spans="1:21" x14ac:dyDescent="0.3">
      <c r="A2287" s="1" t="s">
        <v>155</v>
      </c>
      <c r="B2287" s="1" t="s">
        <v>95</v>
      </c>
      <c r="C2287" s="2">
        <v>45249</v>
      </c>
      <c r="D2287" s="1" t="s">
        <v>36</v>
      </c>
      <c r="E2287" s="1" t="s">
        <v>18</v>
      </c>
      <c r="F2287">
        <v>349.41</v>
      </c>
      <c r="G2287">
        <v>37</v>
      </c>
      <c r="H2287" s="1" t="s">
        <v>37</v>
      </c>
      <c r="I2287">
        <v>2600.7600000000002</v>
      </c>
      <c r="J2287">
        <v>2937.57</v>
      </c>
      <c r="K2287" s="1" t="s">
        <v>26</v>
      </c>
      <c r="L2287">
        <v>0.17</v>
      </c>
      <c r="M2287" s="1" t="s">
        <v>27</v>
      </c>
      <c r="N2287" s="1" t="s">
        <v>33</v>
      </c>
      <c r="O2287" s="1" t="s">
        <v>115</v>
      </c>
      <c r="P2287">
        <v>96228.12000000001</v>
      </c>
      <c r="Q2287">
        <v>2023</v>
      </c>
      <c r="R2287">
        <v>90212.774700000009</v>
      </c>
      <c r="S2287">
        <v>-6015.3453000000009</v>
      </c>
      <c r="T2287" s="1" t="s">
        <v>166</v>
      </c>
      <c r="U2287">
        <v>-6.6679528703155994E-2</v>
      </c>
    </row>
    <row r="2288" spans="1:21" x14ac:dyDescent="0.3">
      <c r="A2288" s="1" t="s">
        <v>155</v>
      </c>
      <c r="B2288" s="1" t="s">
        <v>101</v>
      </c>
      <c r="C2288" s="2">
        <v>45249</v>
      </c>
      <c r="D2288" s="1" t="s">
        <v>36</v>
      </c>
      <c r="E2288" s="1" t="s">
        <v>18</v>
      </c>
      <c r="F2288">
        <v>6601.62</v>
      </c>
      <c r="G2288">
        <v>47</v>
      </c>
      <c r="H2288" s="1" t="s">
        <v>37</v>
      </c>
      <c r="I2288">
        <v>2189.54</v>
      </c>
      <c r="J2288">
        <v>2617</v>
      </c>
      <c r="K2288" s="1" t="s">
        <v>26</v>
      </c>
      <c r="L2288">
        <v>0.01</v>
      </c>
      <c r="M2288" s="1" t="s">
        <v>32</v>
      </c>
      <c r="N2288" s="1" t="s">
        <v>22</v>
      </c>
      <c r="O2288" s="1" t="s">
        <v>115</v>
      </c>
      <c r="P2288">
        <v>102908.38</v>
      </c>
      <c r="Q2288">
        <v>2023</v>
      </c>
      <c r="R2288">
        <v>121769.01</v>
      </c>
      <c r="S2288">
        <v>18860.62999999999</v>
      </c>
      <c r="T2288" s="1" t="s">
        <v>166</v>
      </c>
      <c r="U2288">
        <v>0.15488858782706699</v>
      </c>
    </row>
    <row r="2289" spans="1:21" x14ac:dyDescent="0.3">
      <c r="A2289" s="1" t="s">
        <v>155</v>
      </c>
      <c r="B2289" s="1" t="s">
        <v>91</v>
      </c>
      <c r="C2289" s="2">
        <v>45249</v>
      </c>
      <c r="D2289" s="1" t="s">
        <v>43</v>
      </c>
      <c r="E2289" s="1" t="s">
        <v>18</v>
      </c>
      <c r="F2289">
        <v>1649.12</v>
      </c>
      <c r="G2289">
        <v>2</v>
      </c>
      <c r="H2289" s="1" t="s">
        <v>37</v>
      </c>
      <c r="I2289">
        <v>912.08</v>
      </c>
      <c r="J2289">
        <v>993.24</v>
      </c>
      <c r="K2289" s="1" t="s">
        <v>20</v>
      </c>
      <c r="L2289">
        <v>0.09</v>
      </c>
      <c r="M2289" s="1" t="s">
        <v>27</v>
      </c>
      <c r="N2289" s="1" t="s">
        <v>22</v>
      </c>
      <c r="O2289" s="1" t="s">
        <v>62</v>
      </c>
      <c r="P2289">
        <v>1824.16</v>
      </c>
      <c r="Q2289">
        <v>2023</v>
      </c>
      <c r="R2289">
        <v>1807.6968000000002</v>
      </c>
      <c r="S2289">
        <v>-16.463199999999915</v>
      </c>
      <c r="T2289" s="1" t="s">
        <v>166</v>
      </c>
      <c r="U2289">
        <v>-9.1072794951011192E-3</v>
      </c>
    </row>
    <row r="2290" spans="1:21" x14ac:dyDescent="0.3">
      <c r="A2290" s="1" t="s">
        <v>155</v>
      </c>
      <c r="B2290" s="1" t="s">
        <v>55</v>
      </c>
      <c r="C2290" s="2">
        <v>45250</v>
      </c>
      <c r="D2290" s="1" t="s">
        <v>59</v>
      </c>
      <c r="E2290" s="1" t="s">
        <v>40</v>
      </c>
      <c r="F2290">
        <v>267.77999999999997</v>
      </c>
      <c r="G2290">
        <v>32</v>
      </c>
      <c r="H2290" s="1" t="s">
        <v>37</v>
      </c>
      <c r="I2290">
        <v>2678.99</v>
      </c>
      <c r="J2290">
        <v>3152.28</v>
      </c>
      <c r="K2290" s="1" t="s">
        <v>20</v>
      </c>
      <c r="L2290">
        <v>0.22</v>
      </c>
      <c r="M2290" s="1" t="s">
        <v>21</v>
      </c>
      <c r="N2290" s="1" t="s">
        <v>33</v>
      </c>
      <c r="O2290" s="1" t="s">
        <v>90</v>
      </c>
      <c r="P2290">
        <v>85727.679999999993</v>
      </c>
      <c r="Q2290">
        <v>2023</v>
      </c>
      <c r="R2290">
        <v>78680.908800000005</v>
      </c>
      <c r="S2290">
        <v>-7046.7711999999883</v>
      </c>
      <c r="T2290" s="1" t="s">
        <v>166</v>
      </c>
      <c r="U2290">
        <v>-8.9561385442461797E-2</v>
      </c>
    </row>
    <row r="2291" spans="1:21" x14ac:dyDescent="0.3">
      <c r="A2291" s="1" t="s">
        <v>155</v>
      </c>
      <c r="B2291" s="1" t="s">
        <v>129</v>
      </c>
      <c r="C2291" s="2">
        <v>45250</v>
      </c>
      <c r="D2291" s="1" t="s">
        <v>59</v>
      </c>
      <c r="E2291" s="1" t="s">
        <v>44</v>
      </c>
      <c r="F2291">
        <v>388.78</v>
      </c>
      <c r="G2291">
        <v>5</v>
      </c>
      <c r="H2291" s="1" t="s">
        <v>57</v>
      </c>
      <c r="I2291">
        <v>734.92</v>
      </c>
      <c r="J2291">
        <v>991.21</v>
      </c>
      <c r="K2291" s="1" t="s">
        <v>20</v>
      </c>
      <c r="L2291">
        <v>0.21</v>
      </c>
      <c r="M2291" s="1" t="s">
        <v>27</v>
      </c>
      <c r="N2291" s="1" t="s">
        <v>22</v>
      </c>
      <c r="O2291" s="1" t="s">
        <v>60</v>
      </c>
      <c r="P2291">
        <v>3674.6</v>
      </c>
      <c r="Q2291">
        <v>2023</v>
      </c>
      <c r="R2291">
        <v>3915.2795000000001</v>
      </c>
      <c r="S2291">
        <v>240.67950000000019</v>
      </c>
      <c r="T2291" s="1" t="s">
        <v>166</v>
      </c>
      <c r="U2291">
        <v>6.1471856606916599E-2</v>
      </c>
    </row>
    <row r="2292" spans="1:21" x14ac:dyDescent="0.3">
      <c r="A2292" s="1" t="s">
        <v>155</v>
      </c>
      <c r="B2292" s="1" t="s">
        <v>94</v>
      </c>
      <c r="C2292" s="2">
        <v>45250</v>
      </c>
      <c r="D2292" s="1" t="s">
        <v>43</v>
      </c>
      <c r="E2292" s="1" t="s">
        <v>18</v>
      </c>
      <c r="F2292">
        <v>5858.06</v>
      </c>
      <c r="G2292">
        <v>1</v>
      </c>
      <c r="H2292" s="1" t="s">
        <v>57</v>
      </c>
      <c r="I2292">
        <v>4190.83</v>
      </c>
      <c r="J2292">
        <v>4528.7700000000004</v>
      </c>
      <c r="K2292" s="1" t="s">
        <v>20</v>
      </c>
      <c r="L2292">
        <v>0.22</v>
      </c>
      <c r="M2292" s="1" t="s">
        <v>32</v>
      </c>
      <c r="N2292" s="1" t="s">
        <v>22</v>
      </c>
      <c r="O2292" s="1" t="s">
        <v>62</v>
      </c>
      <c r="P2292">
        <v>4190.83</v>
      </c>
      <c r="Q2292">
        <v>2023</v>
      </c>
      <c r="R2292">
        <v>3532.4406000000004</v>
      </c>
      <c r="S2292">
        <v>-658.38939999999957</v>
      </c>
      <c r="T2292" s="1" t="s">
        <v>166</v>
      </c>
      <c r="U2292">
        <v>-0.186383714421128</v>
      </c>
    </row>
    <row r="2293" spans="1:21" x14ac:dyDescent="0.3">
      <c r="A2293" s="1" t="s">
        <v>155</v>
      </c>
      <c r="B2293" s="1" t="s">
        <v>125</v>
      </c>
      <c r="C2293" s="2">
        <v>45250</v>
      </c>
      <c r="D2293" s="1" t="s">
        <v>59</v>
      </c>
      <c r="E2293" s="1" t="s">
        <v>44</v>
      </c>
      <c r="F2293">
        <v>5454.96</v>
      </c>
      <c r="G2293">
        <v>32</v>
      </c>
      <c r="H2293" s="1" t="s">
        <v>19</v>
      </c>
      <c r="I2293">
        <v>700.49</v>
      </c>
      <c r="J2293">
        <v>1126.52</v>
      </c>
      <c r="K2293" s="1" t="s">
        <v>26</v>
      </c>
      <c r="L2293">
        <v>0.28999999999999998</v>
      </c>
      <c r="M2293" s="1" t="s">
        <v>27</v>
      </c>
      <c r="N2293" s="1" t="s">
        <v>33</v>
      </c>
      <c r="O2293" s="1" t="s">
        <v>60</v>
      </c>
      <c r="P2293">
        <v>22415.68</v>
      </c>
      <c r="Q2293">
        <v>2023</v>
      </c>
      <c r="R2293">
        <v>25594.534399999997</v>
      </c>
      <c r="S2293">
        <v>3178.8543999999965</v>
      </c>
      <c r="T2293" s="1" t="s">
        <v>166</v>
      </c>
      <c r="U2293">
        <v>0.124200516810339</v>
      </c>
    </row>
    <row r="2294" spans="1:21" x14ac:dyDescent="0.3">
      <c r="A2294" s="1" t="s">
        <v>155</v>
      </c>
      <c r="B2294" s="1" t="s">
        <v>84</v>
      </c>
      <c r="C2294" s="2">
        <v>45250</v>
      </c>
      <c r="D2294" s="1" t="s">
        <v>43</v>
      </c>
      <c r="E2294" s="1" t="s">
        <v>30</v>
      </c>
      <c r="F2294">
        <v>2396.98</v>
      </c>
      <c r="G2294">
        <v>15</v>
      </c>
      <c r="H2294" s="1" t="s">
        <v>31</v>
      </c>
      <c r="I2294">
        <v>3420.72</v>
      </c>
      <c r="J2294">
        <v>3513.74</v>
      </c>
      <c r="K2294" s="1" t="s">
        <v>26</v>
      </c>
      <c r="L2294">
        <v>0.02</v>
      </c>
      <c r="M2294" s="1" t="s">
        <v>21</v>
      </c>
      <c r="N2294" s="1" t="s">
        <v>22</v>
      </c>
      <c r="O2294" s="1" t="s">
        <v>54</v>
      </c>
      <c r="P2294">
        <v>51310.799999999996</v>
      </c>
      <c r="Q2294">
        <v>2023</v>
      </c>
      <c r="R2294">
        <v>51651.977999999996</v>
      </c>
      <c r="S2294">
        <v>341.17799999999988</v>
      </c>
      <c r="T2294" s="1" t="s">
        <v>166</v>
      </c>
      <c r="U2294">
        <v>6.6053230333211997E-3</v>
      </c>
    </row>
    <row r="2295" spans="1:21" x14ac:dyDescent="0.3">
      <c r="A2295" s="1" t="s">
        <v>155</v>
      </c>
      <c r="B2295" s="1" t="s">
        <v>130</v>
      </c>
      <c r="C2295" s="2">
        <v>45252</v>
      </c>
      <c r="D2295" s="1" t="s">
        <v>36</v>
      </c>
      <c r="E2295" s="1" t="s">
        <v>40</v>
      </c>
      <c r="F2295">
        <v>9762.5400000000009</v>
      </c>
      <c r="G2295">
        <v>17</v>
      </c>
      <c r="H2295" s="1" t="s">
        <v>57</v>
      </c>
      <c r="I2295">
        <v>3184.65</v>
      </c>
      <c r="J2295">
        <v>3204.01</v>
      </c>
      <c r="K2295" s="1" t="s">
        <v>26</v>
      </c>
      <c r="L2295">
        <v>0.2</v>
      </c>
      <c r="M2295" s="1" t="s">
        <v>32</v>
      </c>
      <c r="N2295" s="1" t="s">
        <v>22</v>
      </c>
      <c r="O2295" s="1" t="s">
        <v>41</v>
      </c>
      <c r="P2295">
        <v>54139.05</v>
      </c>
      <c r="Q2295">
        <v>2023</v>
      </c>
      <c r="R2295">
        <v>43574.536000000007</v>
      </c>
      <c r="S2295">
        <v>-10564.513999999996</v>
      </c>
      <c r="T2295" s="1" t="s">
        <v>166</v>
      </c>
      <c r="U2295">
        <v>-0.24244696489711301</v>
      </c>
    </row>
    <row r="2296" spans="1:21" x14ac:dyDescent="0.3">
      <c r="A2296" s="1" t="s">
        <v>155</v>
      </c>
      <c r="B2296" s="1" t="s">
        <v>149</v>
      </c>
      <c r="C2296" s="2">
        <v>45252</v>
      </c>
      <c r="D2296" s="1" t="s">
        <v>25</v>
      </c>
      <c r="E2296" s="1" t="s">
        <v>18</v>
      </c>
      <c r="F2296">
        <v>862.1</v>
      </c>
      <c r="G2296">
        <v>22</v>
      </c>
      <c r="H2296" s="1" t="s">
        <v>31</v>
      </c>
      <c r="I2296">
        <v>3285.25</v>
      </c>
      <c r="J2296">
        <v>3634.58</v>
      </c>
      <c r="K2296" s="1" t="s">
        <v>26</v>
      </c>
      <c r="L2296">
        <v>0.13</v>
      </c>
      <c r="M2296" s="1" t="s">
        <v>32</v>
      </c>
      <c r="N2296" s="1" t="s">
        <v>22</v>
      </c>
      <c r="O2296" s="1" t="s">
        <v>28</v>
      </c>
      <c r="P2296">
        <v>72275.5</v>
      </c>
      <c r="Q2296">
        <v>2023</v>
      </c>
      <c r="R2296">
        <v>69565.861199999999</v>
      </c>
      <c r="S2296">
        <v>-2709.6388000000006</v>
      </c>
      <c r="T2296" s="1" t="s">
        <v>166</v>
      </c>
      <c r="U2296">
        <v>-3.8950697271034403E-2</v>
      </c>
    </row>
    <row r="2297" spans="1:21" x14ac:dyDescent="0.3">
      <c r="A2297" s="1" t="s">
        <v>155</v>
      </c>
      <c r="B2297" s="1" t="s">
        <v>96</v>
      </c>
      <c r="C2297" s="2">
        <v>45252</v>
      </c>
      <c r="D2297" s="1" t="s">
        <v>59</v>
      </c>
      <c r="E2297" s="1" t="s">
        <v>40</v>
      </c>
      <c r="F2297">
        <v>8085.98</v>
      </c>
      <c r="G2297">
        <v>15</v>
      </c>
      <c r="H2297" s="1" t="s">
        <v>19</v>
      </c>
      <c r="I2297">
        <v>894.48</v>
      </c>
      <c r="J2297">
        <v>1336.37</v>
      </c>
      <c r="K2297" s="1" t="s">
        <v>20</v>
      </c>
      <c r="L2297">
        <v>0.26</v>
      </c>
      <c r="M2297" s="1" t="s">
        <v>21</v>
      </c>
      <c r="N2297" s="1" t="s">
        <v>33</v>
      </c>
      <c r="O2297" s="1" t="s">
        <v>90</v>
      </c>
      <c r="P2297">
        <v>13417.2</v>
      </c>
      <c r="Q2297">
        <v>2023</v>
      </c>
      <c r="R2297">
        <v>14833.706999999999</v>
      </c>
      <c r="S2297">
        <v>1416.5069999999978</v>
      </c>
      <c r="T2297" s="1" t="s">
        <v>166</v>
      </c>
      <c r="U2297">
        <v>9.5492448381244002E-2</v>
      </c>
    </row>
    <row r="2298" spans="1:21" x14ac:dyDescent="0.3">
      <c r="A2298" s="1" t="s">
        <v>155</v>
      </c>
      <c r="B2298" s="1" t="s">
        <v>105</v>
      </c>
      <c r="C2298" s="2">
        <v>45253</v>
      </c>
      <c r="D2298" s="1" t="s">
        <v>17</v>
      </c>
      <c r="E2298" s="1" t="s">
        <v>44</v>
      </c>
      <c r="F2298">
        <v>5490.52</v>
      </c>
      <c r="G2298">
        <v>26</v>
      </c>
      <c r="H2298" s="1" t="s">
        <v>19</v>
      </c>
      <c r="I2298">
        <v>4906.8500000000004</v>
      </c>
      <c r="J2298">
        <v>4954.3900000000003</v>
      </c>
      <c r="K2298" s="1" t="s">
        <v>26</v>
      </c>
      <c r="L2298">
        <v>0.25</v>
      </c>
      <c r="M2298" s="1" t="s">
        <v>32</v>
      </c>
      <c r="N2298" s="1" t="s">
        <v>22</v>
      </c>
      <c r="O2298" s="1" t="s">
        <v>49</v>
      </c>
      <c r="P2298">
        <v>127578.1</v>
      </c>
      <c r="Q2298">
        <v>2023</v>
      </c>
      <c r="R2298">
        <v>96610.60500000001</v>
      </c>
      <c r="S2298">
        <v>-30967.494999999995</v>
      </c>
      <c r="T2298" s="1" t="s">
        <v>166</v>
      </c>
      <c r="U2298">
        <v>-0.32053929276190701</v>
      </c>
    </row>
    <row r="2299" spans="1:21" x14ac:dyDescent="0.3">
      <c r="A2299" s="1" t="s">
        <v>155</v>
      </c>
      <c r="B2299" s="1" t="s">
        <v>68</v>
      </c>
      <c r="C2299" s="2">
        <v>45254</v>
      </c>
      <c r="D2299" s="1" t="s">
        <v>43</v>
      </c>
      <c r="E2299" s="1" t="s">
        <v>44</v>
      </c>
      <c r="F2299">
        <v>9183.11</v>
      </c>
      <c r="G2299">
        <v>18</v>
      </c>
      <c r="H2299" s="1" t="s">
        <v>57</v>
      </c>
      <c r="I2299">
        <v>1239.0899999999999</v>
      </c>
      <c r="J2299">
        <v>1273.98</v>
      </c>
      <c r="K2299" s="1" t="s">
        <v>26</v>
      </c>
      <c r="L2299">
        <v>0.02</v>
      </c>
      <c r="M2299" s="1" t="s">
        <v>32</v>
      </c>
      <c r="N2299" s="1" t="s">
        <v>33</v>
      </c>
      <c r="O2299" s="1" t="s">
        <v>45</v>
      </c>
      <c r="P2299">
        <v>22303.62</v>
      </c>
      <c r="Q2299">
        <v>2023</v>
      </c>
      <c r="R2299">
        <v>22473.0072</v>
      </c>
      <c r="S2299">
        <v>169.38720000000103</v>
      </c>
      <c r="T2299" s="1" t="s">
        <v>166</v>
      </c>
      <c r="U2299">
        <v>7.5373624229516101E-3</v>
      </c>
    </row>
    <row r="2300" spans="1:21" x14ac:dyDescent="0.3">
      <c r="A2300" s="1" t="s">
        <v>155</v>
      </c>
      <c r="B2300" s="1" t="s">
        <v>126</v>
      </c>
      <c r="C2300" s="2">
        <v>45254</v>
      </c>
      <c r="D2300" s="1" t="s">
        <v>59</v>
      </c>
      <c r="E2300" s="1" t="s">
        <v>44</v>
      </c>
      <c r="F2300">
        <v>5511.11</v>
      </c>
      <c r="G2300">
        <v>25</v>
      </c>
      <c r="H2300" s="1" t="s">
        <v>19</v>
      </c>
      <c r="I2300">
        <v>481.19</v>
      </c>
      <c r="J2300">
        <v>693.4</v>
      </c>
      <c r="K2300" s="1" t="s">
        <v>26</v>
      </c>
      <c r="L2300">
        <v>0.27</v>
      </c>
      <c r="M2300" s="1" t="s">
        <v>27</v>
      </c>
      <c r="N2300" s="1" t="s">
        <v>33</v>
      </c>
      <c r="O2300" s="1" t="s">
        <v>60</v>
      </c>
      <c r="P2300">
        <v>12029.75</v>
      </c>
      <c r="Q2300">
        <v>2023</v>
      </c>
      <c r="R2300">
        <v>12654.55</v>
      </c>
      <c r="S2300">
        <v>624.79999999999927</v>
      </c>
      <c r="T2300" s="1" t="s">
        <v>166</v>
      </c>
      <c r="U2300">
        <v>4.9373545483640202E-2</v>
      </c>
    </row>
    <row r="2301" spans="1:21" x14ac:dyDescent="0.3">
      <c r="A2301" s="1" t="s">
        <v>155</v>
      </c>
      <c r="B2301" s="1" t="s">
        <v>111</v>
      </c>
      <c r="C2301" s="2">
        <v>45254</v>
      </c>
      <c r="D2301" s="1" t="s">
        <v>17</v>
      </c>
      <c r="E2301" s="1" t="s">
        <v>44</v>
      </c>
      <c r="F2301">
        <v>5215.3100000000004</v>
      </c>
      <c r="G2301">
        <v>11</v>
      </c>
      <c r="H2301" s="1" t="s">
        <v>57</v>
      </c>
      <c r="I2301">
        <v>3706.78</v>
      </c>
      <c r="J2301">
        <v>3862.26</v>
      </c>
      <c r="K2301" s="1" t="s">
        <v>26</v>
      </c>
      <c r="L2301">
        <v>0.22</v>
      </c>
      <c r="M2301" s="1" t="s">
        <v>27</v>
      </c>
      <c r="N2301" s="1" t="s">
        <v>33</v>
      </c>
      <c r="O2301" s="1" t="s">
        <v>49</v>
      </c>
      <c r="P2301">
        <v>40774.58</v>
      </c>
      <c r="Q2301">
        <v>2023</v>
      </c>
      <c r="R2301">
        <v>33138.190800000004</v>
      </c>
      <c r="S2301">
        <v>-7636.3891999999978</v>
      </c>
      <c r="T2301" s="1" t="s">
        <v>166</v>
      </c>
      <c r="U2301">
        <v>-0.23044073969180001</v>
      </c>
    </row>
    <row r="2302" spans="1:21" x14ac:dyDescent="0.3">
      <c r="A2302" s="1" t="s">
        <v>155</v>
      </c>
      <c r="B2302" s="1" t="s">
        <v>64</v>
      </c>
      <c r="C2302" s="2">
        <v>45254</v>
      </c>
      <c r="D2302" s="1" t="s">
        <v>17</v>
      </c>
      <c r="E2302" s="1" t="s">
        <v>18</v>
      </c>
      <c r="F2302">
        <v>213.04</v>
      </c>
      <c r="G2302">
        <v>15</v>
      </c>
      <c r="H2302" s="1" t="s">
        <v>57</v>
      </c>
      <c r="I2302">
        <v>3771.27</v>
      </c>
      <c r="J2302">
        <v>4212.55</v>
      </c>
      <c r="K2302" s="1" t="s">
        <v>20</v>
      </c>
      <c r="L2302">
        <v>0.16</v>
      </c>
      <c r="M2302" s="1" t="s">
        <v>27</v>
      </c>
      <c r="N2302" s="1" t="s">
        <v>33</v>
      </c>
      <c r="O2302" s="1" t="s">
        <v>23</v>
      </c>
      <c r="P2302">
        <v>56569.05</v>
      </c>
      <c r="Q2302">
        <v>2023</v>
      </c>
      <c r="R2302">
        <v>53078.13</v>
      </c>
      <c r="S2302">
        <v>-3490.9200000000055</v>
      </c>
      <c r="T2302" s="1" t="s">
        <v>166</v>
      </c>
      <c r="U2302">
        <v>-6.5769460981387404E-2</v>
      </c>
    </row>
    <row r="2303" spans="1:21" x14ac:dyDescent="0.3">
      <c r="A2303" s="1" t="s">
        <v>155</v>
      </c>
      <c r="B2303" s="1" t="s">
        <v>97</v>
      </c>
      <c r="C2303" s="2">
        <v>45254</v>
      </c>
      <c r="D2303" s="1" t="s">
        <v>59</v>
      </c>
      <c r="E2303" s="1" t="s">
        <v>30</v>
      </c>
      <c r="F2303">
        <v>3633.17</v>
      </c>
      <c r="G2303">
        <v>22</v>
      </c>
      <c r="H2303" s="1" t="s">
        <v>57</v>
      </c>
      <c r="I2303">
        <v>4691.32</v>
      </c>
      <c r="J2303">
        <v>4752.88</v>
      </c>
      <c r="K2303" s="1" t="s">
        <v>20</v>
      </c>
      <c r="L2303">
        <v>7.0000000000000007E-2</v>
      </c>
      <c r="M2303" s="1" t="s">
        <v>32</v>
      </c>
      <c r="N2303" s="1" t="s">
        <v>33</v>
      </c>
      <c r="O2303" s="1" t="s">
        <v>86</v>
      </c>
      <c r="P2303">
        <v>103209.04</v>
      </c>
      <c r="Q2303">
        <v>2023</v>
      </c>
      <c r="R2303">
        <v>97243.924799999993</v>
      </c>
      <c r="S2303">
        <v>-5965.1152000000002</v>
      </c>
      <c r="T2303" s="1" t="s">
        <v>166</v>
      </c>
      <c r="U2303">
        <v>-6.1341777517396098E-2</v>
      </c>
    </row>
    <row r="2304" spans="1:21" x14ac:dyDescent="0.3">
      <c r="A2304" s="1" t="s">
        <v>155</v>
      </c>
      <c r="B2304" s="1" t="s">
        <v>151</v>
      </c>
      <c r="C2304" s="2">
        <v>45254</v>
      </c>
      <c r="D2304" s="1" t="s">
        <v>59</v>
      </c>
      <c r="E2304" s="1" t="s">
        <v>40</v>
      </c>
      <c r="F2304">
        <v>8049.72</v>
      </c>
      <c r="G2304">
        <v>12</v>
      </c>
      <c r="H2304" s="1" t="s">
        <v>57</v>
      </c>
      <c r="I2304">
        <v>4317.95</v>
      </c>
      <c r="J2304">
        <v>4636.59</v>
      </c>
      <c r="K2304" s="1" t="s">
        <v>26</v>
      </c>
      <c r="L2304">
        <v>0.18</v>
      </c>
      <c r="M2304" s="1" t="s">
        <v>27</v>
      </c>
      <c r="N2304" s="1" t="s">
        <v>33</v>
      </c>
      <c r="O2304" s="1" t="s">
        <v>90</v>
      </c>
      <c r="P2304">
        <v>51815.399999999994</v>
      </c>
      <c r="Q2304">
        <v>2023</v>
      </c>
      <c r="R2304">
        <v>45624.045600000005</v>
      </c>
      <c r="S2304">
        <v>-6191.3543999999893</v>
      </c>
      <c r="T2304" s="1" t="s">
        <v>166</v>
      </c>
      <c r="U2304">
        <v>-0.13570375705568699</v>
      </c>
    </row>
    <row r="2305" spans="1:21" x14ac:dyDescent="0.3">
      <c r="A2305" s="1" t="s">
        <v>155</v>
      </c>
      <c r="B2305" s="1" t="s">
        <v>87</v>
      </c>
      <c r="C2305" s="2">
        <v>45254</v>
      </c>
      <c r="D2305" s="1" t="s">
        <v>17</v>
      </c>
      <c r="E2305" s="1" t="s">
        <v>40</v>
      </c>
      <c r="F2305">
        <v>8906.24</v>
      </c>
      <c r="G2305">
        <v>29</v>
      </c>
      <c r="H2305" s="1" t="s">
        <v>31</v>
      </c>
      <c r="I2305">
        <v>479.58</v>
      </c>
      <c r="J2305">
        <v>909.88</v>
      </c>
      <c r="K2305" s="1" t="s">
        <v>20</v>
      </c>
      <c r="L2305">
        <v>0.13</v>
      </c>
      <c r="M2305" s="1" t="s">
        <v>27</v>
      </c>
      <c r="N2305" s="1" t="s">
        <v>33</v>
      </c>
      <c r="O2305" s="1" t="s">
        <v>67</v>
      </c>
      <c r="P2305">
        <v>13907.82</v>
      </c>
      <c r="Q2305">
        <v>2023</v>
      </c>
      <c r="R2305">
        <v>22956.272400000002</v>
      </c>
      <c r="S2305">
        <v>9048.4524000000019</v>
      </c>
      <c r="T2305" s="1" t="s">
        <v>166</v>
      </c>
      <c r="U2305">
        <v>0.39416035157345503</v>
      </c>
    </row>
    <row r="2306" spans="1:21" x14ac:dyDescent="0.3">
      <c r="A2306" s="1" t="s">
        <v>155</v>
      </c>
      <c r="B2306" s="1" t="s">
        <v>138</v>
      </c>
      <c r="C2306" s="2">
        <v>45255</v>
      </c>
      <c r="D2306" s="1" t="s">
        <v>59</v>
      </c>
      <c r="E2306" s="1" t="s">
        <v>44</v>
      </c>
      <c r="F2306">
        <v>9432.9699999999993</v>
      </c>
      <c r="G2306">
        <v>37</v>
      </c>
      <c r="H2306" s="1" t="s">
        <v>37</v>
      </c>
      <c r="I2306">
        <v>407.77</v>
      </c>
      <c r="J2306">
        <v>860.95</v>
      </c>
      <c r="K2306" s="1" t="s">
        <v>26</v>
      </c>
      <c r="L2306">
        <v>0.1</v>
      </c>
      <c r="M2306" s="1" t="s">
        <v>27</v>
      </c>
      <c r="N2306" s="1" t="s">
        <v>33</v>
      </c>
      <c r="O2306" s="1" t="s">
        <v>60</v>
      </c>
      <c r="P2306">
        <v>15087.49</v>
      </c>
      <c r="Q2306">
        <v>2023</v>
      </c>
      <c r="R2306">
        <v>28669.635000000002</v>
      </c>
      <c r="S2306">
        <v>13582.145000000002</v>
      </c>
      <c r="T2306" s="1" t="s">
        <v>166</v>
      </c>
      <c r="U2306">
        <v>0.47374670099567001</v>
      </c>
    </row>
    <row r="2307" spans="1:21" x14ac:dyDescent="0.3">
      <c r="A2307" s="1" t="s">
        <v>155</v>
      </c>
      <c r="B2307" s="1" t="s">
        <v>52</v>
      </c>
      <c r="C2307" s="2">
        <v>45255</v>
      </c>
      <c r="D2307" s="1" t="s">
        <v>17</v>
      </c>
      <c r="E2307" s="1" t="s">
        <v>18</v>
      </c>
      <c r="F2307">
        <v>3570.15</v>
      </c>
      <c r="G2307">
        <v>42</v>
      </c>
      <c r="H2307" s="1" t="s">
        <v>31</v>
      </c>
      <c r="I2307">
        <v>2120.81</v>
      </c>
      <c r="J2307">
        <v>2611.94</v>
      </c>
      <c r="K2307" s="1" t="s">
        <v>20</v>
      </c>
      <c r="L2307">
        <v>0.23</v>
      </c>
      <c r="M2307" s="1" t="s">
        <v>21</v>
      </c>
      <c r="N2307" s="1" t="s">
        <v>22</v>
      </c>
      <c r="O2307" s="1" t="s">
        <v>23</v>
      </c>
      <c r="P2307">
        <v>89074.02</v>
      </c>
      <c r="Q2307">
        <v>2023</v>
      </c>
      <c r="R2307">
        <v>84470.139599999995</v>
      </c>
      <c r="S2307">
        <v>-4603.8804000000091</v>
      </c>
      <c r="T2307" s="1" t="s">
        <v>166</v>
      </c>
      <c r="U2307">
        <v>-5.4503051868994498E-2</v>
      </c>
    </row>
    <row r="2308" spans="1:21" x14ac:dyDescent="0.3">
      <c r="A2308" s="1" t="s">
        <v>155</v>
      </c>
      <c r="B2308" s="1" t="s">
        <v>156</v>
      </c>
      <c r="C2308" s="2">
        <v>45256</v>
      </c>
      <c r="D2308" s="1" t="s">
        <v>43</v>
      </c>
      <c r="E2308" s="1" t="s">
        <v>30</v>
      </c>
      <c r="F2308">
        <v>1710.73</v>
      </c>
      <c r="G2308">
        <v>3</v>
      </c>
      <c r="H2308" s="1" t="s">
        <v>37</v>
      </c>
      <c r="I2308">
        <v>2009.1</v>
      </c>
      <c r="J2308">
        <v>2186.42</v>
      </c>
      <c r="K2308" s="1" t="s">
        <v>26</v>
      </c>
      <c r="L2308">
        <v>0.25</v>
      </c>
      <c r="M2308" s="1" t="s">
        <v>32</v>
      </c>
      <c r="N2308" s="1" t="s">
        <v>22</v>
      </c>
      <c r="O2308" s="1" t="s">
        <v>54</v>
      </c>
      <c r="P2308">
        <v>6027.2999999999993</v>
      </c>
      <c r="Q2308">
        <v>2023</v>
      </c>
      <c r="R2308">
        <v>4919.4449999999997</v>
      </c>
      <c r="S2308">
        <v>-1107.8549999999996</v>
      </c>
      <c r="T2308" s="1" t="s">
        <v>166</v>
      </c>
      <c r="U2308">
        <v>-0.22519918405429901</v>
      </c>
    </row>
    <row r="2309" spans="1:21" x14ac:dyDescent="0.3">
      <c r="A2309" s="1" t="s">
        <v>155</v>
      </c>
      <c r="B2309" s="1" t="s">
        <v>29</v>
      </c>
      <c r="C2309" s="2">
        <v>45256</v>
      </c>
      <c r="D2309" s="1" t="s">
        <v>36</v>
      </c>
      <c r="E2309" s="1" t="s">
        <v>18</v>
      </c>
      <c r="F2309">
        <v>5813.51</v>
      </c>
      <c r="G2309">
        <v>40</v>
      </c>
      <c r="H2309" s="1" t="s">
        <v>31</v>
      </c>
      <c r="I2309">
        <v>3089.96</v>
      </c>
      <c r="J2309">
        <v>3258.45</v>
      </c>
      <c r="K2309" s="1" t="s">
        <v>26</v>
      </c>
      <c r="L2309">
        <v>0.28999999999999998</v>
      </c>
      <c r="M2309" s="1" t="s">
        <v>21</v>
      </c>
      <c r="N2309" s="1" t="s">
        <v>22</v>
      </c>
      <c r="O2309" s="1" t="s">
        <v>115</v>
      </c>
      <c r="P2309">
        <v>123598.39999999999</v>
      </c>
      <c r="Q2309">
        <v>2023</v>
      </c>
      <c r="R2309">
        <v>92539.98</v>
      </c>
      <c r="S2309">
        <v>-31058.42</v>
      </c>
      <c r="T2309" s="1" t="s">
        <v>166</v>
      </c>
      <c r="U2309">
        <v>-0.335621641586696</v>
      </c>
    </row>
    <row r="2310" spans="1:21" x14ac:dyDescent="0.3">
      <c r="A2310" s="1" t="s">
        <v>155</v>
      </c>
      <c r="B2310" s="1" t="s">
        <v>124</v>
      </c>
      <c r="C2310" s="2">
        <v>45256</v>
      </c>
      <c r="D2310" s="1" t="s">
        <v>59</v>
      </c>
      <c r="E2310" s="1" t="s">
        <v>40</v>
      </c>
      <c r="F2310">
        <v>8727</v>
      </c>
      <c r="G2310">
        <v>39</v>
      </c>
      <c r="H2310" s="1" t="s">
        <v>37</v>
      </c>
      <c r="I2310">
        <v>2041.75</v>
      </c>
      <c r="J2310">
        <v>2299.37</v>
      </c>
      <c r="K2310" s="1" t="s">
        <v>20</v>
      </c>
      <c r="L2310">
        <v>0.24</v>
      </c>
      <c r="M2310" s="1" t="s">
        <v>32</v>
      </c>
      <c r="N2310" s="1" t="s">
        <v>33</v>
      </c>
      <c r="O2310" s="1" t="s">
        <v>90</v>
      </c>
      <c r="P2310">
        <v>79628.25</v>
      </c>
      <c r="Q2310">
        <v>2023</v>
      </c>
      <c r="R2310">
        <v>68153.326799999995</v>
      </c>
      <c r="S2310">
        <v>-11474.923200000005</v>
      </c>
      <c r="T2310" s="1" t="s">
        <v>166</v>
      </c>
      <c r="U2310">
        <v>-0.16836923065654399</v>
      </c>
    </row>
    <row r="2311" spans="1:21" x14ac:dyDescent="0.3">
      <c r="A2311" s="1" t="s">
        <v>155</v>
      </c>
      <c r="B2311" s="1" t="s">
        <v>50</v>
      </c>
      <c r="C2311" s="2">
        <v>45256</v>
      </c>
      <c r="D2311" s="1" t="s">
        <v>17</v>
      </c>
      <c r="E2311" s="1" t="s">
        <v>30</v>
      </c>
      <c r="F2311">
        <v>6339.45</v>
      </c>
      <c r="G2311">
        <v>8</v>
      </c>
      <c r="H2311" s="1" t="s">
        <v>57</v>
      </c>
      <c r="I2311">
        <v>3970.37</v>
      </c>
      <c r="J2311">
        <v>4257.5200000000004</v>
      </c>
      <c r="K2311" s="1" t="s">
        <v>26</v>
      </c>
      <c r="L2311">
        <v>0.11</v>
      </c>
      <c r="M2311" s="1" t="s">
        <v>21</v>
      </c>
      <c r="N2311" s="1" t="s">
        <v>33</v>
      </c>
      <c r="O2311" s="1" t="s">
        <v>34</v>
      </c>
      <c r="P2311">
        <v>31762.959999999999</v>
      </c>
      <c r="Q2311">
        <v>2023</v>
      </c>
      <c r="R2311">
        <v>30313.542400000002</v>
      </c>
      <c r="S2311">
        <v>-1449.417599999997</v>
      </c>
      <c r="T2311" s="1" t="s">
        <v>166</v>
      </c>
      <c r="U2311">
        <v>-4.7814194094319903E-2</v>
      </c>
    </row>
    <row r="2312" spans="1:21" x14ac:dyDescent="0.3">
      <c r="A2312" s="1" t="s">
        <v>155</v>
      </c>
      <c r="B2312" s="1" t="s">
        <v>138</v>
      </c>
      <c r="C2312" s="2">
        <v>45256</v>
      </c>
      <c r="D2312" s="1" t="s">
        <v>25</v>
      </c>
      <c r="E2312" s="1" t="s">
        <v>40</v>
      </c>
      <c r="F2312">
        <v>8231.74</v>
      </c>
      <c r="G2312">
        <v>7</v>
      </c>
      <c r="H2312" s="1" t="s">
        <v>57</v>
      </c>
      <c r="I2312">
        <v>4257.24</v>
      </c>
      <c r="J2312">
        <v>4355.87</v>
      </c>
      <c r="K2312" s="1" t="s">
        <v>20</v>
      </c>
      <c r="L2312">
        <v>0.03</v>
      </c>
      <c r="M2312" s="1" t="s">
        <v>32</v>
      </c>
      <c r="N2312" s="1" t="s">
        <v>22</v>
      </c>
      <c r="O2312" s="1" t="s">
        <v>83</v>
      </c>
      <c r="P2312">
        <v>29800.68</v>
      </c>
      <c r="Q2312">
        <v>2023</v>
      </c>
      <c r="R2312">
        <v>29576.3573</v>
      </c>
      <c r="S2312">
        <v>-224.32270000000062</v>
      </c>
      <c r="T2312" s="1" t="s">
        <v>166</v>
      </c>
      <c r="U2312">
        <v>-7.5845276591921798E-3</v>
      </c>
    </row>
    <row r="2313" spans="1:21" x14ac:dyDescent="0.3">
      <c r="A2313" s="1" t="s">
        <v>155</v>
      </c>
      <c r="B2313" s="1" t="s">
        <v>64</v>
      </c>
      <c r="C2313" s="2">
        <v>45257</v>
      </c>
      <c r="D2313" s="1" t="s">
        <v>59</v>
      </c>
      <c r="E2313" s="1" t="s">
        <v>30</v>
      </c>
      <c r="F2313">
        <v>6483.84</v>
      </c>
      <c r="G2313">
        <v>31</v>
      </c>
      <c r="H2313" s="1" t="s">
        <v>31</v>
      </c>
      <c r="I2313">
        <v>2254.9899999999998</v>
      </c>
      <c r="J2313">
        <v>2441.79</v>
      </c>
      <c r="K2313" s="1" t="s">
        <v>20</v>
      </c>
      <c r="L2313">
        <v>0.24</v>
      </c>
      <c r="M2313" s="1" t="s">
        <v>32</v>
      </c>
      <c r="N2313" s="1" t="s">
        <v>22</v>
      </c>
      <c r="O2313" s="1" t="s">
        <v>86</v>
      </c>
      <c r="P2313">
        <v>69904.689999999988</v>
      </c>
      <c r="Q2313">
        <v>2023</v>
      </c>
      <c r="R2313">
        <v>57528.572400000005</v>
      </c>
      <c r="S2313">
        <v>-12376.117599999983</v>
      </c>
      <c r="T2313" s="1" t="s">
        <v>166</v>
      </c>
      <c r="U2313">
        <v>-0.215129927333291</v>
      </c>
    </row>
    <row r="2314" spans="1:21" x14ac:dyDescent="0.3">
      <c r="A2314" s="1" t="s">
        <v>155</v>
      </c>
      <c r="B2314" s="1" t="s">
        <v>81</v>
      </c>
      <c r="C2314" s="2">
        <v>45258</v>
      </c>
      <c r="D2314" s="1" t="s">
        <v>25</v>
      </c>
      <c r="E2314" s="1" t="s">
        <v>40</v>
      </c>
      <c r="F2314">
        <v>4860.8100000000004</v>
      </c>
      <c r="G2314">
        <v>6</v>
      </c>
      <c r="H2314" s="1" t="s">
        <v>37</v>
      </c>
      <c r="I2314">
        <v>3703.93</v>
      </c>
      <c r="J2314">
        <v>3840.24</v>
      </c>
      <c r="K2314" s="1" t="s">
        <v>26</v>
      </c>
      <c r="L2314">
        <v>7.0000000000000007E-2</v>
      </c>
      <c r="M2314" s="1" t="s">
        <v>27</v>
      </c>
      <c r="N2314" s="1" t="s">
        <v>22</v>
      </c>
      <c r="O2314" s="1" t="s">
        <v>83</v>
      </c>
      <c r="P2314">
        <v>22223.579999999998</v>
      </c>
      <c r="Q2314">
        <v>2023</v>
      </c>
      <c r="R2314">
        <v>21428.539199999996</v>
      </c>
      <c r="S2314">
        <v>-795.04080000000249</v>
      </c>
      <c r="T2314" s="1" t="s">
        <v>166</v>
      </c>
      <c r="U2314">
        <v>-3.71019598013477E-2</v>
      </c>
    </row>
    <row r="2315" spans="1:21" x14ac:dyDescent="0.3">
      <c r="A2315" s="1" t="s">
        <v>155</v>
      </c>
      <c r="B2315" s="1" t="s">
        <v>139</v>
      </c>
      <c r="C2315" s="2">
        <v>45258</v>
      </c>
      <c r="D2315" s="1" t="s">
        <v>36</v>
      </c>
      <c r="E2315" s="1" t="s">
        <v>40</v>
      </c>
      <c r="F2315">
        <v>152.6</v>
      </c>
      <c r="G2315">
        <v>43</v>
      </c>
      <c r="H2315" s="1" t="s">
        <v>31</v>
      </c>
      <c r="I2315">
        <v>1200.4000000000001</v>
      </c>
      <c r="J2315">
        <v>1430.45</v>
      </c>
      <c r="K2315" s="1" t="s">
        <v>26</v>
      </c>
      <c r="L2315">
        <v>0.08</v>
      </c>
      <c r="M2315" s="1" t="s">
        <v>32</v>
      </c>
      <c r="N2315" s="1" t="s">
        <v>33</v>
      </c>
      <c r="O2315" s="1" t="s">
        <v>41</v>
      </c>
      <c r="P2315">
        <v>51617.200000000004</v>
      </c>
      <c r="Q2315">
        <v>2023</v>
      </c>
      <c r="R2315">
        <v>56588.601999999999</v>
      </c>
      <c r="S2315">
        <v>4971.4019999999946</v>
      </c>
      <c r="T2315" s="1" t="s">
        <v>166</v>
      </c>
      <c r="U2315">
        <v>8.7851648994615505E-2</v>
      </c>
    </row>
    <row r="2316" spans="1:21" x14ac:dyDescent="0.3">
      <c r="A2316" s="1" t="s">
        <v>155</v>
      </c>
      <c r="B2316" s="1" t="s">
        <v>24</v>
      </c>
      <c r="C2316" s="2">
        <v>45258</v>
      </c>
      <c r="D2316" s="1" t="s">
        <v>36</v>
      </c>
      <c r="E2316" s="1" t="s">
        <v>40</v>
      </c>
      <c r="F2316">
        <v>8719.6200000000008</v>
      </c>
      <c r="G2316">
        <v>8</v>
      </c>
      <c r="H2316" s="1" t="s">
        <v>31</v>
      </c>
      <c r="I2316">
        <v>4349.34</v>
      </c>
      <c r="J2316">
        <v>4629.9799999999996</v>
      </c>
      <c r="K2316" s="1" t="s">
        <v>20</v>
      </c>
      <c r="L2316">
        <v>0.01</v>
      </c>
      <c r="M2316" s="1" t="s">
        <v>27</v>
      </c>
      <c r="N2316" s="1" t="s">
        <v>22</v>
      </c>
      <c r="O2316" s="1" t="s">
        <v>41</v>
      </c>
      <c r="P2316">
        <v>34794.720000000001</v>
      </c>
      <c r="Q2316">
        <v>2023</v>
      </c>
      <c r="R2316">
        <v>36669.441599999998</v>
      </c>
      <c r="S2316">
        <v>1874.7215999999971</v>
      </c>
      <c r="T2316" s="1" t="s">
        <v>166</v>
      </c>
      <c r="U2316">
        <v>5.1124901776524401E-2</v>
      </c>
    </row>
    <row r="2317" spans="1:21" x14ac:dyDescent="0.3">
      <c r="A2317" s="1" t="s">
        <v>155</v>
      </c>
      <c r="B2317" s="1" t="s">
        <v>51</v>
      </c>
      <c r="C2317" s="2">
        <v>45259</v>
      </c>
      <c r="D2317" s="1" t="s">
        <v>36</v>
      </c>
      <c r="E2317" s="1" t="s">
        <v>18</v>
      </c>
      <c r="F2317">
        <v>333.59</v>
      </c>
      <c r="G2317">
        <v>24</v>
      </c>
      <c r="H2317" s="1" t="s">
        <v>31</v>
      </c>
      <c r="I2317">
        <v>3305.94</v>
      </c>
      <c r="J2317">
        <v>3599.27</v>
      </c>
      <c r="K2317" s="1" t="s">
        <v>26</v>
      </c>
      <c r="L2317">
        <v>0.09</v>
      </c>
      <c r="M2317" s="1" t="s">
        <v>27</v>
      </c>
      <c r="N2317" s="1" t="s">
        <v>33</v>
      </c>
      <c r="O2317" s="1" t="s">
        <v>115</v>
      </c>
      <c r="P2317">
        <v>79342.559999999998</v>
      </c>
      <c r="Q2317">
        <v>2023</v>
      </c>
      <c r="R2317">
        <v>78608.056800000006</v>
      </c>
      <c r="S2317">
        <v>-734.50319999999192</v>
      </c>
      <c r="T2317" s="1" t="s">
        <v>166</v>
      </c>
      <c r="U2317">
        <v>-9.3438666454860406E-3</v>
      </c>
    </row>
    <row r="2318" spans="1:21" x14ac:dyDescent="0.3">
      <c r="A2318" s="1" t="s">
        <v>155</v>
      </c>
      <c r="B2318" s="1" t="s">
        <v>53</v>
      </c>
      <c r="C2318" s="2">
        <v>45259</v>
      </c>
      <c r="D2318" s="1" t="s">
        <v>43</v>
      </c>
      <c r="E2318" s="1" t="s">
        <v>40</v>
      </c>
      <c r="F2318">
        <v>5127.2700000000004</v>
      </c>
      <c r="G2318">
        <v>7</v>
      </c>
      <c r="H2318" s="1" t="s">
        <v>57</v>
      </c>
      <c r="I2318">
        <v>737.9</v>
      </c>
      <c r="J2318">
        <v>1182</v>
      </c>
      <c r="K2318" s="1" t="s">
        <v>26</v>
      </c>
      <c r="L2318">
        <v>0.23</v>
      </c>
      <c r="M2318" s="1" t="s">
        <v>27</v>
      </c>
      <c r="N2318" s="1" t="s">
        <v>33</v>
      </c>
      <c r="O2318" s="1" t="s">
        <v>99</v>
      </c>
      <c r="P2318">
        <v>5165.3</v>
      </c>
      <c r="Q2318">
        <v>2023</v>
      </c>
      <c r="R2318">
        <v>6370.9800000000005</v>
      </c>
      <c r="S2318">
        <v>1205.6800000000003</v>
      </c>
      <c r="T2318" s="1" t="s">
        <v>166</v>
      </c>
      <c r="U2318">
        <v>0.18924561056540801</v>
      </c>
    </row>
    <row r="2319" spans="1:21" x14ac:dyDescent="0.3">
      <c r="A2319" s="1" t="s">
        <v>155</v>
      </c>
      <c r="B2319" s="1" t="s">
        <v>153</v>
      </c>
      <c r="C2319" s="2">
        <v>45260</v>
      </c>
      <c r="D2319" s="1" t="s">
        <v>59</v>
      </c>
      <c r="E2319" s="1" t="s">
        <v>30</v>
      </c>
      <c r="F2319">
        <v>6261.9</v>
      </c>
      <c r="G2319">
        <v>41</v>
      </c>
      <c r="H2319" s="1" t="s">
        <v>37</v>
      </c>
      <c r="I2319">
        <v>1196.42</v>
      </c>
      <c r="J2319">
        <v>1444.97</v>
      </c>
      <c r="K2319" s="1" t="s">
        <v>20</v>
      </c>
      <c r="L2319">
        <v>0.21</v>
      </c>
      <c r="M2319" s="1" t="s">
        <v>32</v>
      </c>
      <c r="N2319" s="1" t="s">
        <v>22</v>
      </c>
      <c r="O2319" s="1" t="s">
        <v>86</v>
      </c>
      <c r="P2319">
        <v>49053.22</v>
      </c>
      <c r="Q2319">
        <v>2023</v>
      </c>
      <c r="R2319">
        <v>46802.578300000008</v>
      </c>
      <c r="S2319">
        <v>-2250.6416999999929</v>
      </c>
      <c r="T2319" s="1" t="s">
        <v>166</v>
      </c>
      <c r="U2319">
        <v>-4.8087985357849201E-2</v>
      </c>
    </row>
    <row r="2320" spans="1:21" x14ac:dyDescent="0.3">
      <c r="A2320" s="1" t="s">
        <v>155</v>
      </c>
      <c r="B2320" s="1" t="s">
        <v>143</v>
      </c>
      <c r="C2320" s="2">
        <v>45261</v>
      </c>
      <c r="D2320" s="1" t="s">
        <v>25</v>
      </c>
      <c r="E2320" s="1" t="s">
        <v>40</v>
      </c>
      <c r="F2320">
        <v>4102.47</v>
      </c>
      <c r="G2320">
        <v>8</v>
      </c>
      <c r="H2320" s="1" t="s">
        <v>31</v>
      </c>
      <c r="I2320">
        <v>3513</v>
      </c>
      <c r="J2320">
        <v>3838.42</v>
      </c>
      <c r="K2320" s="1" t="s">
        <v>20</v>
      </c>
      <c r="L2320">
        <v>0.13</v>
      </c>
      <c r="M2320" s="1" t="s">
        <v>32</v>
      </c>
      <c r="N2320" s="1" t="s">
        <v>22</v>
      </c>
      <c r="O2320" s="1" t="s">
        <v>83</v>
      </c>
      <c r="P2320">
        <v>28104</v>
      </c>
      <c r="Q2320">
        <v>2023</v>
      </c>
      <c r="R2320">
        <v>26715.403200000001</v>
      </c>
      <c r="S2320">
        <v>-1388.5967999999993</v>
      </c>
      <c r="T2320" s="1" t="s">
        <v>166</v>
      </c>
      <c r="U2320">
        <v>-5.1977385091459098E-2</v>
      </c>
    </row>
    <row r="2321" spans="1:21" x14ac:dyDescent="0.3">
      <c r="A2321" s="1" t="s">
        <v>155</v>
      </c>
      <c r="B2321" s="1" t="s">
        <v>150</v>
      </c>
      <c r="C2321" s="2">
        <v>45261</v>
      </c>
      <c r="D2321" s="1" t="s">
        <v>36</v>
      </c>
      <c r="E2321" s="1" t="s">
        <v>40</v>
      </c>
      <c r="F2321">
        <v>5238.42</v>
      </c>
      <c r="G2321">
        <v>40</v>
      </c>
      <c r="H2321" s="1" t="s">
        <v>31</v>
      </c>
      <c r="I2321">
        <v>2565.3000000000002</v>
      </c>
      <c r="J2321">
        <v>3007.47</v>
      </c>
      <c r="K2321" s="1" t="s">
        <v>20</v>
      </c>
      <c r="L2321">
        <v>0.17</v>
      </c>
      <c r="M2321" s="1" t="s">
        <v>27</v>
      </c>
      <c r="N2321" s="1" t="s">
        <v>33</v>
      </c>
      <c r="O2321" s="1" t="s">
        <v>41</v>
      </c>
      <c r="P2321">
        <v>102612</v>
      </c>
      <c r="Q2321">
        <v>2023</v>
      </c>
      <c r="R2321">
        <v>99848.003999999986</v>
      </c>
      <c r="S2321">
        <v>-2763.9960000000137</v>
      </c>
      <c r="T2321" s="1" t="s">
        <v>166</v>
      </c>
      <c r="U2321">
        <v>-2.7682035586810701E-2</v>
      </c>
    </row>
    <row r="2322" spans="1:21" x14ac:dyDescent="0.3">
      <c r="A2322" s="1" t="s">
        <v>155</v>
      </c>
      <c r="B2322" s="1" t="s">
        <v>117</v>
      </c>
      <c r="C2322" s="2">
        <v>45261</v>
      </c>
      <c r="D2322" s="1" t="s">
        <v>43</v>
      </c>
      <c r="E2322" s="1" t="s">
        <v>44</v>
      </c>
      <c r="F2322">
        <v>2962.96</v>
      </c>
      <c r="G2322">
        <v>20</v>
      </c>
      <c r="H2322" s="1" t="s">
        <v>31</v>
      </c>
      <c r="I2322">
        <v>1994.9</v>
      </c>
      <c r="J2322">
        <v>2066.5</v>
      </c>
      <c r="K2322" s="1" t="s">
        <v>20</v>
      </c>
      <c r="L2322">
        <v>0.06</v>
      </c>
      <c r="M2322" s="1" t="s">
        <v>32</v>
      </c>
      <c r="N2322" s="1" t="s">
        <v>22</v>
      </c>
      <c r="O2322" s="1" t="s">
        <v>45</v>
      </c>
      <c r="P2322">
        <v>39898</v>
      </c>
      <c r="Q2322">
        <v>2023</v>
      </c>
      <c r="R2322">
        <v>38850.199999999997</v>
      </c>
      <c r="S2322">
        <v>-1047.8000000000029</v>
      </c>
      <c r="T2322" s="1" t="s">
        <v>166</v>
      </c>
      <c r="U2322">
        <v>-2.69702601273611E-2</v>
      </c>
    </row>
    <row r="2323" spans="1:21" x14ac:dyDescent="0.3">
      <c r="A2323" s="1" t="s">
        <v>155</v>
      </c>
      <c r="B2323" s="1" t="s">
        <v>136</v>
      </c>
      <c r="C2323" s="2">
        <v>45261</v>
      </c>
      <c r="D2323" s="1" t="s">
        <v>59</v>
      </c>
      <c r="E2323" s="1" t="s">
        <v>44</v>
      </c>
      <c r="F2323">
        <v>1387.8</v>
      </c>
      <c r="G2323">
        <v>34</v>
      </c>
      <c r="H2323" s="1" t="s">
        <v>31</v>
      </c>
      <c r="I2323">
        <v>4991.09</v>
      </c>
      <c r="J2323">
        <v>5402.28</v>
      </c>
      <c r="K2323" s="1" t="s">
        <v>20</v>
      </c>
      <c r="L2323">
        <v>0</v>
      </c>
      <c r="M2323" s="1" t="s">
        <v>21</v>
      </c>
      <c r="N2323" s="1" t="s">
        <v>33</v>
      </c>
      <c r="O2323" s="1" t="s">
        <v>60</v>
      </c>
      <c r="P2323">
        <v>169697.06</v>
      </c>
      <c r="Q2323">
        <v>2023</v>
      </c>
      <c r="R2323">
        <v>183677.52</v>
      </c>
      <c r="S2323">
        <v>13980.459999999992</v>
      </c>
      <c r="T2323" s="1" t="s">
        <v>166</v>
      </c>
      <c r="U2323">
        <v>7.6114159206853396E-2</v>
      </c>
    </row>
    <row r="2324" spans="1:21" x14ac:dyDescent="0.3">
      <c r="A2324" s="1" t="s">
        <v>155</v>
      </c>
      <c r="B2324" s="1" t="s">
        <v>80</v>
      </c>
      <c r="C2324" s="2">
        <v>45262</v>
      </c>
      <c r="D2324" s="1" t="s">
        <v>36</v>
      </c>
      <c r="E2324" s="1" t="s">
        <v>44</v>
      </c>
      <c r="F2324">
        <v>1960.41</v>
      </c>
      <c r="G2324">
        <v>24</v>
      </c>
      <c r="H2324" s="1" t="s">
        <v>37</v>
      </c>
      <c r="I2324">
        <v>2258.54</v>
      </c>
      <c r="J2324">
        <v>2439.4899999999998</v>
      </c>
      <c r="K2324" s="1" t="s">
        <v>20</v>
      </c>
      <c r="L2324">
        <v>0.2</v>
      </c>
      <c r="M2324" s="1" t="s">
        <v>27</v>
      </c>
      <c r="N2324" s="1" t="s">
        <v>33</v>
      </c>
      <c r="O2324" s="1" t="s">
        <v>71</v>
      </c>
      <c r="P2324">
        <v>54204.959999999999</v>
      </c>
      <c r="Q2324">
        <v>2023</v>
      </c>
      <c r="R2324">
        <v>46838.207999999999</v>
      </c>
      <c r="S2324">
        <v>-7366.7520000000004</v>
      </c>
      <c r="T2324" s="1" t="s">
        <v>166</v>
      </c>
      <c r="U2324">
        <v>-0.15728082509048999</v>
      </c>
    </row>
    <row r="2325" spans="1:21" x14ac:dyDescent="0.3">
      <c r="A2325" s="1" t="s">
        <v>155</v>
      </c>
      <c r="B2325" s="1" t="s">
        <v>116</v>
      </c>
      <c r="C2325" s="2">
        <v>45263</v>
      </c>
      <c r="D2325" s="1" t="s">
        <v>43</v>
      </c>
      <c r="E2325" s="1" t="s">
        <v>44</v>
      </c>
      <c r="F2325">
        <v>8186.12</v>
      </c>
      <c r="G2325">
        <v>13</v>
      </c>
      <c r="H2325" s="1" t="s">
        <v>37</v>
      </c>
      <c r="I2325">
        <v>1442.69</v>
      </c>
      <c r="J2325">
        <v>1882.57</v>
      </c>
      <c r="K2325" s="1" t="s">
        <v>20</v>
      </c>
      <c r="L2325">
        <v>0.28000000000000003</v>
      </c>
      <c r="M2325" s="1" t="s">
        <v>21</v>
      </c>
      <c r="N2325" s="1" t="s">
        <v>22</v>
      </c>
      <c r="O2325" s="1" t="s">
        <v>45</v>
      </c>
      <c r="P2325">
        <v>18754.97</v>
      </c>
      <c r="Q2325">
        <v>2023</v>
      </c>
      <c r="R2325">
        <v>17620.855199999998</v>
      </c>
      <c r="S2325">
        <v>-1134.114800000003</v>
      </c>
      <c r="T2325" s="1" t="s">
        <v>166</v>
      </c>
      <c r="U2325">
        <v>-6.4362074776030398E-2</v>
      </c>
    </row>
    <row r="2326" spans="1:21" x14ac:dyDescent="0.3">
      <c r="A2326" s="1" t="s">
        <v>155</v>
      </c>
      <c r="B2326" s="1" t="s">
        <v>108</v>
      </c>
      <c r="C2326" s="2">
        <v>45263</v>
      </c>
      <c r="D2326" s="1" t="s">
        <v>36</v>
      </c>
      <c r="E2326" s="1" t="s">
        <v>44</v>
      </c>
      <c r="F2326">
        <v>719.01</v>
      </c>
      <c r="G2326">
        <v>6</v>
      </c>
      <c r="H2326" s="1" t="s">
        <v>19</v>
      </c>
      <c r="I2326">
        <v>422.74</v>
      </c>
      <c r="J2326">
        <v>737.49</v>
      </c>
      <c r="K2326" s="1" t="s">
        <v>20</v>
      </c>
      <c r="L2326">
        <v>0.19</v>
      </c>
      <c r="M2326" s="1" t="s">
        <v>27</v>
      </c>
      <c r="N2326" s="1" t="s">
        <v>33</v>
      </c>
      <c r="O2326" s="1" t="s">
        <v>71</v>
      </c>
      <c r="P2326">
        <v>2536.44</v>
      </c>
      <c r="Q2326">
        <v>2023</v>
      </c>
      <c r="R2326">
        <v>3584.2014000000008</v>
      </c>
      <c r="S2326">
        <v>1047.7614000000008</v>
      </c>
      <c r="T2326" s="1" t="s">
        <v>166</v>
      </c>
      <c r="U2326">
        <v>0.29232771350404602</v>
      </c>
    </row>
    <row r="2327" spans="1:21" x14ac:dyDescent="0.3">
      <c r="A2327" s="1" t="s">
        <v>155</v>
      </c>
      <c r="B2327" s="1" t="s">
        <v>65</v>
      </c>
      <c r="C2327" s="2">
        <v>45263</v>
      </c>
      <c r="D2327" s="1" t="s">
        <v>36</v>
      </c>
      <c r="E2327" s="1" t="s">
        <v>18</v>
      </c>
      <c r="F2327">
        <v>6521.53</v>
      </c>
      <c r="G2327">
        <v>35</v>
      </c>
      <c r="H2327" s="1" t="s">
        <v>37</v>
      </c>
      <c r="I2327">
        <v>2885.16</v>
      </c>
      <c r="J2327">
        <v>3224.84</v>
      </c>
      <c r="K2327" s="1" t="s">
        <v>26</v>
      </c>
      <c r="L2327">
        <v>0.14000000000000001</v>
      </c>
      <c r="M2327" s="1" t="s">
        <v>21</v>
      </c>
      <c r="N2327" s="1" t="s">
        <v>22</v>
      </c>
      <c r="O2327" s="1" t="s">
        <v>115</v>
      </c>
      <c r="P2327">
        <v>100980.59999999999</v>
      </c>
      <c r="Q2327">
        <v>2023</v>
      </c>
      <c r="R2327">
        <v>97067.684000000008</v>
      </c>
      <c r="S2327">
        <v>-3912.9159999999829</v>
      </c>
      <c r="T2327" s="1" t="s">
        <v>166</v>
      </c>
      <c r="U2327">
        <v>-4.0311212122872801E-2</v>
      </c>
    </row>
    <row r="2328" spans="1:21" x14ac:dyDescent="0.3">
      <c r="A2328" s="1" t="s">
        <v>155</v>
      </c>
      <c r="B2328" s="1" t="s">
        <v>130</v>
      </c>
      <c r="C2328" s="2">
        <v>45264</v>
      </c>
      <c r="D2328" s="1" t="s">
        <v>43</v>
      </c>
      <c r="E2328" s="1" t="s">
        <v>40</v>
      </c>
      <c r="F2328">
        <v>758.99</v>
      </c>
      <c r="G2328">
        <v>49</v>
      </c>
      <c r="H2328" s="1" t="s">
        <v>31</v>
      </c>
      <c r="I2328">
        <v>493.35</v>
      </c>
      <c r="J2328">
        <v>799.27</v>
      </c>
      <c r="K2328" s="1" t="s">
        <v>26</v>
      </c>
      <c r="L2328">
        <v>0.1</v>
      </c>
      <c r="M2328" s="1" t="s">
        <v>32</v>
      </c>
      <c r="N2328" s="1" t="s">
        <v>22</v>
      </c>
      <c r="O2328" s="1" t="s">
        <v>99</v>
      </c>
      <c r="P2328">
        <v>24174.15</v>
      </c>
      <c r="Q2328">
        <v>2023</v>
      </c>
      <c r="R2328">
        <v>35247.807000000001</v>
      </c>
      <c r="S2328">
        <v>11073.656999999999</v>
      </c>
      <c r="T2328" s="1" t="s">
        <v>166</v>
      </c>
      <c r="U2328">
        <v>0.314165842998403</v>
      </c>
    </row>
    <row r="2329" spans="1:21" x14ac:dyDescent="0.3">
      <c r="A2329" s="1" t="s">
        <v>155</v>
      </c>
      <c r="B2329" s="1" t="s">
        <v>144</v>
      </c>
      <c r="C2329" s="2">
        <v>45264</v>
      </c>
      <c r="D2329" s="1" t="s">
        <v>36</v>
      </c>
      <c r="E2329" s="1" t="s">
        <v>30</v>
      </c>
      <c r="F2329">
        <v>2186.85</v>
      </c>
      <c r="G2329">
        <v>14</v>
      </c>
      <c r="H2329" s="1" t="s">
        <v>19</v>
      </c>
      <c r="I2329">
        <v>2188.35</v>
      </c>
      <c r="J2329">
        <v>2605.36</v>
      </c>
      <c r="K2329" s="1" t="s">
        <v>20</v>
      </c>
      <c r="L2329">
        <v>0.2</v>
      </c>
      <c r="M2329" s="1" t="s">
        <v>27</v>
      </c>
      <c r="N2329" s="1" t="s">
        <v>33</v>
      </c>
      <c r="O2329" s="1" t="s">
        <v>38</v>
      </c>
      <c r="P2329">
        <v>30636.899999999998</v>
      </c>
      <c r="Q2329">
        <v>2023</v>
      </c>
      <c r="R2329">
        <v>29180.032000000003</v>
      </c>
      <c r="S2329">
        <v>-1456.8679999999949</v>
      </c>
      <c r="T2329" s="1" t="s">
        <v>166</v>
      </c>
      <c r="U2329">
        <v>-4.9926881505818602E-2</v>
      </c>
    </row>
    <row r="2330" spans="1:21" x14ac:dyDescent="0.3">
      <c r="A2330" s="1" t="s">
        <v>155</v>
      </c>
      <c r="B2330" s="1" t="s">
        <v>16</v>
      </c>
      <c r="C2330" s="2">
        <v>45265</v>
      </c>
      <c r="D2330" s="1" t="s">
        <v>25</v>
      </c>
      <c r="E2330" s="1" t="s">
        <v>44</v>
      </c>
      <c r="F2330">
        <v>9583.5499999999993</v>
      </c>
      <c r="G2330">
        <v>27</v>
      </c>
      <c r="H2330" s="1" t="s">
        <v>37</v>
      </c>
      <c r="I2330">
        <v>68.989999999999995</v>
      </c>
      <c r="J2330">
        <v>429.29</v>
      </c>
      <c r="K2330" s="1" t="s">
        <v>20</v>
      </c>
      <c r="L2330">
        <v>0.18</v>
      </c>
      <c r="M2330" s="1" t="s">
        <v>27</v>
      </c>
      <c r="N2330" s="1" t="s">
        <v>33</v>
      </c>
      <c r="O2330" s="1" t="s">
        <v>47</v>
      </c>
      <c r="P2330">
        <v>1862.7299999999998</v>
      </c>
      <c r="Q2330">
        <v>2023</v>
      </c>
      <c r="R2330">
        <v>9504.4806000000008</v>
      </c>
      <c r="S2330">
        <v>7641.7506000000012</v>
      </c>
      <c r="T2330" s="1" t="s">
        <v>166</v>
      </c>
      <c r="U2330">
        <v>0.80401559239333897</v>
      </c>
    </row>
    <row r="2331" spans="1:21" x14ac:dyDescent="0.3">
      <c r="A2331" s="1" t="s">
        <v>155</v>
      </c>
      <c r="B2331" s="1" t="s">
        <v>79</v>
      </c>
      <c r="C2331" s="2">
        <v>45265</v>
      </c>
      <c r="D2331" s="1" t="s">
        <v>17</v>
      </c>
      <c r="E2331" s="1" t="s">
        <v>44</v>
      </c>
      <c r="F2331">
        <v>8264.9599999999991</v>
      </c>
      <c r="G2331">
        <v>12</v>
      </c>
      <c r="H2331" s="1" t="s">
        <v>31</v>
      </c>
      <c r="I2331">
        <v>333.32</v>
      </c>
      <c r="J2331">
        <v>700.25</v>
      </c>
      <c r="K2331" s="1" t="s">
        <v>20</v>
      </c>
      <c r="L2331">
        <v>0.14000000000000001</v>
      </c>
      <c r="M2331" s="1" t="s">
        <v>21</v>
      </c>
      <c r="N2331" s="1" t="s">
        <v>22</v>
      </c>
      <c r="O2331" s="1" t="s">
        <v>49</v>
      </c>
      <c r="P2331">
        <v>3999.84</v>
      </c>
      <c r="Q2331">
        <v>2023</v>
      </c>
      <c r="R2331">
        <v>7226.58</v>
      </c>
      <c r="S2331">
        <v>3226.74</v>
      </c>
      <c r="T2331" s="1" t="s">
        <v>166</v>
      </c>
      <c r="U2331">
        <v>0.44650996737045701</v>
      </c>
    </row>
    <row r="2332" spans="1:21" x14ac:dyDescent="0.3">
      <c r="A2332" s="1" t="s">
        <v>155</v>
      </c>
      <c r="B2332" s="1" t="s">
        <v>150</v>
      </c>
      <c r="C2332" s="2">
        <v>45266</v>
      </c>
      <c r="D2332" s="1" t="s">
        <v>59</v>
      </c>
      <c r="E2332" s="1" t="s">
        <v>18</v>
      </c>
      <c r="F2332">
        <v>2273.58</v>
      </c>
      <c r="G2332">
        <v>31</v>
      </c>
      <c r="H2332" s="1" t="s">
        <v>57</v>
      </c>
      <c r="I2332">
        <v>4368.97</v>
      </c>
      <c r="J2332">
        <v>4696.8500000000004</v>
      </c>
      <c r="K2332" s="1" t="s">
        <v>20</v>
      </c>
      <c r="L2332">
        <v>0.25</v>
      </c>
      <c r="M2332" s="1" t="s">
        <v>32</v>
      </c>
      <c r="N2332" s="1" t="s">
        <v>33</v>
      </c>
      <c r="O2332" s="1" t="s">
        <v>77</v>
      </c>
      <c r="P2332">
        <v>135438.07</v>
      </c>
      <c r="Q2332">
        <v>2023</v>
      </c>
      <c r="R2332">
        <v>109201.76250000001</v>
      </c>
      <c r="S2332">
        <v>-26236.307499999995</v>
      </c>
      <c r="T2332" s="1" t="s">
        <v>166</v>
      </c>
      <c r="U2332">
        <v>-0.24025534844275101</v>
      </c>
    </row>
    <row r="2333" spans="1:21" x14ac:dyDescent="0.3">
      <c r="A2333" s="1" t="s">
        <v>155</v>
      </c>
      <c r="B2333" s="1" t="s">
        <v>66</v>
      </c>
      <c r="C2333" s="2">
        <v>45266</v>
      </c>
      <c r="D2333" s="1" t="s">
        <v>17</v>
      </c>
      <c r="E2333" s="1" t="s">
        <v>18</v>
      </c>
      <c r="F2333">
        <v>397.26</v>
      </c>
      <c r="G2333">
        <v>42</v>
      </c>
      <c r="H2333" s="1" t="s">
        <v>37</v>
      </c>
      <c r="I2333">
        <v>3117.75</v>
      </c>
      <c r="J2333">
        <v>3159.88</v>
      </c>
      <c r="K2333" s="1" t="s">
        <v>26</v>
      </c>
      <c r="L2333">
        <v>0.04</v>
      </c>
      <c r="M2333" s="1" t="s">
        <v>21</v>
      </c>
      <c r="N2333" s="1" t="s">
        <v>33</v>
      </c>
      <c r="O2333" s="1" t="s">
        <v>23</v>
      </c>
      <c r="P2333">
        <v>130945.5</v>
      </c>
      <c r="Q2333">
        <v>2023</v>
      </c>
      <c r="R2333">
        <v>127406.36159999999</v>
      </c>
      <c r="S2333">
        <v>-3539.1384000000107</v>
      </c>
      <c r="T2333" s="1" t="s">
        <v>166</v>
      </c>
      <c r="U2333">
        <v>-2.7778349177817001E-2</v>
      </c>
    </row>
    <row r="2334" spans="1:21" x14ac:dyDescent="0.3">
      <c r="A2334" s="1" t="s">
        <v>155</v>
      </c>
      <c r="B2334" s="1" t="s">
        <v>42</v>
      </c>
      <c r="C2334" s="2">
        <v>45267</v>
      </c>
      <c r="D2334" s="1" t="s">
        <v>43</v>
      </c>
      <c r="E2334" s="1" t="s">
        <v>44</v>
      </c>
      <c r="F2334">
        <v>3043.18</v>
      </c>
      <c r="G2334">
        <v>22</v>
      </c>
      <c r="H2334" s="1" t="s">
        <v>31</v>
      </c>
      <c r="I2334">
        <v>2471.67</v>
      </c>
      <c r="J2334">
        <v>2533.04</v>
      </c>
      <c r="K2334" s="1" t="s">
        <v>20</v>
      </c>
      <c r="L2334">
        <v>0.02</v>
      </c>
      <c r="M2334" s="1" t="s">
        <v>32</v>
      </c>
      <c r="N2334" s="1" t="s">
        <v>33</v>
      </c>
      <c r="O2334" s="1" t="s">
        <v>45</v>
      </c>
      <c r="P2334">
        <v>54376.740000000005</v>
      </c>
      <c r="Q2334">
        <v>2023</v>
      </c>
      <c r="R2334">
        <v>54612.342399999994</v>
      </c>
      <c r="S2334">
        <v>235.60239999998885</v>
      </c>
      <c r="T2334" s="1" t="s">
        <v>166</v>
      </c>
      <c r="U2334">
        <v>4.3140870661498801E-3</v>
      </c>
    </row>
    <row r="2335" spans="1:21" x14ac:dyDescent="0.3">
      <c r="A2335" s="1" t="s">
        <v>155</v>
      </c>
      <c r="B2335" s="1" t="s">
        <v>142</v>
      </c>
      <c r="C2335" s="2">
        <v>45268</v>
      </c>
      <c r="D2335" s="1" t="s">
        <v>36</v>
      </c>
      <c r="E2335" s="1" t="s">
        <v>18</v>
      </c>
      <c r="F2335">
        <v>7567.06</v>
      </c>
      <c r="G2335">
        <v>22</v>
      </c>
      <c r="H2335" s="1" t="s">
        <v>57</v>
      </c>
      <c r="I2335">
        <v>4236.05</v>
      </c>
      <c r="J2335">
        <v>4382.32</v>
      </c>
      <c r="K2335" s="1" t="s">
        <v>26</v>
      </c>
      <c r="L2335">
        <v>0.2</v>
      </c>
      <c r="M2335" s="1" t="s">
        <v>32</v>
      </c>
      <c r="N2335" s="1" t="s">
        <v>22</v>
      </c>
      <c r="O2335" s="1" t="s">
        <v>115</v>
      </c>
      <c r="P2335">
        <v>93193.1</v>
      </c>
      <c r="Q2335">
        <v>2023</v>
      </c>
      <c r="R2335">
        <v>77128.831999999995</v>
      </c>
      <c r="S2335">
        <v>-16064.268000000011</v>
      </c>
      <c r="T2335" s="1" t="s">
        <v>166</v>
      </c>
      <c r="U2335">
        <v>-0.208278377662973</v>
      </c>
    </row>
    <row r="2336" spans="1:21" x14ac:dyDescent="0.3">
      <c r="A2336" s="1" t="s">
        <v>155</v>
      </c>
      <c r="B2336" s="1" t="s">
        <v>138</v>
      </c>
      <c r="C2336" s="2">
        <v>45268</v>
      </c>
      <c r="D2336" s="1" t="s">
        <v>17</v>
      </c>
      <c r="E2336" s="1" t="s">
        <v>44</v>
      </c>
      <c r="F2336">
        <v>3801.82</v>
      </c>
      <c r="G2336">
        <v>4</v>
      </c>
      <c r="H2336" s="1" t="s">
        <v>19</v>
      </c>
      <c r="I2336">
        <v>3191.05</v>
      </c>
      <c r="J2336">
        <v>3555.35</v>
      </c>
      <c r="K2336" s="1" t="s">
        <v>26</v>
      </c>
      <c r="L2336">
        <v>0.28000000000000003</v>
      </c>
      <c r="M2336" s="1" t="s">
        <v>27</v>
      </c>
      <c r="N2336" s="1" t="s">
        <v>22</v>
      </c>
      <c r="O2336" s="1" t="s">
        <v>49</v>
      </c>
      <c r="P2336">
        <v>12764.2</v>
      </c>
      <c r="Q2336">
        <v>2023</v>
      </c>
      <c r="R2336">
        <v>10239.407999999999</v>
      </c>
      <c r="S2336">
        <v>-2524.7920000000013</v>
      </c>
      <c r="T2336" s="1" t="s">
        <v>166</v>
      </c>
      <c r="U2336">
        <v>-0.24657597392349301</v>
      </c>
    </row>
    <row r="2337" spans="1:21" x14ac:dyDescent="0.3">
      <c r="A2337" s="1" t="s">
        <v>155</v>
      </c>
      <c r="B2337" s="1" t="s">
        <v>16</v>
      </c>
      <c r="C2337" s="2">
        <v>45268</v>
      </c>
      <c r="D2337" s="1" t="s">
        <v>59</v>
      </c>
      <c r="E2337" s="1" t="s">
        <v>30</v>
      </c>
      <c r="F2337">
        <v>3197.78</v>
      </c>
      <c r="G2337">
        <v>49</v>
      </c>
      <c r="H2337" s="1" t="s">
        <v>37</v>
      </c>
      <c r="I2337">
        <v>2907.22</v>
      </c>
      <c r="J2337">
        <v>3385.61</v>
      </c>
      <c r="K2337" s="1" t="s">
        <v>26</v>
      </c>
      <c r="L2337">
        <v>0.13</v>
      </c>
      <c r="M2337" s="1" t="s">
        <v>21</v>
      </c>
      <c r="N2337" s="1" t="s">
        <v>22</v>
      </c>
      <c r="O2337" s="1" t="s">
        <v>86</v>
      </c>
      <c r="P2337">
        <v>142453.78</v>
      </c>
      <c r="Q2337">
        <v>2023</v>
      </c>
      <c r="R2337">
        <v>144328.55430000002</v>
      </c>
      <c r="S2337">
        <v>1874.7743000000191</v>
      </c>
      <c r="T2337" s="1" t="s">
        <v>166</v>
      </c>
      <c r="U2337">
        <v>1.29896284840707E-2</v>
      </c>
    </row>
    <row r="2338" spans="1:21" x14ac:dyDescent="0.3">
      <c r="A2338" s="1" t="s">
        <v>155</v>
      </c>
      <c r="B2338" s="1" t="s">
        <v>128</v>
      </c>
      <c r="C2338" s="2">
        <v>45270</v>
      </c>
      <c r="D2338" s="1" t="s">
        <v>43</v>
      </c>
      <c r="E2338" s="1" t="s">
        <v>18</v>
      </c>
      <c r="F2338">
        <v>9671.77</v>
      </c>
      <c r="G2338">
        <v>45</v>
      </c>
      <c r="H2338" s="1" t="s">
        <v>37</v>
      </c>
      <c r="I2338">
        <v>4268.45</v>
      </c>
      <c r="J2338">
        <v>4551.6000000000004</v>
      </c>
      <c r="K2338" s="1" t="s">
        <v>26</v>
      </c>
      <c r="L2338">
        <v>0.08</v>
      </c>
      <c r="M2338" s="1" t="s">
        <v>32</v>
      </c>
      <c r="N2338" s="1" t="s">
        <v>22</v>
      </c>
      <c r="O2338" s="1" t="s">
        <v>62</v>
      </c>
      <c r="P2338">
        <v>192080.25</v>
      </c>
      <c r="Q2338">
        <v>2023</v>
      </c>
      <c r="R2338">
        <v>188436.24000000005</v>
      </c>
      <c r="S2338">
        <v>-3644.0099999999511</v>
      </c>
      <c r="T2338" s="1" t="s">
        <v>166</v>
      </c>
      <c r="U2338">
        <v>-1.9338159156645999E-2</v>
      </c>
    </row>
    <row r="2339" spans="1:21" x14ac:dyDescent="0.3">
      <c r="A2339" s="1" t="s">
        <v>155</v>
      </c>
      <c r="B2339" s="1" t="s">
        <v>75</v>
      </c>
      <c r="C2339" s="2">
        <v>45270</v>
      </c>
      <c r="D2339" s="1" t="s">
        <v>43</v>
      </c>
      <c r="E2339" s="1" t="s">
        <v>18</v>
      </c>
      <c r="F2339">
        <v>6351.05</v>
      </c>
      <c r="G2339">
        <v>32</v>
      </c>
      <c r="H2339" s="1" t="s">
        <v>37</v>
      </c>
      <c r="I2339">
        <v>2594.08</v>
      </c>
      <c r="J2339">
        <v>3074.59</v>
      </c>
      <c r="K2339" s="1" t="s">
        <v>26</v>
      </c>
      <c r="L2339">
        <v>0.14000000000000001</v>
      </c>
      <c r="M2339" s="1" t="s">
        <v>21</v>
      </c>
      <c r="N2339" s="1" t="s">
        <v>33</v>
      </c>
      <c r="O2339" s="1" t="s">
        <v>62</v>
      </c>
      <c r="P2339">
        <v>83010.559999999998</v>
      </c>
      <c r="Q2339">
        <v>2023</v>
      </c>
      <c r="R2339">
        <v>84612.716800000009</v>
      </c>
      <c r="S2339">
        <v>1602.1568000000116</v>
      </c>
      <c r="T2339" s="1" t="s">
        <v>166</v>
      </c>
      <c r="U2339">
        <v>1.8935177365679502E-2</v>
      </c>
    </row>
    <row r="2340" spans="1:21" x14ac:dyDescent="0.3">
      <c r="A2340" s="1" t="s">
        <v>155</v>
      </c>
      <c r="B2340" s="1" t="s">
        <v>63</v>
      </c>
      <c r="C2340" s="2">
        <v>45270</v>
      </c>
      <c r="D2340" s="1" t="s">
        <v>36</v>
      </c>
      <c r="E2340" s="1" t="s">
        <v>40</v>
      </c>
      <c r="F2340">
        <v>3979.41</v>
      </c>
      <c r="G2340">
        <v>11</v>
      </c>
      <c r="H2340" s="1" t="s">
        <v>37</v>
      </c>
      <c r="I2340">
        <v>1190.08</v>
      </c>
      <c r="J2340">
        <v>1292.94</v>
      </c>
      <c r="K2340" s="1" t="s">
        <v>20</v>
      </c>
      <c r="L2340">
        <v>0.13</v>
      </c>
      <c r="M2340" s="1" t="s">
        <v>21</v>
      </c>
      <c r="N2340" s="1" t="s">
        <v>33</v>
      </c>
      <c r="O2340" s="1" t="s">
        <v>41</v>
      </c>
      <c r="P2340">
        <v>13090.88</v>
      </c>
      <c r="Q2340">
        <v>2023</v>
      </c>
      <c r="R2340">
        <v>12373.435799999999</v>
      </c>
      <c r="S2340">
        <v>-717.44419999999991</v>
      </c>
      <c r="T2340" s="1" t="s">
        <v>166</v>
      </c>
      <c r="U2340">
        <v>-5.7982617891790399E-2</v>
      </c>
    </row>
    <row r="2341" spans="1:21" x14ac:dyDescent="0.3">
      <c r="A2341" s="1" t="s">
        <v>155</v>
      </c>
      <c r="B2341" s="1" t="s">
        <v>125</v>
      </c>
      <c r="C2341" s="2">
        <v>45270</v>
      </c>
      <c r="D2341" s="1" t="s">
        <v>36</v>
      </c>
      <c r="E2341" s="1" t="s">
        <v>18</v>
      </c>
      <c r="F2341">
        <v>9989.0400000000009</v>
      </c>
      <c r="G2341">
        <v>7</v>
      </c>
      <c r="H2341" s="1" t="s">
        <v>57</v>
      </c>
      <c r="I2341">
        <v>2882.25</v>
      </c>
      <c r="J2341">
        <v>3163.7</v>
      </c>
      <c r="K2341" s="1" t="s">
        <v>20</v>
      </c>
      <c r="L2341">
        <v>0.05</v>
      </c>
      <c r="M2341" s="1" t="s">
        <v>21</v>
      </c>
      <c r="N2341" s="1" t="s">
        <v>33</v>
      </c>
      <c r="O2341" s="1" t="s">
        <v>115</v>
      </c>
      <c r="P2341">
        <v>20175.75</v>
      </c>
      <c r="Q2341">
        <v>2023</v>
      </c>
      <c r="R2341">
        <v>21038.604999999996</v>
      </c>
      <c r="S2341">
        <v>862.85499999999593</v>
      </c>
      <c r="T2341" s="1" t="s">
        <v>166</v>
      </c>
      <c r="U2341">
        <v>4.1012937882525802E-2</v>
      </c>
    </row>
    <row r="2342" spans="1:21" x14ac:dyDescent="0.3">
      <c r="A2342" s="1" t="s">
        <v>155</v>
      </c>
      <c r="B2342" s="1" t="s">
        <v>141</v>
      </c>
      <c r="C2342" s="2">
        <v>45270</v>
      </c>
      <c r="D2342" s="1" t="s">
        <v>17</v>
      </c>
      <c r="E2342" s="1" t="s">
        <v>44</v>
      </c>
      <c r="F2342">
        <v>3419.26</v>
      </c>
      <c r="G2342">
        <v>28</v>
      </c>
      <c r="H2342" s="1" t="s">
        <v>37</v>
      </c>
      <c r="I2342">
        <v>3895.62</v>
      </c>
      <c r="J2342">
        <v>4055.44</v>
      </c>
      <c r="K2342" s="1" t="s">
        <v>26</v>
      </c>
      <c r="L2342">
        <v>0.03</v>
      </c>
      <c r="M2342" s="1" t="s">
        <v>32</v>
      </c>
      <c r="N2342" s="1" t="s">
        <v>33</v>
      </c>
      <c r="O2342" s="1" t="s">
        <v>49</v>
      </c>
      <c r="P2342">
        <v>109077.36</v>
      </c>
      <c r="Q2342">
        <v>2023</v>
      </c>
      <c r="R2342">
        <v>110145.7504</v>
      </c>
      <c r="S2342">
        <v>1068.3904000000039</v>
      </c>
      <c r="T2342" s="1" t="s">
        <v>166</v>
      </c>
      <c r="U2342">
        <v>9.6997877459646803E-3</v>
      </c>
    </row>
    <row r="2343" spans="1:21" x14ac:dyDescent="0.3">
      <c r="A2343" s="1" t="s">
        <v>155</v>
      </c>
      <c r="B2343" s="1" t="s">
        <v>91</v>
      </c>
      <c r="C2343" s="2">
        <v>45271</v>
      </c>
      <c r="D2343" s="1" t="s">
        <v>59</v>
      </c>
      <c r="E2343" s="1" t="s">
        <v>40</v>
      </c>
      <c r="F2343">
        <v>6400.11</v>
      </c>
      <c r="G2343">
        <v>22</v>
      </c>
      <c r="H2343" s="1" t="s">
        <v>19</v>
      </c>
      <c r="I2343">
        <v>241.85</v>
      </c>
      <c r="J2343">
        <v>613.09</v>
      </c>
      <c r="K2343" s="1" t="s">
        <v>20</v>
      </c>
      <c r="L2343">
        <v>0.06</v>
      </c>
      <c r="M2343" s="1" t="s">
        <v>21</v>
      </c>
      <c r="N2343" s="1" t="s">
        <v>22</v>
      </c>
      <c r="O2343" s="1" t="s">
        <v>90</v>
      </c>
      <c r="P2343">
        <v>5320.7</v>
      </c>
      <c r="Q2343">
        <v>2023</v>
      </c>
      <c r="R2343">
        <v>12678.701200000001</v>
      </c>
      <c r="S2343">
        <v>7358.0012000000015</v>
      </c>
      <c r="T2343" s="1" t="s">
        <v>166</v>
      </c>
      <c r="U2343">
        <v>0.58034345032123602</v>
      </c>
    </row>
    <row r="2344" spans="1:21" x14ac:dyDescent="0.3">
      <c r="A2344" s="1" t="s">
        <v>155</v>
      </c>
      <c r="B2344" s="1" t="s">
        <v>50</v>
      </c>
      <c r="C2344" s="2">
        <v>45272</v>
      </c>
      <c r="D2344" s="1" t="s">
        <v>17</v>
      </c>
      <c r="E2344" s="1" t="s">
        <v>18</v>
      </c>
      <c r="F2344">
        <v>2479.9499999999998</v>
      </c>
      <c r="G2344">
        <v>8</v>
      </c>
      <c r="H2344" s="1" t="s">
        <v>19</v>
      </c>
      <c r="I2344">
        <v>467.11</v>
      </c>
      <c r="J2344">
        <v>792.21</v>
      </c>
      <c r="K2344" s="1" t="s">
        <v>26</v>
      </c>
      <c r="L2344">
        <v>0.2</v>
      </c>
      <c r="M2344" s="1" t="s">
        <v>27</v>
      </c>
      <c r="N2344" s="1" t="s">
        <v>22</v>
      </c>
      <c r="O2344" s="1" t="s">
        <v>23</v>
      </c>
      <c r="P2344">
        <v>3736.88</v>
      </c>
      <c r="Q2344">
        <v>2023</v>
      </c>
      <c r="R2344">
        <v>5070.1440000000002</v>
      </c>
      <c r="S2344">
        <v>1333.2640000000001</v>
      </c>
      <c r="T2344" s="1" t="s">
        <v>166</v>
      </c>
      <c r="U2344">
        <v>0.26296373436336301</v>
      </c>
    </row>
    <row r="2345" spans="1:21" x14ac:dyDescent="0.3">
      <c r="A2345" s="1" t="s">
        <v>155</v>
      </c>
      <c r="B2345" s="1" t="s">
        <v>110</v>
      </c>
      <c r="C2345" s="2">
        <v>45272</v>
      </c>
      <c r="D2345" s="1" t="s">
        <v>59</v>
      </c>
      <c r="E2345" s="1" t="s">
        <v>30</v>
      </c>
      <c r="F2345">
        <v>3382.49</v>
      </c>
      <c r="G2345">
        <v>47</v>
      </c>
      <c r="H2345" s="1" t="s">
        <v>37</v>
      </c>
      <c r="I2345">
        <v>3551.76</v>
      </c>
      <c r="J2345">
        <v>3696.1</v>
      </c>
      <c r="K2345" s="1" t="s">
        <v>20</v>
      </c>
      <c r="L2345">
        <v>0.15</v>
      </c>
      <c r="M2345" s="1" t="s">
        <v>32</v>
      </c>
      <c r="N2345" s="1" t="s">
        <v>33</v>
      </c>
      <c r="O2345" s="1" t="s">
        <v>86</v>
      </c>
      <c r="P2345">
        <v>166932.72</v>
      </c>
      <c r="Q2345">
        <v>2023</v>
      </c>
      <c r="R2345">
        <v>147659.19499999998</v>
      </c>
      <c r="S2345">
        <v>-19273.525000000023</v>
      </c>
      <c r="T2345" s="1" t="s">
        <v>166</v>
      </c>
      <c r="U2345">
        <v>-0.13052708976234101</v>
      </c>
    </row>
    <row r="2346" spans="1:21" x14ac:dyDescent="0.3">
      <c r="A2346" s="1" t="s">
        <v>155</v>
      </c>
      <c r="B2346" s="1" t="s">
        <v>29</v>
      </c>
      <c r="C2346" s="2">
        <v>45273</v>
      </c>
      <c r="D2346" s="1" t="s">
        <v>59</v>
      </c>
      <c r="E2346" s="1" t="s">
        <v>40</v>
      </c>
      <c r="F2346">
        <v>100.12</v>
      </c>
      <c r="G2346">
        <v>8</v>
      </c>
      <c r="H2346" s="1" t="s">
        <v>19</v>
      </c>
      <c r="I2346">
        <v>3762.27</v>
      </c>
      <c r="J2346">
        <v>4166.95</v>
      </c>
      <c r="K2346" s="1" t="s">
        <v>20</v>
      </c>
      <c r="L2346">
        <v>0.16</v>
      </c>
      <c r="M2346" s="1" t="s">
        <v>32</v>
      </c>
      <c r="N2346" s="1" t="s">
        <v>22</v>
      </c>
      <c r="O2346" s="1" t="s">
        <v>90</v>
      </c>
      <c r="P2346">
        <v>30098.16</v>
      </c>
      <c r="Q2346">
        <v>2023</v>
      </c>
      <c r="R2346">
        <v>28001.903999999999</v>
      </c>
      <c r="S2346">
        <v>-2096.2560000000012</v>
      </c>
      <c r="T2346" s="1" t="s">
        <v>166</v>
      </c>
      <c r="U2346">
        <v>-7.4861195153015397E-2</v>
      </c>
    </row>
    <row r="2347" spans="1:21" x14ac:dyDescent="0.3">
      <c r="A2347" s="1" t="s">
        <v>155</v>
      </c>
      <c r="B2347" s="1" t="s">
        <v>108</v>
      </c>
      <c r="C2347" s="2">
        <v>45273</v>
      </c>
      <c r="D2347" s="1" t="s">
        <v>25</v>
      </c>
      <c r="E2347" s="1" t="s">
        <v>18</v>
      </c>
      <c r="F2347">
        <v>3206.89</v>
      </c>
      <c r="G2347">
        <v>15</v>
      </c>
      <c r="H2347" s="1" t="s">
        <v>19</v>
      </c>
      <c r="I2347">
        <v>2273.88</v>
      </c>
      <c r="J2347">
        <v>2696.02</v>
      </c>
      <c r="K2347" s="1" t="s">
        <v>26</v>
      </c>
      <c r="L2347">
        <v>0.3</v>
      </c>
      <c r="M2347" s="1" t="s">
        <v>21</v>
      </c>
      <c r="N2347" s="1" t="s">
        <v>22</v>
      </c>
      <c r="O2347" s="1" t="s">
        <v>28</v>
      </c>
      <c r="P2347">
        <v>34108.200000000004</v>
      </c>
      <c r="Q2347">
        <v>2023</v>
      </c>
      <c r="R2347">
        <v>28308.21</v>
      </c>
      <c r="S2347">
        <v>-5799.9900000000052</v>
      </c>
      <c r="T2347" s="1" t="s">
        <v>166</v>
      </c>
      <c r="U2347">
        <v>-0.20488720410086</v>
      </c>
    </row>
    <row r="2348" spans="1:21" x14ac:dyDescent="0.3">
      <c r="A2348" s="1" t="s">
        <v>155</v>
      </c>
      <c r="B2348" s="1" t="s">
        <v>29</v>
      </c>
      <c r="C2348" s="2">
        <v>45274</v>
      </c>
      <c r="D2348" s="1" t="s">
        <v>25</v>
      </c>
      <c r="E2348" s="1" t="s">
        <v>30</v>
      </c>
      <c r="F2348">
        <v>2032.15</v>
      </c>
      <c r="G2348">
        <v>33</v>
      </c>
      <c r="H2348" s="1" t="s">
        <v>57</v>
      </c>
      <c r="I2348">
        <v>866.42</v>
      </c>
      <c r="J2348">
        <v>878.43</v>
      </c>
      <c r="K2348" s="1" t="s">
        <v>26</v>
      </c>
      <c r="L2348">
        <v>0.09</v>
      </c>
      <c r="M2348" s="1" t="s">
        <v>21</v>
      </c>
      <c r="N2348" s="1" t="s">
        <v>33</v>
      </c>
      <c r="O2348" s="1" t="s">
        <v>92</v>
      </c>
      <c r="P2348">
        <v>28591.859999999997</v>
      </c>
      <c r="Q2348">
        <v>2023</v>
      </c>
      <c r="R2348">
        <v>26379.252899999999</v>
      </c>
      <c r="S2348">
        <v>-2212.6070999999974</v>
      </c>
      <c r="T2348" s="1" t="s">
        <v>166</v>
      </c>
      <c r="U2348">
        <v>-8.3876791673656401E-2</v>
      </c>
    </row>
    <row r="2349" spans="1:21" x14ac:dyDescent="0.3">
      <c r="A2349" s="1" t="s">
        <v>155</v>
      </c>
      <c r="B2349" s="1" t="s">
        <v>91</v>
      </c>
      <c r="C2349" s="2">
        <v>45275</v>
      </c>
      <c r="D2349" s="1" t="s">
        <v>36</v>
      </c>
      <c r="E2349" s="1" t="s">
        <v>30</v>
      </c>
      <c r="F2349">
        <v>3517.4</v>
      </c>
      <c r="G2349">
        <v>42</v>
      </c>
      <c r="H2349" s="1" t="s">
        <v>19</v>
      </c>
      <c r="I2349">
        <v>3587.74</v>
      </c>
      <c r="J2349">
        <v>3745.91</v>
      </c>
      <c r="K2349" s="1" t="s">
        <v>20</v>
      </c>
      <c r="L2349">
        <v>0.1</v>
      </c>
      <c r="M2349" s="1" t="s">
        <v>21</v>
      </c>
      <c r="N2349" s="1" t="s">
        <v>22</v>
      </c>
      <c r="O2349" s="1" t="s">
        <v>38</v>
      </c>
      <c r="P2349">
        <v>150685.07999999999</v>
      </c>
      <c r="Q2349">
        <v>2023</v>
      </c>
      <c r="R2349">
        <v>141595.39800000002</v>
      </c>
      <c r="S2349">
        <v>-9089.6819999999716</v>
      </c>
      <c r="T2349" s="1" t="s">
        <v>166</v>
      </c>
      <c r="U2349">
        <v>-6.4194755821089397E-2</v>
      </c>
    </row>
    <row r="2350" spans="1:21" x14ac:dyDescent="0.3">
      <c r="A2350" s="1" t="s">
        <v>155</v>
      </c>
      <c r="B2350" s="1" t="s">
        <v>119</v>
      </c>
      <c r="C2350" s="2">
        <v>45275</v>
      </c>
      <c r="D2350" s="1" t="s">
        <v>59</v>
      </c>
      <c r="E2350" s="1" t="s">
        <v>18</v>
      </c>
      <c r="F2350">
        <v>3867.13</v>
      </c>
      <c r="G2350">
        <v>32</v>
      </c>
      <c r="H2350" s="1" t="s">
        <v>57</v>
      </c>
      <c r="I2350">
        <v>2759.26</v>
      </c>
      <c r="J2350">
        <v>3193.25</v>
      </c>
      <c r="K2350" s="1" t="s">
        <v>26</v>
      </c>
      <c r="L2350">
        <v>0.2</v>
      </c>
      <c r="M2350" s="1" t="s">
        <v>32</v>
      </c>
      <c r="N2350" s="1" t="s">
        <v>22</v>
      </c>
      <c r="O2350" s="1" t="s">
        <v>77</v>
      </c>
      <c r="P2350">
        <v>88296.320000000007</v>
      </c>
      <c r="Q2350">
        <v>2023</v>
      </c>
      <c r="R2350">
        <v>81747.200000000012</v>
      </c>
      <c r="S2350">
        <v>-6549.1199999999953</v>
      </c>
      <c r="T2350" s="1" t="s">
        <v>166</v>
      </c>
      <c r="U2350">
        <v>-8.0114303609175597E-2</v>
      </c>
    </row>
    <row r="2351" spans="1:21" x14ac:dyDescent="0.3">
      <c r="A2351" s="1" t="s">
        <v>155</v>
      </c>
      <c r="B2351" s="1" t="s">
        <v>156</v>
      </c>
      <c r="C2351" s="2">
        <v>45275</v>
      </c>
      <c r="D2351" s="1" t="s">
        <v>36</v>
      </c>
      <c r="E2351" s="1" t="s">
        <v>40</v>
      </c>
      <c r="F2351">
        <v>4448.18</v>
      </c>
      <c r="G2351">
        <v>6</v>
      </c>
      <c r="H2351" s="1" t="s">
        <v>19</v>
      </c>
      <c r="I2351">
        <v>563.59</v>
      </c>
      <c r="J2351">
        <v>838.97</v>
      </c>
      <c r="K2351" s="1" t="s">
        <v>26</v>
      </c>
      <c r="L2351">
        <v>0.17</v>
      </c>
      <c r="M2351" s="1" t="s">
        <v>27</v>
      </c>
      <c r="N2351" s="1" t="s">
        <v>22</v>
      </c>
      <c r="O2351" s="1" t="s">
        <v>41</v>
      </c>
      <c r="P2351">
        <v>3381.54</v>
      </c>
      <c r="Q2351">
        <v>2023</v>
      </c>
      <c r="R2351">
        <v>4178.0705999999991</v>
      </c>
      <c r="S2351">
        <v>796.53059999999914</v>
      </c>
      <c r="T2351" s="1" t="s">
        <v>166</v>
      </c>
      <c r="U2351">
        <v>0.19064555778449499</v>
      </c>
    </row>
    <row r="2352" spans="1:21" x14ac:dyDescent="0.3">
      <c r="A2352" s="1" t="s">
        <v>155</v>
      </c>
      <c r="B2352" s="1" t="s">
        <v>106</v>
      </c>
      <c r="C2352" s="2">
        <v>45275</v>
      </c>
      <c r="D2352" s="1" t="s">
        <v>43</v>
      </c>
      <c r="E2352" s="1" t="s">
        <v>40</v>
      </c>
      <c r="F2352">
        <v>2607.4</v>
      </c>
      <c r="G2352">
        <v>32</v>
      </c>
      <c r="H2352" s="1" t="s">
        <v>57</v>
      </c>
      <c r="I2352">
        <v>2636.36</v>
      </c>
      <c r="J2352">
        <v>2696.78</v>
      </c>
      <c r="K2352" s="1" t="s">
        <v>26</v>
      </c>
      <c r="L2352">
        <v>0.09</v>
      </c>
      <c r="M2352" s="1" t="s">
        <v>21</v>
      </c>
      <c r="N2352" s="1" t="s">
        <v>33</v>
      </c>
      <c r="O2352" s="1" t="s">
        <v>99</v>
      </c>
      <c r="P2352">
        <v>84363.520000000004</v>
      </c>
      <c r="Q2352">
        <v>2023</v>
      </c>
      <c r="R2352">
        <v>78530.233600000007</v>
      </c>
      <c r="S2352">
        <v>-5833.2863999999972</v>
      </c>
      <c r="T2352" s="1" t="s">
        <v>166</v>
      </c>
      <c r="U2352">
        <v>-7.4280772290991795E-2</v>
      </c>
    </row>
    <row r="2353" spans="1:21" x14ac:dyDescent="0.3">
      <c r="A2353" s="1" t="s">
        <v>155</v>
      </c>
      <c r="B2353" s="1" t="s">
        <v>152</v>
      </c>
      <c r="C2353" s="2">
        <v>45275</v>
      </c>
      <c r="D2353" s="1" t="s">
        <v>36</v>
      </c>
      <c r="E2353" s="1" t="s">
        <v>44</v>
      </c>
      <c r="F2353">
        <v>8902.3700000000008</v>
      </c>
      <c r="G2353">
        <v>36</v>
      </c>
      <c r="H2353" s="1" t="s">
        <v>19</v>
      </c>
      <c r="I2353">
        <v>1340.51</v>
      </c>
      <c r="J2353">
        <v>1567.92</v>
      </c>
      <c r="K2353" s="1" t="s">
        <v>26</v>
      </c>
      <c r="L2353">
        <v>0.28999999999999998</v>
      </c>
      <c r="M2353" s="1" t="s">
        <v>21</v>
      </c>
      <c r="N2353" s="1" t="s">
        <v>22</v>
      </c>
      <c r="O2353" s="1" t="s">
        <v>71</v>
      </c>
      <c r="P2353">
        <v>48258.36</v>
      </c>
      <c r="Q2353">
        <v>2023</v>
      </c>
      <c r="R2353">
        <v>40076.035199999998</v>
      </c>
      <c r="S2353">
        <v>-8182.3248000000021</v>
      </c>
      <c r="T2353" s="1" t="s">
        <v>166</v>
      </c>
      <c r="U2353">
        <v>-0.20417001729751999</v>
      </c>
    </row>
    <row r="2354" spans="1:21" x14ac:dyDescent="0.3">
      <c r="A2354" s="1" t="s">
        <v>155</v>
      </c>
      <c r="B2354" s="1" t="s">
        <v>94</v>
      </c>
      <c r="C2354" s="2">
        <v>45275</v>
      </c>
      <c r="D2354" s="1" t="s">
        <v>43</v>
      </c>
      <c r="E2354" s="1" t="s">
        <v>40</v>
      </c>
      <c r="F2354">
        <v>8821.6299999999992</v>
      </c>
      <c r="G2354">
        <v>13</v>
      </c>
      <c r="H2354" s="1" t="s">
        <v>37</v>
      </c>
      <c r="I2354">
        <v>2231.66</v>
      </c>
      <c r="J2354">
        <v>2596.61</v>
      </c>
      <c r="K2354" s="1" t="s">
        <v>20</v>
      </c>
      <c r="L2354">
        <v>0.09</v>
      </c>
      <c r="M2354" s="1" t="s">
        <v>32</v>
      </c>
      <c r="N2354" s="1" t="s">
        <v>33</v>
      </c>
      <c r="O2354" s="1" t="s">
        <v>99</v>
      </c>
      <c r="P2354">
        <v>29011.579999999998</v>
      </c>
      <c r="Q2354">
        <v>2023</v>
      </c>
      <c r="R2354">
        <v>30717.8963</v>
      </c>
      <c r="S2354">
        <v>1706.3163000000022</v>
      </c>
      <c r="T2354" s="1" t="s">
        <v>166</v>
      </c>
      <c r="U2354">
        <v>5.5547954304409897E-2</v>
      </c>
    </row>
    <row r="2355" spans="1:21" x14ac:dyDescent="0.3">
      <c r="A2355" s="1" t="s">
        <v>155</v>
      </c>
      <c r="B2355" s="1" t="s">
        <v>82</v>
      </c>
      <c r="C2355" s="2">
        <v>45276</v>
      </c>
      <c r="D2355" s="1" t="s">
        <v>17</v>
      </c>
      <c r="E2355" s="1" t="s">
        <v>44</v>
      </c>
      <c r="F2355">
        <v>3224.71</v>
      </c>
      <c r="G2355">
        <v>44</v>
      </c>
      <c r="H2355" s="1" t="s">
        <v>19</v>
      </c>
      <c r="I2355">
        <v>3784.96</v>
      </c>
      <c r="J2355">
        <v>4276.99</v>
      </c>
      <c r="K2355" s="1" t="s">
        <v>26</v>
      </c>
      <c r="L2355">
        <v>0.06</v>
      </c>
      <c r="M2355" s="1" t="s">
        <v>32</v>
      </c>
      <c r="N2355" s="1" t="s">
        <v>33</v>
      </c>
      <c r="O2355" s="1" t="s">
        <v>49</v>
      </c>
      <c r="P2355">
        <v>166538.23999999999</v>
      </c>
      <c r="Q2355">
        <v>2023</v>
      </c>
      <c r="R2355">
        <v>176896.3064</v>
      </c>
      <c r="S2355">
        <v>10358.066400000011</v>
      </c>
      <c r="T2355" s="1" t="s">
        <v>166</v>
      </c>
      <c r="U2355">
        <v>5.8554452666627399E-2</v>
      </c>
    </row>
    <row r="2356" spans="1:21" x14ac:dyDescent="0.3">
      <c r="A2356" s="1" t="s">
        <v>155</v>
      </c>
      <c r="B2356" s="1" t="s">
        <v>106</v>
      </c>
      <c r="C2356" s="2">
        <v>45276</v>
      </c>
      <c r="D2356" s="1" t="s">
        <v>17</v>
      </c>
      <c r="E2356" s="1" t="s">
        <v>44</v>
      </c>
      <c r="F2356">
        <v>7160.75</v>
      </c>
      <c r="G2356">
        <v>30</v>
      </c>
      <c r="H2356" s="1" t="s">
        <v>19</v>
      </c>
      <c r="I2356">
        <v>3519.63</v>
      </c>
      <c r="J2356">
        <v>3774.65</v>
      </c>
      <c r="K2356" s="1" t="s">
        <v>26</v>
      </c>
      <c r="L2356">
        <v>0.2</v>
      </c>
      <c r="M2356" s="1" t="s">
        <v>27</v>
      </c>
      <c r="N2356" s="1" t="s">
        <v>33</v>
      </c>
      <c r="O2356" s="1" t="s">
        <v>49</v>
      </c>
      <c r="P2356">
        <v>105588.90000000001</v>
      </c>
      <c r="Q2356">
        <v>2023</v>
      </c>
      <c r="R2356">
        <v>90591.6</v>
      </c>
      <c r="S2356">
        <v>-14997.300000000003</v>
      </c>
      <c r="T2356" s="1" t="s">
        <v>166</v>
      </c>
      <c r="U2356">
        <v>-0.165548461446757</v>
      </c>
    </row>
    <row r="2357" spans="1:21" x14ac:dyDescent="0.3">
      <c r="A2357" s="1" t="s">
        <v>155</v>
      </c>
      <c r="B2357" s="1" t="s">
        <v>52</v>
      </c>
      <c r="C2357" s="2">
        <v>45276</v>
      </c>
      <c r="D2357" s="1" t="s">
        <v>43</v>
      </c>
      <c r="E2357" s="1" t="s">
        <v>18</v>
      </c>
      <c r="F2357">
        <v>6310.56</v>
      </c>
      <c r="G2357">
        <v>19</v>
      </c>
      <c r="H2357" s="1" t="s">
        <v>31</v>
      </c>
      <c r="I2357">
        <v>278.67</v>
      </c>
      <c r="J2357">
        <v>423.13</v>
      </c>
      <c r="K2357" s="1" t="s">
        <v>26</v>
      </c>
      <c r="L2357">
        <v>0.24</v>
      </c>
      <c r="M2357" s="1" t="s">
        <v>27</v>
      </c>
      <c r="N2357" s="1" t="s">
        <v>22</v>
      </c>
      <c r="O2357" s="1" t="s">
        <v>62</v>
      </c>
      <c r="P2357">
        <v>5294.7300000000005</v>
      </c>
      <c r="Q2357">
        <v>2023</v>
      </c>
      <c r="R2357">
        <v>6109.9972000000007</v>
      </c>
      <c r="S2357">
        <v>815.26720000000023</v>
      </c>
      <c r="T2357" s="1" t="s">
        <v>166</v>
      </c>
      <c r="U2357">
        <v>0.13343168144168699</v>
      </c>
    </row>
    <row r="2358" spans="1:21" x14ac:dyDescent="0.3">
      <c r="A2358" s="1" t="s">
        <v>155</v>
      </c>
      <c r="B2358" s="1" t="s">
        <v>150</v>
      </c>
      <c r="C2358" s="2">
        <v>45278</v>
      </c>
      <c r="D2358" s="1" t="s">
        <v>17</v>
      </c>
      <c r="E2358" s="1" t="s">
        <v>40</v>
      </c>
      <c r="F2358">
        <v>3196.5</v>
      </c>
      <c r="G2358">
        <v>40</v>
      </c>
      <c r="H2358" s="1" t="s">
        <v>57</v>
      </c>
      <c r="I2358">
        <v>157.15</v>
      </c>
      <c r="J2358">
        <v>436.53</v>
      </c>
      <c r="K2358" s="1" t="s">
        <v>26</v>
      </c>
      <c r="L2358">
        <v>0.04</v>
      </c>
      <c r="M2358" s="1" t="s">
        <v>21</v>
      </c>
      <c r="N2358" s="1" t="s">
        <v>33</v>
      </c>
      <c r="O2358" s="1" t="s">
        <v>67</v>
      </c>
      <c r="P2358">
        <v>6286</v>
      </c>
      <c r="Q2358">
        <v>2023</v>
      </c>
      <c r="R2358">
        <v>16762.751999999997</v>
      </c>
      <c r="S2358">
        <v>10476.751999999997</v>
      </c>
      <c r="T2358" s="1" t="s">
        <v>166</v>
      </c>
      <c r="U2358">
        <v>0.62500190899441799</v>
      </c>
    </row>
    <row r="2359" spans="1:21" x14ac:dyDescent="0.3">
      <c r="A2359" s="1" t="s">
        <v>155</v>
      </c>
      <c r="B2359" s="1" t="s">
        <v>130</v>
      </c>
      <c r="C2359" s="2">
        <v>45278</v>
      </c>
      <c r="D2359" s="1" t="s">
        <v>36</v>
      </c>
      <c r="E2359" s="1" t="s">
        <v>44</v>
      </c>
      <c r="F2359">
        <v>5612.17</v>
      </c>
      <c r="G2359">
        <v>4</v>
      </c>
      <c r="H2359" s="1" t="s">
        <v>31</v>
      </c>
      <c r="I2359">
        <v>854.68</v>
      </c>
      <c r="J2359">
        <v>1115.24</v>
      </c>
      <c r="K2359" s="1" t="s">
        <v>26</v>
      </c>
      <c r="L2359">
        <v>0.24</v>
      </c>
      <c r="M2359" s="1" t="s">
        <v>27</v>
      </c>
      <c r="N2359" s="1" t="s">
        <v>33</v>
      </c>
      <c r="O2359" s="1" t="s">
        <v>71</v>
      </c>
      <c r="P2359">
        <v>3418.72</v>
      </c>
      <c r="Q2359">
        <v>2023</v>
      </c>
      <c r="R2359">
        <v>3390.3296</v>
      </c>
      <c r="S2359">
        <v>-28.390399999999772</v>
      </c>
      <c r="T2359" s="1" t="s">
        <v>166</v>
      </c>
      <c r="U2359">
        <v>-8.3739350887889405E-3</v>
      </c>
    </row>
    <row r="2360" spans="1:21" x14ac:dyDescent="0.3">
      <c r="A2360" s="1" t="s">
        <v>155</v>
      </c>
      <c r="B2360" s="1" t="s">
        <v>85</v>
      </c>
      <c r="C2360" s="2">
        <v>45279</v>
      </c>
      <c r="D2360" s="1" t="s">
        <v>59</v>
      </c>
      <c r="E2360" s="1" t="s">
        <v>44</v>
      </c>
      <c r="F2360">
        <v>8452.1299999999992</v>
      </c>
      <c r="G2360">
        <v>20</v>
      </c>
      <c r="H2360" s="1" t="s">
        <v>19</v>
      </c>
      <c r="I2360">
        <v>4590.24</v>
      </c>
      <c r="J2360">
        <v>5088.28</v>
      </c>
      <c r="K2360" s="1" t="s">
        <v>26</v>
      </c>
      <c r="L2360">
        <v>0.16</v>
      </c>
      <c r="M2360" s="1" t="s">
        <v>32</v>
      </c>
      <c r="N2360" s="1" t="s">
        <v>33</v>
      </c>
      <c r="O2360" s="1" t="s">
        <v>60</v>
      </c>
      <c r="P2360">
        <v>91804.799999999988</v>
      </c>
      <c r="Q2360">
        <v>2023</v>
      </c>
      <c r="R2360">
        <v>85483.103999999992</v>
      </c>
      <c r="S2360">
        <v>-6321.6959999999963</v>
      </c>
      <c r="T2360" s="1" t="s">
        <v>166</v>
      </c>
      <c r="U2360">
        <v>-7.3952578979817996E-2</v>
      </c>
    </row>
    <row r="2361" spans="1:21" x14ac:dyDescent="0.3">
      <c r="A2361" s="1" t="s">
        <v>155</v>
      </c>
      <c r="B2361" s="1" t="s">
        <v>107</v>
      </c>
      <c r="C2361" s="2">
        <v>45279</v>
      </c>
      <c r="D2361" s="1" t="s">
        <v>17</v>
      </c>
      <c r="E2361" s="1" t="s">
        <v>18</v>
      </c>
      <c r="F2361">
        <v>5694.34</v>
      </c>
      <c r="G2361">
        <v>21</v>
      </c>
      <c r="H2361" s="1" t="s">
        <v>57</v>
      </c>
      <c r="I2361">
        <v>3085.1</v>
      </c>
      <c r="J2361">
        <v>3200.75</v>
      </c>
      <c r="K2361" s="1" t="s">
        <v>26</v>
      </c>
      <c r="L2361">
        <v>0.21</v>
      </c>
      <c r="M2361" s="1" t="s">
        <v>21</v>
      </c>
      <c r="N2361" s="1" t="s">
        <v>33</v>
      </c>
      <c r="O2361" s="1" t="s">
        <v>23</v>
      </c>
      <c r="P2361">
        <v>64787.1</v>
      </c>
      <c r="Q2361">
        <v>2023</v>
      </c>
      <c r="R2361">
        <v>53100.442500000005</v>
      </c>
      <c r="S2361">
        <v>-11686.657499999994</v>
      </c>
      <c r="T2361" s="1" t="s">
        <v>166</v>
      </c>
      <c r="U2361">
        <v>-0.22008587781542499</v>
      </c>
    </row>
    <row r="2362" spans="1:21" x14ac:dyDescent="0.3">
      <c r="A2362" s="1" t="s">
        <v>155</v>
      </c>
      <c r="B2362" s="1" t="s">
        <v>144</v>
      </c>
      <c r="C2362" s="2">
        <v>45279</v>
      </c>
      <c r="D2362" s="1" t="s">
        <v>25</v>
      </c>
      <c r="E2362" s="1" t="s">
        <v>40</v>
      </c>
      <c r="F2362">
        <v>3889.71</v>
      </c>
      <c r="G2362">
        <v>46</v>
      </c>
      <c r="H2362" s="1" t="s">
        <v>31</v>
      </c>
      <c r="I2362">
        <v>2302.62</v>
      </c>
      <c r="J2362">
        <v>2740.93</v>
      </c>
      <c r="K2362" s="1" t="s">
        <v>20</v>
      </c>
      <c r="L2362">
        <v>0.25</v>
      </c>
      <c r="M2362" s="1" t="s">
        <v>32</v>
      </c>
      <c r="N2362" s="1" t="s">
        <v>22</v>
      </c>
      <c r="O2362" s="1" t="s">
        <v>83</v>
      </c>
      <c r="P2362">
        <v>105920.51999999999</v>
      </c>
      <c r="Q2362">
        <v>2023</v>
      </c>
      <c r="R2362">
        <v>94562.084999999992</v>
      </c>
      <c r="S2362">
        <v>-11358.434999999998</v>
      </c>
      <c r="T2362" s="1" t="s">
        <v>166</v>
      </c>
      <c r="U2362">
        <v>-0.120116164951312</v>
      </c>
    </row>
    <row r="2363" spans="1:21" x14ac:dyDescent="0.3">
      <c r="A2363" s="1" t="s">
        <v>155</v>
      </c>
      <c r="B2363" s="1" t="s">
        <v>156</v>
      </c>
      <c r="C2363" s="2">
        <v>45279</v>
      </c>
      <c r="D2363" s="1" t="s">
        <v>17</v>
      </c>
      <c r="E2363" s="1" t="s">
        <v>30</v>
      </c>
      <c r="F2363">
        <v>1633.76</v>
      </c>
      <c r="G2363">
        <v>12</v>
      </c>
      <c r="H2363" s="1" t="s">
        <v>37</v>
      </c>
      <c r="I2363">
        <v>4920.46</v>
      </c>
      <c r="J2363">
        <v>5079.68</v>
      </c>
      <c r="K2363" s="1" t="s">
        <v>26</v>
      </c>
      <c r="L2363">
        <v>0.21</v>
      </c>
      <c r="M2363" s="1" t="s">
        <v>27</v>
      </c>
      <c r="N2363" s="1" t="s">
        <v>33</v>
      </c>
      <c r="O2363" s="1" t="s">
        <v>34</v>
      </c>
      <c r="P2363">
        <v>59045.520000000004</v>
      </c>
      <c r="Q2363">
        <v>2023</v>
      </c>
      <c r="R2363">
        <v>48155.366400000006</v>
      </c>
      <c r="S2363">
        <v>-10890.153599999998</v>
      </c>
      <c r="T2363" s="1" t="s">
        <v>166</v>
      </c>
      <c r="U2363">
        <v>-0.22614620994764101</v>
      </c>
    </row>
    <row r="2364" spans="1:21" x14ac:dyDescent="0.3">
      <c r="A2364" s="1" t="s">
        <v>155</v>
      </c>
      <c r="B2364" s="1" t="s">
        <v>35</v>
      </c>
      <c r="C2364" s="2">
        <v>45279</v>
      </c>
      <c r="D2364" s="1" t="s">
        <v>59</v>
      </c>
      <c r="E2364" s="1" t="s">
        <v>40</v>
      </c>
      <c r="F2364">
        <v>106.47</v>
      </c>
      <c r="G2364">
        <v>35</v>
      </c>
      <c r="H2364" s="1" t="s">
        <v>19</v>
      </c>
      <c r="I2364">
        <v>4900.03</v>
      </c>
      <c r="J2364">
        <v>5118.83</v>
      </c>
      <c r="K2364" s="1" t="s">
        <v>20</v>
      </c>
      <c r="L2364">
        <v>7.0000000000000007E-2</v>
      </c>
      <c r="M2364" s="1" t="s">
        <v>27</v>
      </c>
      <c r="N2364" s="1" t="s">
        <v>33</v>
      </c>
      <c r="O2364" s="1" t="s">
        <v>90</v>
      </c>
      <c r="P2364">
        <v>171501.05</v>
      </c>
      <c r="Q2364">
        <v>2023</v>
      </c>
      <c r="R2364">
        <v>166617.91649999999</v>
      </c>
      <c r="S2364">
        <v>-4883.1334999999963</v>
      </c>
      <c r="T2364" s="1" t="s">
        <v>166</v>
      </c>
      <c r="U2364">
        <v>-2.9307373436037398E-2</v>
      </c>
    </row>
    <row r="2365" spans="1:21" x14ac:dyDescent="0.3">
      <c r="A2365" s="1" t="s">
        <v>155</v>
      </c>
      <c r="B2365" s="1" t="s">
        <v>65</v>
      </c>
      <c r="C2365" s="2">
        <v>45280</v>
      </c>
      <c r="D2365" s="1" t="s">
        <v>17</v>
      </c>
      <c r="E2365" s="1" t="s">
        <v>18</v>
      </c>
      <c r="F2365">
        <v>5429.49</v>
      </c>
      <c r="G2365">
        <v>12</v>
      </c>
      <c r="H2365" s="1" t="s">
        <v>31</v>
      </c>
      <c r="I2365">
        <v>4682.34</v>
      </c>
      <c r="J2365">
        <v>5036.3999999999996</v>
      </c>
      <c r="K2365" s="1" t="s">
        <v>26</v>
      </c>
      <c r="L2365">
        <v>0.2</v>
      </c>
      <c r="M2365" s="1" t="s">
        <v>32</v>
      </c>
      <c r="N2365" s="1" t="s">
        <v>33</v>
      </c>
      <c r="O2365" s="1" t="s">
        <v>23</v>
      </c>
      <c r="P2365">
        <v>56188.08</v>
      </c>
      <c r="Q2365">
        <v>2023</v>
      </c>
      <c r="R2365">
        <v>48349.440000000002</v>
      </c>
      <c r="S2365">
        <v>-7838.6399999999994</v>
      </c>
      <c r="T2365" s="1" t="s">
        <v>166</v>
      </c>
      <c r="U2365">
        <v>-0.16212473195139401</v>
      </c>
    </row>
    <row r="2366" spans="1:21" x14ac:dyDescent="0.3">
      <c r="A2366" s="1" t="s">
        <v>155</v>
      </c>
      <c r="B2366" s="1" t="s">
        <v>96</v>
      </c>
      <c r="C2366" s="2">
        <v>45280</v>
      </c>
      <c r="D2366" s="1" t="s">
        <v>36</v>
      </c>
      <c r="E2366" s="1" t="s">
        <v>18</v>
      </c>
      <c r="F2366">
        <v>2782.33</v>
      </c>
      <c r="G2366">
        <v>2</v>
      </c>
      <c r="H2366" s="1" t="s">
        <v>19</v>
      </c>
      <c r="I2366">
        <v>2250.91</v>
      </c>
      <c r="J2366">
        <v>2558.6799999999998</v>
      </c>
      <c r="K2366" s="1" t="s">
        <v>26</v>
      </c>
      <c r="L2366">
        <v>0.09</v>
      </c>
      <c r="M2366" s="1" t="s">
        <v>27</v>
      </c>
      <c r="N2366" s="1" t="s">
        <v>33</v>
      </c>
      <c r="O2366" s="1" t="s">
        <v>115</v>
      </c>
      <c r="P2366">
        <v>4501.82</v>
      </c>
      <c r="Q2366">
        <v>2023</v>
      </c>
      <c r="R2366">
        <v>4656.7975999999999</v>
      </c>
      <c r="S2366">
        <v>154.97760000000017</v>
      </c>
      <c r="T2366" s="1" t="s">
        <v>166</v>
      </c>
      <c r="U2366">
        <v>3.3279865974849401E-2</v>
      </c>
    </row>
    <row r="2367" spans="1:21" x14ac:dyDescent="0.3">
      <c r="A2367" s="1" t="s">
        <v>155</v>
      </c>
      <c r="B2367" s="1" t="s">
        <v>16</v>
      </c>
      <c r="C2367" s="2">
        <v>45280</v>
      </c>
      <c r="D2367" s="1" t="s">
        <v>25</v>
      </c>
      <c r="E2367" s="1" t="s">
        <v>40</v>
      </c>
      <c r="F2367">
        <v>765.83</v>
      </c>
      <c r="G2367">
        <v>23</v>
      </c>
      <c r="H2367" s="1" t="s">
        <v>19</v>
      </c>
      <c r="I2367">
        <v>2296.9299999999998</v>
      </c>
      <c r="J2367">
        <v>2319.62</v>
      </c>
      <c r="K2367" s="1" t="s">
        <v>20</v>
      </c>
      <c r="L2367">
        <v>0.23</v>
      </c>
      <c r="M2367" s="1" t="s">
        <v>32</v>
      </c>
      <c r="N2367" s="1" t="s">
        <v>33</v>
      </c>
      <c r="O2367" s="1" t="s">
        <v>83</v>
      </c>
      <c r="P2367">
        <v>52829.39</v>
      </c>
      <c r="Q2367">
        <v>2023</v>
      </c>
      <c r="R2367">
        <v>41080.470199999996</v>
      </c>
      <c r="S2367">
        <v>-11748.919800000003</v>
      </c>
      <c r="T2367" s="1" t="s">
        <v>166</v>
      </c>
      <c r="U2367">
        <v>-0.285997695323361</v>
      </c>
    </row>
    <row r="2368" spans="1:21" x14ac:dyDescent="0.3">
      <c r="A2368" s="1" t="s">
        <v>155</v>
      </c>
      <c r="B2368" s="1" t="s">
        <v>136</v>
      </c>
      <c r="C2368" s="2">
        <v>45280</v>
      </c>
      <c r="D2368" s="1" t="s">
        <v>36</v>
      </c>
      <c r="E2368" s="1" t="s">
        <v>40</v>
      </c>
      <c r="F2368">
        <v>1629.47</v>
      </c>
      <c r="G2368">
        <v>39</v>
      </c>
      <c r="H2368" s="1" t="s">
        <v>37</v>
      </c>
      <c r="I2368">
        <v>3685.03</v>
      </c>
      <c r="J2368">
        <v>3743.39</v>
      </c>
      <c r="K2368" s="1" t="s">
        <v>26</v>
      </c>
      <c r="L2368">
        <v>0.01</v>
      </c>
      <c r="M2368" s="1" t="s">
        <v>32</v>
      </c>
      <c r="N2368" s="1" t="s">
        <v>22</v>
      </c>
      <c r="O2368" s="1" t="s">
        <v>41</v>
      </c>
      <c r="P2368">
        <v>143716.17000000001</v>
      </c>
      <c r="Q2368">
        <v>2023</v>
      </c>
      <c r="R2368">
        <v>144532.2879</v>
      </c>
      <c r="S2368">
        <v>816.11789999998291</v>
      </c>
      <c r="T2368" s="1" t="s">
        <v>166</v>
      </c>
      <c r="U2368">
        <v>5.6466130292260001E-3</v>
      </c>
    </row>
    <row r="2369" spans="1:21" x14ac:dyDescent="0.3">
      <c r="A2369" s="1" t="s">
        <v>155</v>
      </c>
      <c r="B2369" s="1" t="s">
        <v>110</v>
      </c>
      <c r="C2369" s="2">
        <v>45281</v>
      </c>
      <c r="D2369" s="1" t="s">
        <v>43</v>
      </c>
      <c r="E2369" s="1" t="s">
        <v>18</v>
      </c>
      <c r="F2369">
        <v>660.2</v>
      </c>
      <c r="G2369">
        <v>44</v>
      </c>
      <c r="H2369" s="1" t="s">
        <v>31</v>
      </c>
      <c r="I2369">
        <v>2045</v>
      </c>
      <c r="J2369">
        <v>2217.5100000000002</v>
      </c>
      <c r="K2369" s="1" t="s">
        <v>20</v>
      </c>
      <c r="L2369">
        <v>0.08</v>
      </c>
      <c r="M2369" s="1" t="s">
        <v>27</v>
      </c>
      <c r="N2369" s="1" t="s">
        <v>22</v>
      </c>
      <c r="O2369" s="1" t="s">
        <v>62</v>
      </c>
      <c r="P2369">
        <v>89980</v>
      </c>
      <c r="Q2369">
        <v>2023</v>
      </c>
      <c r="R2369">
        <v>89764.804800000013</v>
      </c>
      <c r="S2369">
        <v>-215.19519999998738</v>
      </c>
      <c r="T2369" s="1" t="s">
        <v>166</v>
      </c>
      <c r="U2369">
        <v>-2.3973226531205801E-3</v>
      </c>
    </row>
    <row r="2370" spans="1:21" x14ac:dyDescent="0.3">
      <c r="A2370" s="1" t="s">
        <v>155</v>
      </c>
      <c r="B2370" s="1" t="s">
        <v>146</v>
      </c>
      <c r="C2370" s="2">
        <v>45282</v>
      </c>
      <c r="D2370" s="1" t="s">
        <v>17</v>
      </c>
      <c r="E2370" s="1" t="s">
        <v>18</v>
      </c>
      <c r="F2370">
        <v>8485.9</v>
      </c>
      <c r="G2370">
        <v>11</v>
      </c>
      <c r="H2370" s="1" t="s">
        <v>19</v>
      </c>
      <c r="I2370">
        <v>4840.33</v>
      </c>
      <c r="J2370">
        <v>4884.29</v>
      </c>
      <c r="K2370" s="1" t="s">
        <v>26</v>
      </c>
      <c r="L2370">
        <v>0.13</v>
      </c>
      <c r="M2370" s="1" t="s">
        <v>21</v>
      </c>
      <c r="N2370" s="1" t="s">
        <v>22</v>
      </c>
      <c r="O2370" s="1" t="s">
        <v>23</v>
      </c>
      <c r="P2370">
        <v>53243.63</v>
      </c>
      <c r="Q2370">
        <v>2023</v>
      </c>
      <c r="R2370">
        <v>46742.655299999999</v>
      </c>
      <c r="S2370">
        <v>-6500.9746999999988</v>
      </c>
      <c r="T2370" s="1" t="s">
        <v>166</v>
      </c>
      <c r="U2370">
        <v>-0.13908013265989999</v>
      </c>
    </row>
    <row r="2371" spans="1:21" x14ac:dyDescent="0.3">
      <c r="A2371" s="1" t="s">
        <v>155</v>
      </c>
      <c r="B2371" s="1" t="s">
        <v>61</v>
      </c>
      <c r="C2371" s="2">
        <v>45282</v>
      </c>
      <c r="D2371" s="1" t="s">
        <v>25</v>
      </c>
      <c r="E2371" s="1" t="s">
        <v>40</v>
      </c>
      <c r="F2371">
        <v>9509.5499999999993</v>
      </c>
      <c r="G2371">
        <v>2</v>
      </c>
      <c r="H2371" s="1" t="s">
        <v>31</v>
      </c>
      <c r="I2371">
        <v>3752.68</v>
      </c>
      <c r="J2371">
        <v>4017.91</v>
      </c>
      <c r="K2371" s="1" t="s">
        <v>20</v>
      </c>
      <c r="L2371">
        <v>0.16</v>
      </c>
      <c r="M2371" s="1" t="s">
        <v>32</v>
      </c>
      <c r="N2371" s="1" t="s">
        <v>22</v>
      </c>
      <c r="O2371" s="1" t="s">
        <v>83</v>
      </c>
      <c r="P2371">
        <v>7505.36</v>
      </c>
      <c r="Q2371">
        <v>2023</v>
      </c>
      <c r="R2371">
        <v>6750.0887999999995</v>
      </c>
      <c r="S2371">
        <v>-755.27120000000014</v>
      </c>
      <c r="T2371" s="1" t="s">
        <v>166</v>
      </c>
      <c r="U2371">
        <v>-0.111890557647182</v>
      </c>
    </row>
    <row r="2372" spans="1:21" x14ac:dyDescent="0.3">
      <c r="A2372" s="1" t="s">
        <v>155</v>
      </c>
      <c r="B2372" s="1" t="s">
        <v>132</v>
      </c>
      <c r="C2372" s="2">
        <v>45282</v>
      </c>
      <c r="D2372" s="1" t="s">
        <v>43</v>
      </c>
      <c r="E2372" s="1" t="s">
        <v>30</v>
      </c>
      <c r="F2372">
        <v>6030.54</v>
      </c>
      <c r="G2372">
        <v>11</v>
      </c>
      <c r="H2372" s="1" t="s">
        <v>57</v>
      </c>
      <c r="I2372">
        <v>1250.5899999999999</v>
      </c>
      <c r="J2372">
        <v>1515.49</v>
      </c>
      <c r="K2372" s="1" t="s">
        <v>20</v>
      </c>
      <c r="L2372">
        <v>0.21</v>
      </c>
      <c r="M2372" s="1" t="s">
        <v>32</v>
      </c>
      <c r="N2372" s="1" t="s">
        <v>33</v>
      </c>
      <c r="O2372" s="1" t="s">
        <v>54</v>
      </c>
      <c r="P2372">
        <v>13756.49</v>
      </c>
      <c r="Q2372">
        <v>2023</v>
      </c>
      <c r="R2372">
        <v>13169.608099999999</v>
      </c>
      <c r="S2372">
        <v>-586.88190000000031</v>
      </c>
      <c r="T2372" s="1" t="s">
        <v>166</v>
      </c>
      <c r="U2372">
        <v>-4.4563353407608301E-2</v>
      </c>
    </row>
    <row r="2373" spans="1:21" x14ac:dyDescent="0.3">
      <c r="A2373" s="1" t="s">
        <v>155</v>
      </c>
      <c r="B2373" s="1" t="s">
        <v>119</v>
      </c>
      <c r="C2373" s="2">
        <v>45282</v>
      </c>
      <c r="D2373" s="1" t="s">
        <v>59</v>
      </c>
      <c r="E2373" s="1" t="s">
        <v>18</v>
      </c>
      <c r="F2373">
        <v>1990.17</v>
      </c>
      <c r="G2373">
        <v>45</v>
      </c>
      <c r="H2373" s="1" t="s">
        <v>19</v>
      </c>
      <c r="I2373">
        <v>1364.51</v>
      </c>
      <c r="J2373">
        <v>1844.8</v>
      </c>
      <c r="K2373" s="1" t="s">
        <v>20</v>
      </c>
      <c r="L2373">
        <v>0.18</v>
      </c>
      <c r="M2373" s="1" t="s">
        <v>21</v>
      </c>
      <c r="N2373" s="1" t="s">
        <v>22</v>
      </c>
      <c r="O2373" s="1" t="s">
        <v>77</v>
      </c>
      <c r="P2373">
        <v>61402.95</v>
      </c>
      <c r="Q2373">
        <v>2023</v>
      </c>
      <c r="R2373">
        <v>68073.12000000001</v>
      </c>
      <c r="S2373">
        <v>6670.1700000000128</v>
      </c>
      <c r="T2373" s="1" t="s">
        <v>166</v>
      </c>
      <c r="U2373">
        <v>9.7985372199776002E-2</v>
      </c>
    </row>
    <row r="2374" spans="1:21" x14ac:dyDescent="0.3">
      <c r="A2374" s="1" t="s">
        <v>155</v>
      </c>
      <c r="B2374" s="1" t="s">
        <v>134</v>
      </c>
      <c r="C2374" s="2">
        <v>45282</v>
      </c>
      <c r="D2374" s="1" t="s">
        <v>36</v>
      </c>
      <c r="E2374" s="1" t="s">
        <v>40</v>
      </c>
      <c r="F2374">
        <v>8803.94</v>
      </c>
      <c r="G2374">
        <v>45</v>
      </c>
      <c r="H2374" s="1" t="s">
        <v>19</v>
      </c>
      <c r="I2374">
        <v>1372.36</v>
      </c>
      <c r="J2374">
        <v>1687.83</v>
      </c>
      <c r="K2374" s="1" t="s">
        <v>26</v>
      </c>
      <c r="L2374">
        <v>0.02</v>
      </c>
      <c r="M2374" s="1" t="s">
        <v>27</v>
      </c>
      <c r="N2374" s="1" t="s">
        <v>22</v>
      </c>
      <c r="O2374" s="1" t="s">
        <v>41</v>
      </c>
      <c r="P2374">
        <v>61756.2</v>
      </c>
      <c r="Q2374">
        <v>2023</v>
      </c>
      <c r="R2374">
        <v>74433.302999999985</v>
      </c>
      <c r="S2374">
        <v>12677.102999999988</v>
      </c>
      <c r="T2374" s="1" t="s">
        <v>166</v>
      </c>
      <c r="U2374">
        <v>0.17031493281978899</v>
      </c>
    </row>
    <row r="2375" spans="1:21" x14ac:dyDescent="0.3">
      <c r="A2375" s="1" t="s">
        <v>155</v>
      </c>
      <c r="B2375" s="1" t="s">
        <v>61</v>
      </c>
      <c r="C2375" s="2">
        <v>45282</v>
      </c>
      <c r="D2375" s="1" t="s">
        <v>25</v>
      </c>
      <c r="E2375" s="1" t="s">
        <v>40</v>
      </c>
      <c r="F2375">
        <v>2858.57</v>
      </c>
      <c r="G2375">
        <v>18</v>
      </c>
      <c r="H2375" s="1" t="s">
        <v>57</v>
      </c>
      <c r="I2375">
        <v>1127.8599999999999</v>
      </c>
      <c r="J2375">
        <v>1586.29</v>
      </c>
      <c r="K2375" s="1" t="s">
        <v>26</v>
      </c>
      <c r="L2375">
        <v>0.04</v>
      </c>
      <c r="M2375" s="1" t="s">
        <v>27</v>
      </c>
      <c r="N2375" s="1" t="s">
        <v>22</v>
      </c>
      <c r="O2375" s="1" t="s">
        <v>83</v>
      </c>
      <c r="P2375">
        <v>20301.48</v>
      </c>
      <c r="Q2375">
        <v>2023</v>
      </c>
      <c r="R2375">
        <v>27411.091199999999</v>
      </c>
      <c r="S2375">
        <v>7109.6111999999994</v>
      </c>
      <c r="T2375" s="1" t="s">
        <v>166</v>
      </c>
      <c r="U2375">
        <v>0.25936987141905499</v>
      </c>
    </row>
    <row r="2376" spans="1:21" x14ac:dyDescent="0.3">
      <c r="A2376" s="1" t="s">
        <v>155</v>
      </c>
      <c r="B2376" s="1" t="s">
        <v>102</v>
      </c>
      <c r="C2376" s="2">
        <v>45283</v>
      </c>
      <c r="D2376" s="1" t="s">
        <v>59</v>
      </c>
      <c r="E2376" s="1" t="s">
        <v>44</v>
      </c>
      <c r="F2376">
        <v>780.27</v>
      </c>
      <c r="G2376">
        <v>33</v>
      </c>
      <c r="H2376" s="1" t="s">
        <v>57</v>
      </c>
      <c r="I2376">
        <v>1551.25</v>
      </c>
      <c r="J2376">
        <v>1994.01</v>
      </c>
      <c r="K2376" s="1" t="s">
        <v>20</v>
      </c>
      <c r="L2376">
        <v>0.08</v>
      </c>
      <c r="M2376" s="1" t="s">
        <v>21</v>
      </c>
      <c r="N2376" s="1" t="s">
        <v>22</v>
      </c>
      <c r="O2376" s="1" t="s">
        <v>60</v>
      </c>
      <c r="P2376">
        <v>51191.25</v>
      </c>
      <c r="Q2376">
        <v>2023</v>
      </c>
      <c r="R2376">
        <v>60538.143600000003</v>
      </c>
      <c r="S2376">
        <v>9346.8936000000031</v>
      </c>
      <c r="T2376" s="1" t="s">
        <v>166</v>
      </c>
      <c r="U2376">
        <v>0.15439676614067799</v>
      </c>
    </row>
    <row r="2377" spans="1:21" x14ac:dyDescent="0.3">
      <c r="A2377" s="1" t="s">
        <v>155</v>
      </c>
      <c r="B2377" s="1" t="s">
        <v>58</v>
      </c>
      <c r="C2377" s="2">
        <v>45283</v>
      </c>
      <c r="D2377" s="1" t="s">
        <v>43</v>
      </c>
      <c r="E2377" s="1" t="s">
        <v>44</v>
      </c>
      <c r="F2377">
        <v>1875.62</v>
      </c>
      <c r="G2377">
        <v>47</v>
      </c>
      <c r="H2377" s="1" t="s">
        <v>37</v>
      </c>
      <c r="I2377">
        <v>3374.72</v>
      </c>
      <c r="J2377">
        <v>3483.15</v>
      </c>
      <c r="K2377" s="1" t="s">
        <v>20</v>
      </c>
      <c r="L2377">
        <v>0.18</v>
      </c>
      <c r="M2377" s="1" t="s">
        <v>21</v>
      </c>
      <c r="N2377" s="1" t="s">
        <v>22</v>
      </c>
      <c r="O2377" s="1" t="s">
        <v>45</v>
      </c>
      <c r="P2377">
        <v>158611.84</v>
      </c>
      <c r="Q2377">
        <v>2023</v>
      </c>
      <c r="R2377">
        <v>134240.60100000002</v>
      </c>
      <c r="S2377">
        <v>-24371.238999999972</v>
      </c>
      <c r="T2377" s="1" t="s">
        <v>166</v>
      </c>
      <c r="U2377">
        <v>-0.18154894136685201</v>
      </c>
    </row>
    <row r="2378" spans="1:21" x14ac:dyDescent="0.3">
      <c r="A2378" s="1" t="s">
        <v>155</v>
      </c>
      <c r="B2378" s="1" t="s">
        <v>24</v>
      </c>
      <c r="C2378" s="2">
        <v>45285</v>
      </c>
      <c r="D2378" s="1" t="s">
        <v>17</v>
      </c>
      <c r="E2378" s="1" t="s">
        <v>30</v>
      </c>
      <c r="F2378">
        <v>2032.88</v>
      </c>
      <c r="G2378">
        <v>32</v>
      </c>
      <c r="H2378" s="1" t="s">
        <v>19</v>
      </c>
      <c r="I2378">
        <v>4248.5</v>
      </c>
      <c r="J2378">
        <v>4706.7</v>
      </c>
      <c r="K2378" s="1" t="s">
        <v>26</v>
      </c>
      <c r="L2378">
        <v>0.01</v>
      </c>
      <c r="M2378" s="1" t="s">
        <v>32</v>
      </c>
      <c r="N2378" s="1" t="s">
        <v>33</v>
      </c>
      <c r="O2378" s="1" t="s">
        <v>34</v>
      </c>
      <c r="P2378">
        <v>135952</v>
      </c>
      <c r="Q2378">
        <v>2023</v>
      </c>
      <c r="R2378">
        <v>149108.25599999999</v>
      </c>
      <c r="S2378">
        <v>13156.255999999994</v>
      </c>
      <c r="T2378" s="1" t="s">
        <v>166</v>
      </c>
      <c r="U2378">
        <v>8.82329144806039E-2</v>
      </c>
    </row>
    <row r="2379" spans="1:21" x14ac:dyDescent="0.3">
      <c r="A2379" s="1" t="s">
        <v>155</v>
      </c>
      <c r="B2379" s="1" t="s">
        <v>145</v>
      </c>
      <c r="C2379" s="2">
        <v>45285</v>
      </c>
      <c r="D2379" s="1" t="s">
        <v>36</v>
      </c>
      <c r="E2379" s="1" t="s">
        <v>18</v>
      </c>
      <c r="F2379">
        <v>7405.06</v>
      </c>
      <c r="G2379">
        <v>43</v>
      </c>
      <c r="H2379" s="1" t="s">
        <v>37</v>
      </c>
      <c r="I2379">
        <v>1249.17</v>
      </c>
      <c r="J2379">
        <v>1727.15</v>
      </c>
      <c r="K2379" s="1" t="s">
        <v>26</v>
      </c>
      <c r="L2379">
        <v>0.08</v>
      </c>
      <c r="M2379" s="1" t="s">
        <v>21</v>
      </c>
      <c r="N2379" s="1" t="s">
        <v>33</v>
      </c>
      <c r="O2379" s="1" t="s">
        <v>115</v>
      </c>
      <c r="P2379">
        <v>53714.310000000005</v>
      </c>
      <c r="Q2379">
        <v>2023</v>
      </c>
      <c r="R2379">
        <v>68326.054000000004</v>
      </c>
      <c r="S2379">
        <v>14611.743999999999</v>
      </c>
      <c r="T2379" s="1" t="s">
        <v>166</v>
      </c>
      <c r="U2379">
        <v>0.21385318110131199</v>
      </c>
    </row>
    <row r="2380" spans="1:21" x14ac:dyDescent="0.3">
      <c r="A2380" s="1" t="s">
        <v>155</v>
      </c>
      <c r="B2380" s="1" t="s">
        <v>133</v>
      </c>
      <c r="C2380" s="2">
        <v>45285</v>
      </c>
      <c r="D2380" s="1" t="s">
        <v>36</v>
      </c>
      <c r="E2380" s="1" t="s">
        <v>30</v>
      </c>
      <c r="F2380">
        <v>2418.61</v>
      </c>
      <c r="G2380">
        <v>30</v>
      </c>
      <c r="H2380" s="1" t="s">
        <v>57</v>
      </c>
      <c r="I2380">
        <v>3289.01</v>
      </c>
      <c r="J2380">
        <v>3508.14</v>
      </c>
      <c r="K2380" s="1" t="s">
        <v>26</v>
      </c>
      <c r="L2380">
        <v>0.17</v>
      </c>
      <c r="M2380" s="1" t="s">
        <v>32</v>
      </c>
      <c r="N2380" s="1" t="s">
        <v>33</v>
      </c>
      <c r="O2380" s="1" t="s">
        <v>38</v>
      </c>
      <c r="P2380">
        <v>98670.3</v>
      </c>
      <c r="Q2380">
        <v>2023</v>
      </c>
      <c r="R2380">
        <v>87352.685999999987</v>
      </c>
      <c r="S2380">
        <v>-11317.614000000016</v>
      </c>
      <c r="T2380" s="1" t="s">
        <v>166</v>
      </c>
      <c r="U2380">
        <v>-0.12956228959004201</v>
      </c>
    </row>
    <row r="2381" spans="1:21" x14ac:dyDescent="0.3">
      <c r="A2381" s="1" t="s">
        <v>155</v>
      </c>
      <c r="B2381" s="1" t="s">
        <v>98</v>
      </c>
      <c r="C2381" s="2">
        <v>45285</v>
      </c>
      <c r="D2381" s="1" t="s">
        <v>43</v>
      </c>
      <c r="E2381" s="1" t="s">
        <v>18</v>
      </c>
      <c r="F2381">
        <v>2809.04</v>
      </c>
      <c r="G2381">
        <v>25</v>
      </c>
      <c r="H2381" s="1" t="s">
        <v>19</v>
      </c>
      <c r="I2381">
        <v>1154.28</v>
      </c>
      <c r="J2381">
        <v>1408.4</v>
      </c>
      <c r="K2381" s="1" t="s">
        <v>20</v>
      </c>
      <c r="L2381">
        <v>0.28999999999999998</v>
      </c>
      <c r="M2381" s="1" t="s">
        <v>32</v>
      </c>
      <c r="N2381" s="1" t="s">
        <v>33</v>
      </c>
      <c r="O2381" s="1" t="s">
        <v>62</v>
      </c>
      <c r="P2381">
        <v>28857</v>
      </c>
      <c r="Q2381">
        <v>2023</v>
      </c>
      <c r="R2381">
        <v>24999.1</v>
      </c>
      <c r="S2381">
        <v>-3857.9000000000015</v>
      </c>
      <c r="T2381" s="1" t="s">
        <v>166</v>
      </c>
      <c r="U2381">
        <v>-0.154321555576001</v>
      </c>
    </row>
    <row r="2382" spans="1:21" x14ac:dyDescent="0.3">
      <c r="A2382" s="1" t="s">
        <v>155</v>
      </c>
      <c r="B2382" s="1" t="s">
        <v>139</v>
      </c>
      <c r="C2382" s="2">
        <v>45285</v>
      </c>
      <c r="D2382" s="1" t="s">
        <v>59</v>
      </c>
      <c r="E2382" s="1" t="s">
        <v>30</v>
      </c>
      <c r="F2382">
        <v>8635.81</v>
      </c>
      <c r="G2382">
        <v>28</v>
      </c>
      <c r="H2382" s="1" t="s">
        <v>31</v>
      </c>
      <c r="I2382">
        <v>2146.2399999999998</v>
      </c>
      <c r="J2382">
        <v>2173.4699999999998</v>
      </c>
      <c r="K2382" s="1" t="s">
        <v>20</v>
      </c>
      <c r="L2382">
        <v>0.1</v>
      </c>
      <c r="M2382" s="1" t="s">
        <v>21</v>
      </c>
      <c r="N2382" s="1" t="s">
        <v>33</v>
      </c>
      <c r="O2382" s="1" t="s">
        <v>86</v>
      </c>
      <c r="P2382">
        <v>60094.719999999994</v>
      </c>
      <c r="Q2382">
        <v>2023</v>
      </c>
      <c r="R2382">
        <v>54771.443999999996</v>
      </c>
      <c r="S2382">
        <v>-5323.275999999998</v>
      </c>
      <c r="T2382" s="1" t="s">
        <v>166</v>
      </c>
      <c r="U2382">
        <v>-9.7190718579557606E-2</v>
      </c>
    </row>
    <row r="2383" spans="1:21" x14ac:dyDescent="0.3">
      <c r="A2383" s="1" t="s">
        <v>155</v>
      </c>
      <c r="B2383" s="1" t="s">
        <v>126</v>
      </c>
      <c r="C2383" s="2">
        <v>45286</v>
      </c>
      <c r="D2383" s="1" t="s">
        <v>25</v>
      </c>
      <c r="E2383" s="1" t="s">
        <v>18</v>
      </c>
      <c r="F2383">
        <v>3635.5</v>
      </c>
      <c r="G2383">
        <v>23</v>
      </c>
      <c r="H2383" s="1" t="s">
        <v>31</v>
      </c>
      <c r="I2383">
        <v>1662.83</v>
      </c>
      <c r="J2383">
        <v>2074.25</v>
      </c>
      <c r="K2383" s="1" t="s">
        <v>26</v>
      </c>
      <c r="L2383">
        <v>0.12</v>
      </c>
      <c r="M2383" s="1" t="s">
        <v>32</v>
      </c>
      <c r="N2383" s="1" t="s">
        <v>22</v>
      </c>
      <c r="O2383" s="1" t="s">
        <v>28</v>
      </c>
      <c r="P2383">
        <v>38245.089999999997</v>
      </c>
      <c r="Q2383">
        <v>2023</v>
      </c>
      <c r="R2383">
        <v>41982.82</v>
      </c>
      <c r="S2383">
        <v>3737.7300000000032</v>
      </c>
      <c r="T2383" s="1" t="s">
        <v>166</v>
      </c>
      <c r="U2383">
        <v>8.9029988933568602E-2</v>
      </c>
    </row>
    <row r="2384" spans="1:21" x14ac:dyDescent="0.3">
      <c r="A2384" s="1" t="s">
        <v>155</v>
      </c>
      <c r="B2384" s="1" t="s">
        <v>42</v>
      </c>
      <c r="C2384" s="2">
        <v>45286</v>
      </c>
      <c r="D2384" s="1" t="s">
        <v>17</v>
      </c>
      <c r="E2384" s="1" t="s">
        <v>40</v>
      </c>
      <c r="F2384">
        <v>6644.04</v>
      </c>
      <c r="G2384">
        <v>25</v>
      </c>
      <c r="H2384" s="1" t="s">
        <v>37</v>
      </c>
      <c r="I2384">
        <v>4148.4799999999996</v>
      </c>
      <c r="J2384">
        <v>4293.6899999999996</v>
      </c>
      <c r="K2384" s="1" t="s">
        <v>26</v>
      </c>
      <c r="L2384">
        <v>0.11</v>
      </c>
      <c r="M2384" s="1" t="s">
        <v>32</v>
      </c>
      <c r="N2384" s="1" t="s">
        <v>22</v>
      </c>
      <c r="O2384" s="1" t="s">
        <v>67</v>
      </c>
      <c r="P2384">
        <v>103711.99999999999</v>
      </c>
      <c r="Q2384">
        <v>2023</v>
      </c>
      <c r="R2384">
        <v>95534.602499999994</v>
      </c>
      <c r="S2384">
        <v>-8177.3974999999919</v>
      </c>
      <c r="T2384" s="1" t="s">
        <v>166</v>
      </c>
      <c r="U2384">
        <v>-8.5596184900648895E-2</v>
      </c>
    </row>
    <row r="2385" spans="1:21" x14ac:dyDescent="0.3">
      <c r="A2385" s="1" t="s">
        <v>155</v>
      </c>
      <c r="B2385" s="1" t="s">
        <v>97</v>
      </c>
      <c r="C2385" s="2">
        <v>45286</v>
      </c>
      <c r="D2385" s="1" t="s">
        <v>36</v>
      </c>
      <c r="E2385" s="1" t="s">
        <v>18</v>
      </c>
      <c r="F2385">
        <v>2565.19</v>
      </c>
      <c r="G2385">
        <v>17</v>
      </c>
      <c r="H2385" s="1" t="s">
        <v>31</v>
      </c>
      <c r="I2385">
        <v>4114.66</v>
      </c>
      <c r="J2385">
        <v>4269.0200000000004</v>
      </c>
      <c r="K2385" s="1" t="s">
        <v>20</v>
      </c>
      <c r="L2385">
        <v>0.27</v>
      </c>
      <c r="M2385" s="1" t="s">
        <v>32</v>
      </c>
      <c r="N2385" s="1" t="s">
        <v>33</v>
      </c>
      <c r="O2385" s="1" t="s">
        <v>115</v>
      </c>
      <c r="P2385">
        <v>69949.22</v>
      </c>
      <c r="Q2385">
        <v>2023</v>
      </c>
      <c r="R2385">
        <v>52978.53820000001</v>
      </c>
      <c r="S2385">
        <v>-16970.681799999991</v>
      </c>
      <c r="T2385" s="1" t="s">
        <v>166</v>
      </c>
      <c r="U2385">
        <v>-0.32033125821504799</v>
      </c>
    </row>
    <row r="2386" spans="1:21" x14ac:dyDescent="0.3">
      <c r="A2386" s="1" t="s">
        <v>155</v>
      </c>
      <c r="B2386" s="1" t="s">
        <v>140</v>
      </c>
      <c r="C2386" s="2">
        <v>45286</v>
      </c>
      <c r="D2386" s="1" t="s">
        <v>36</v>
      </c>
      <c r="E2386" s="1" t="s">
        <v>30</v>
      </c>
      <c r="F2386">
        <v>4244.21</v>
      </c>
      <c r="G2386">
        <v>11</v>
      </c>
      <c r="H2386" s="1" t="s">
        <v>19</v>
      </c>
      <c r="I2386">
        <v>4100.62</v>
      </c>
      <c r="J2386">
        <v>4230</v>
      </c>
      <c r="K2386" s="1" t="s">
        <v>26</v>
      </c>
      <c r="L2386">
        <v>0.28999999999999998</v>
      </c>
      <c r="M2386" s="1" t="s">
        <v>32</v>
      </c>
      <c r="N2386" s="1" t="s">
        <v>22</v>
      </c>
      <c r="O2386" s="1" t="s">
        <v>38</v>
      </c>
      <c r="P2386">
        <v>45106.82</v>
      </c>
      <c r="Q2386">
        <v>2023</v>
      </c>
      <c r="R2386">
        <v>33036.299999999996</v>
      </c>
      <c r="S2386">
        <v>-12070.520000000004</v>
      </c>
      <c r="T2386" s="1" t="s">
        <v>166</v>
      </c>
      <c r="U2386">
        <v>-0.36537142476609102</v>
      </c>
    </row>
    <row r="2387" spans="1:21" x14ac:dyDescent="0.3">
      <c r="A2387" s="1" t="s">
        <v>155</v>
      </c>
      <c r="B2387" s="1" t="s">
        <v>151</v>
      </c>
      <c r="C2387" s="2">
        <v>45287</v>
      </c>
      <c r="D2387" s="1" t="s">
        <v>36</v>
      </c>
      <c r="E2387" s="1" t="s">
        <v>44</v>
      </c>
      <c r="F2387">
        <v>4752.88</v>
      </c>
      <c r="G2387">
        <v>40</v>
      </c>
      <c r="H2387" s="1" t="s">
        <v>57</v>
      </c>
      <c r="I2387">
        <v>1447.72</v>
      </c>
      <c r="J2387">
        <v>1875.75</v>
      </c>
      <c r="K2387" s="1" t="s">
        <v>26</v>
      </c>
      <c r="L2387">
        <v>0.13</v>
      </c>
      <c r="M2387" s="1" t="s">
        <v>21</v>
      </c>
      <c r="N2387" s="1" t="s">
        <v>33</v>
      </c>
      <c r="O2387" s="1" t="s">
        <v>71</v>
      </c>
      <c r="P2387">
        <v>57908.800000000003</v>
      </c>
      <c r="Q2387">
        <v>2023</v>
      </c>
      <c r="R2387">
        <v>65276.1</v>
      </c>
      <c r="S2387">
        <v>7367.2999999999956</v>
      </c>
      <c r="T2387" s="1" t="s">
        <v>166</v>
      </c>
      <c r="U2387">
        <v>0.112863666793819</v>
      </c>
    </row>
    <row r="2388" spans="1:21" x14ac:dyDescent="0.3">
      <c r="A2388" s="1" t="s">
        <v>155</v>
      </c>
      <c r="B2388" s="1" t="s">
        <v>74</v>
      </c>
      <c r="C2388" s="2">
        <v>45287</v>
      </c>
      <c r="D2388" s="1" t="s">
        <v>43</v>
      </c>
      <c r="E2388" s="1" t="s">
        <v>30</v>
      </c>
      <c r="F2388">
        <v>3772.32</v>
      </c>
      <c r="G2388">
        <v>31</v>
      </c>
      <c r="H2388" s="1" t="s">
        <v>31</v>
      </c>
      <c r="I2388">
        <v>2403.16</v>
      </c>
      <c r="J2388">
        <v>2453.35</v>
      </c>
      <c r="K2388" s="1" t="s">
        <v>20</v>
      </c>
      <c r="L2388">
        <v>0.19</v>
      </c>
      <c r="M2388" s="1" t="s">
        <v>27</v>
      </c>
      <c r="N2388" s="1" t="s">
        <v>22</v>
      </c>
      <c r="O2388" s="1" t="s">
        <v>54</v>
      </c>
      <c r="P2388">
        <v>74497.959999999992</v>
      </c>
      <c r="Q2388">
        <v>2023</v>
      </c>
      <c r="R2388">
        <v>61603.618499999997</v>
      </c>
      <c r="S2388">
        <v>-12894.341499999995</v>
      </c>
      <c r="T2388" s="1" t="s">
        <v>166</v>
      </c>
      <c r="U2388">
        <v>-0.20931143030177701</v>
      </c>
    </row>
    <row r="2389" spans="1:21" x14ac:dyDescent="0.3">
      <c r="A2389" s="1" t="s">
        <v>155</v>
      </c>
      <c r="B2389" s="1" t="s">
        <v>98</v>
      </c>
      <c r="C2389" s="2">
        <v>45287</v>
      </c>
      <c r="D2389" s="1" t="s">
        <v>43</v>
      </c>
      <c r="E2389" s="1" t="s">
        <v>44</v>
      </c>
      <c r="F2389">
        <v>7979.67</v>
      </c>
      <c r="G2389">
        <v>4</v>
      </c>
      <c r="H2389" s="1" t="s">
        <v>57</v>
      </c>
      <c r="I2389">
        <v>1612.82</v>
      </c>
      <c r="J2389">
        <v>1647.25</v>
      </c>
      <c r="K2389" s="1" t="s">
        <v>20</v>
      </c>
      <c r="L2389">
        <v>0.04</v>
      </c>
      <c r="M2389" s="1" t="s">
        <v>27</v>
      </c>
      <c r="N2389" s="1" t="s">
        <v>33</v>
      </c>
      <c r="O2389" s="1" t="s">
        <v>45</v>
      </c>
      <c r="P2389">
        <v>6451.28</v>
      </c>
      <c r="Q2389">
        <v>2023</v>
      </c>
      <c r="R2389">
        <v>6325.44</v>
      </c>
      <c r="S2389">
        <v>-125.84000000000015</v>
      </c>
      <c r="T2389" s="1" t="s">
        <v>166</v>
      </c>
      <c r="U2389">
        <v>-1.9894268224819201E-2</v>
      </c>
    </row>
    <row r="2390" spans="1:21" x14ac:dyDescent="0.3">
      <c r="A2390" s="1" t="s">
        <v>155</v>
      </c>
      <c r="B2390" s="1" t="s">
        <v>68</v>
      </c>
      <c r="C2390" s="2">
        <v>45288</v>
      </c>
      <c r="D2390" s="1" t="s">
        <v>36</v>
      </c>
      <c r="E2390" s="1" t="s">
        <v>40</v>
      </c>
      <c r="F2390">
        <v>6139.07</v>
      </c>
      <c r="G2390">
        <v>18</v>
      </c>
      <c r="H2390" s="1" t="s">
        <v>57</v>
      </c>
      <c r="I2390">
        <v>4334.58</v>
      </c>
      <c r="J2390">
        <v>4431.04</v>
      </c>
      <c r="K2390" s="1" t="s">
        <v>26</v>
      </c>
      <c r="L2390">
        <v>0.02</v>
      </c>
      <c r="M2390" s="1" t="s">
        <v>32</v>
      </c>
      <c r="N2390" s="1" t="s">
        <v>33</v>
      </c>
      <c r="O2390" s="1" t="s">
        <v>41</v>
      </c>
      <c r="P2390">
        <v>78022.44</v>
      </c>
      <c r="Q2390">
        <v>2023</v>
      </c>
      <c r="R2390">
        <v>78163.545599999998</v>
      </c>
      <c r="S2390">
        <v>141.10559999999532</v>
      </c>
      <c r="T2390" s="1" t="s">
        <v>166</v>
      </c>
      <c r="U2390">
        <v>1.80526099368751E-3</v>
      </c>
    </row>
    <row r="2391" spans="1:21" x14ac:dyDescent="0.3">
      <c r="A2391" s="1" t="s">
        <v>155</v>
      </c>
      <c r="B2391" s="1" t="s">
        <v>53</v>
      </c>
      <c r="C2391" s="2">
        <v>45288</v>
      </c>
      <c r="D2391" s="1" t="s">
        <v>43</v>
      </c>
      <c r="E2391" s="1" t="s">
        <v>40</v>
      </c>
      <c r="F2391">
        <v>1837.37</v>
      </c>
      <c r="G2391">
        <v>46</v>
      </c>
      <c r="H2391" s="1" t="s">
        <v>31</v>
      </c>
      <c r="I2391">
        <v>83.86</v>
      </c>
      <c r="J2391">
        <v>526.14</v>
      </c>
      <c r="K2391" s="1" t="s">
        <v>20</v>
      </c>
      <c r="L2391">
        <v>0.11</v>
      </c>
      <c r="M2391" s="1" t="s">
        <v>27</v>
      </c>
      <c r="N2391" s="1" t="s">
        <v>22</v>
      </c>
      <c r="O2391" s="1" t="s">
        <v>99</v>
      </c>
      <c r="P2391">
        <v>3857.56</v>
      </c>
      <c r="Q2391">
        <v>2023</v>
      </c>
      <c r="R2391">
        <v>21540.171599999998</v>
      </c>
      <c r="S2391">
        <v>17682.611599999997</v>
      </c>
      <c r="T2391" s="1" t="s">
        <v>166</v>
      </c>
      <c r="U2391">
        <v>0.820913218722919</v>
      </c>
    </row>
    <row r="2392" spans="1:21" x14ac:dyDescent="0.3">
      <c r="A2392" s="1" t="s">
        <v>155</v>
      </c>
      <c r="B2392" s="1" t="s">
        <v>97</v>
      </c>
      <c r="C2392" s="2">
        <v>45289</v>
      </c>
      <c r="D2392" s="1" t="s">
        <v>17</v>
      </c>
      <c r="E2392" s="1" t="s">
        <v>18</v>
      </c>
      <c r="F2392">
        <v>9190.57</v>
      </c>
      <c r="G2392">
        <v>5</v>
      </c>
      <c r="H2392" s="1" t="s">
        <v>31</v>
      </c>
      <c r="I2392">
        <v>3417.9</v>
      </c>
      <c r="J2392">
        <v>3714.52</v>
      </c>
      <c r="K2392" s="1" t="s">
        <v>20</v>
      </c>
      <c r="L2392">
        <v>0.27</v>
      </c>
      <c r="M2392" s="1" t="s">
        <v>27</v>
      </c>
      <c r="N2392" s="1" t="s">
        <v>33</v>
      </c>
      <c r="O2392" s="1" t="s">
        <v>23</v>
      </c>
      <c r="P2392">
        <v>17089.5</v>
      </c>
      <c r="Q2392">
        <v>2023</v>
      </c>
      <c r="R2392">
        <v>13557.997999999998</v>
      </c>
      <c r="S2392">
        <v>-3531.5020000000022</v>
      </c>
      <c r="T2392" s="1" t="s">
        <v>166</v>
      </c>
      <c r="U2392">
        <v>-0.26047370710631501</v>
      </c>
    </row>
    <row r="2393" spans="1:21" x14ac:dyDescent="0.3">
      <c r="A2393" s="1" t="s">
        <v>155</v>
      </c>
      <c r="B2393" s="1" t="s">
        <v>87</v>
      </c>
      <c r="C2393" s="2">
        <v>45289</v>
      </c>
      <c r="D2393" s="1" t="s">
        <v>36</v>
      </c>
      <c r="E2393" s="1" t="s">
        <v>18</v>
      </c>
      <c r="F2393">
        <v>4557.5200000000004</v>
      </c>
      <c r="G2393">
        <v>10</v>
      </c>
      <c r="H2393" s="1" t="s">
        <v>31</v>
      </c>
      <c r="I2393">
        <v>1830.61</v>
      </c>
      <c r="J2393">
        <v>2044.04</v>
      </c>
      <c r="K2393" s="1" t="s">
        <v>26</v>
      </c>
      <c r="L2393">
        <v>0.11</v>
      </c>
      <c r="M2393" s="1" t="s">
        <v>21</v>
      </c>
      <c r="N2393" s="1" t="s">
        <v>22</v>
      </c>
      <c r="O2393" s="1" t="s">
        <v>115</v>
      </c>
      <c r="P2393">
        <v>18306.099999999999</v>
      </c>
      <c r="Q2393">
        <v>2023</v>
      </c>
      <c r="R2393">
        <v>18191.956000000002</v>
      </c>
      <c r="S2393">
        <v>-114.14399999999659</v>
      </c>
      <c r="T2393" s="1" t="s">
        <v>166</v>
      </c>
      <c r="U2393">
        <v>-6.27442150805535E-3</v>
      </c>
    </row>
    <row r="2394" spans="1:21" x14ac:dyDescent="0.3">
      <c r="A2394" s="1" t="s">
        <v>155</v>
      </c>
      <c r="B2394" s="1" t="s">
        <v>96</v>
      </c>
      <c r="C2394" s="2">
        <v>45289</v>
      </c>
      <c r="D2394" s="1" t="s">
        <v>36</v>
      </c>
      <c r="E2394" s="1" t="s">
        <v>18</v>
      </c>
      <c r="F2394">
        <v>2714.21</v>
      </c>
      <c r="G2394">
        <v>34</v>
      </c>
      <c r="H2394" s="1" t="s">
        <v>37</v>
      </c>
      <c r="I2394">
        <v>3160.61</v>
      </c>
      <c r="J2394">
        <v>3273.22</v>
      </c>
      <c r="K2394" s="1" t="s">
        <v>20</v>
      </c>
      <c r="L2394">
        <v>0.08</v>
      </c>
      <c r="M2394" s="1" t="s">
        <v>27</v>
      </c>
      <c r="N2394" s="1" t="s">
        <v>33</v>
      </c>
      <c r="O2394" s="1" t="s">
        <v>115</v>
      </c>
      <c r="P2394">
        <v>107460.74</v>
      </c>
      <c r="Q2394">
        <v>2023</v>
      </c>
      <c r="R2394">
        <v>102386.3216</v>
      </c>
      <c r="S2394">
        <v>-5074.4184000000096</v>
      </c>
      <c r="T2394" s="1" t="s">
        <v>166</v>
      </c>
      <c r="U2394">
        <v>-4.9561487518075001E-2</v>
      </c>
    </row>
    <row r="2395" spans="1:21" x14ac:dyDescent="0.3">
      <c r="A2395" s="1" t="s">
        <v>155</v>
      </c>
      <c r="B2395" s="1" t="s">
        <v>135</v>
      </c>
      <c r="C2395" s="2">
        <v>45289</v>
      </c>
      <c r="D2395" s="1" t="s">
        <v>25</v>
      </c>
      <c r="E2395" s="1" t="s">
        <v>30</v>
      </c>
      <c r="F2395">
        <v>4380.2299999999996</v>
      </c>
      <c r="G2395">
        <v>38</v>
      </c>
      <c r="H2395" s="1" t="s">
        <v>57</v>
      </c>
      <c r="I2395">
        <v>2945.92</v>
      </c>
      <c r="J2395">
        <v>3381.22</v>
      </c>
      <c r="K2395" s="1" t="s">
        <v>20</v>
      </c>
      <c r="L2395">
        <v>0.23</v>
      </c>
      <c r="M2395" s="1" t="s">
        <v>21</v>
      </c>
      <c r="N2395" s="1" t="s">
        <v>33</v>
      </c>
      <c r="O2395" s="1" t="s">
        <v>92</v>
      </c>
      <c r="P2395">
        <v>111944.96000000001</v>
      </c>
      <c r="Q2395">
        <v>2023</v>
      </c>
      <c r="R2395">
        <v>98934.497199999998</v>
      </c>
      <c r="S2395">
        <v>-13010.462800000008</v>
      </c>
      <c r="T2395" s="1" t="s">
        <v>166</v>
      </c>
      <c r="U2395">
        <v>-0.13150582626097401</v>
      </c>
    </row>
    <row r="2396" spans="1:21" x14ac:dyDescent="0.3">
      <c r="A2396" s="1" t="s">
        <v>155</v>
      </c>
      <c r="B2396" s="1" t="s">
        <v>111</v>
      </c>
      <c r="C2396" s="2">
        <v>45290</v>
      </c>
      <c r="D2396" s="1" t="s">
        <v>59</v>
      </c>
      <c r="E2396" s="1" t="s">
        <v>44</v>
      </c>
      <c r="F2396">
        <v>640.88</v>
      </c>
      <c r="G2396">
        <v>17</v>
      </c>
      <c r="H2396" s="1" t="s">
        <v>31</v>
      </c>
      <c r="I2396">
        <v>395.11</v>
      </c>
      <c r="J2396">
        <v>676.66</v>
      </c>
      <c r="K2396" s="1" t="s">
        <v>20</v>
      </c>
      <c r="L2396">
        <v>0.25</v>
      </c>
      <c r="M2396" s="1" t="s">
        <v>21</v>
      </c>
      <c r="N2396" s="1" t="s">
        <v>33</v>
      </c>
      <c r="O2396" s="1" t="s">
        <v>60</v>
      </c>
      <c r="P2396">
        <v>6716.87</v>
      </c>
      <c r="Q2396">
        <v>2023</v>
      </c>
      <c r="R2396">
        <v>8627.4149999999991</v>
      </c>
      <c r="S2396">
        <v>1910.5449999999992</v>
      </c>
      <c r="T2396" s="1" t="s">
        <v>166</v>
      </c>
      <c r="U2396">
        <v>0.22145045763997701</v>
      </c>
    </row>
    <row r="2397" spans="1:21" x14ac:dyDescent="0.3">
      <c r="A2397" s="1" t="s">
        <v>155</v>
      </c>
      <c r="B2397" s="1" t="s">
        <v>42</v>
      </c>
      <c r="C2397" s="2">
        <v>45290</v>
      </c>
      <c r="D2397" s="1" t="s">
        <v>43</v>
      </c>
      <c r="E2397" s="1" t="s">
        <v>40</v>
      </c>
      <c r="F2397">
        <v>9450.0400000000009</v>
      </c>
      <c r="G2397">
        <v>29</v>
      </c>
      <c r="H2397" s="1" t="s">
        <v>37</v>
      </c>
      <c r="I2397">
        <v>3124.87</v>
      </c>
      <c r="J2397">
        <v>3383.67</v>
      </c>
      <c r="K2397" s="1" t="s">
        <v>26</v>
      </c>
      <c r="L2397">
        <v>0.05</v>
      </c>
      <c r="M2397" s="1" t="s">
        <v>27</v>
      </c>
      <c r="N2397" s="1" t="s">
        <v>33</v>
      </c>
      <c r="O2397" s="1" t="s">
        <v>99</v>
      </c>
      <c r="P2397">
        <v>90621.23</v>
      </c>
      <c r="Q2397">
        <v>2023</v>
      </c>
      <c r="R2397">
        <v>93220.108500000002</v>
      </c>
      <c r="S2397">
        <v>2598.8785000000062</v>
      </c>
      <c r="T2397" s="1" t="s">
        <v>166</v>
      </c>
      <c r="U2397">
        <v>2.78789473839757E-2</v>
      </c>
    </row>
    <row r="2398" spans="1:21" x14ac:dyDescent="0.3">
      <c r="A2398" s="1" t="s">
        <v>155</v>
      </c>
      <c r="B2398" s="1" t="s">
        <v>68</v>
      </c>
      <c r="C2398" s="2">
        <v>45290</v>
      </c>
      <c r="D2398" s="1" t="s">
        <v>36</v>
      </c>
      <c r="E2398" s="1" t="s">
        <v>30</v>
      </c>
      <c r="F2398">
        <v>6801.71</v>
      </c>
      <c r="G2398">
        <v>9</v>
      </c>
      <c r="H2398" s="1" t="s">
        <v>19</v>
      </c>
      <c r="I2398">
        <v>335.82</v>
      </c>
      <c r="J2398">
        <v>498.31</v>
      </c>
      <c r="K2398" s="1" t="s">
        <v>26</v>
      </c>
      <c r="L2398">
        <v>0.26</v>
      </c>
      <c r="M2398" s="1" t="s">
        <v>21</v>
      </c>
      <c r="N2398" s="1" t="s">
        <v>33</v>
      </c>
      <c r="O2398" s="1" t="s">
        <v>38</v>
      </c>
      <c r="P2398">
        <v>3022.38</v>
      </c>
      <c r="Q2398">
        <v>2023</v>
      </c>
      <c r="R2398">
        <v>3318.7446</v>
      </c>
      <c r="S2398">
        <v>296.36459999999988</v>
      </c>
      <c r="T2398" s="1" t="s">
        <v>166</v>
      </c>
      <c r="U2398">
        <v>8.9300213098651798E-2</v>
      </c>
    </row>
    <row r="2399" spans="1:21" x14ac:dyDescent="0.3">
      <c r="A2399" s="1" t="s">
        <v>155</v>
      </c>
      <c r="B2399" s="1" t="s">
        <v>132</v>
      </c>
      <c r="C2399" s="2">
        <v>45290</v>
      </c>
      <c r="D2399" s="1" t="s">
        <v>36</v>
      </c>
      <c r="E2399" s="1" t="s">
        <v>40</v>
      </c>
      <c r="F2399">
        <v>9215.32</v>
      </c>
      <c r="G2399">
        <v>28</v>
      </c>
      <c r="H2399" s="1" t="s">
        <v>37</v>
      </c>
      <c r="I2399">
        <v>2097.84</v>
      </c>
      <c r="J2399">
        <v>2270.9899999999998</v>
      </c>
      <c r="K2399" s="1" t="s">
        <v>26</v>
      </c>
      <c r="L2399">
        <v>0.13</v>
      </c>
      <c r="M2399" s="1" t="s">
        <v>27</v>
      </c>
      <c r="N2399" s="1" t="s">
        <v>33</v>
      </c>
      <c r="O2399" s="1" t="s">
        <v>41</v>
      </c>
      <c r="P2399">
        <v>58739.520000000004</v>
      </c>
      <c r="Q2399">
        <v>2023</v>
      </c>
      <c r="R2399">
        <v>55321.316399999996</v>
      </c>
      <c r="S2399">
        <v>-3418.203600000008</v>
      </c>
      <c r="T2399" s="1" t="s">
        <v>166</v>
      </c>
      <c r="U2399">
        <v>-6.1788182610925897E-2</v>
      </c>
    </row>
    <row r="2400" spans="1:21" x14ac:dyDescent="0.3">
      <c r="A2400" s="1" t="s">
        <v>155</v>
      </c>
      <c r="B2400" s="1" t="s">
        <v>111</v>
      </c>
      <c r="C2400" s="2">
        <v>45291</v>
      </c>
      <c r="D2400" s="1" t="s">
        <v>59</v>
      </c>
      <c r="E2400" s="1" t="s">
        <v>30</v>
      </c>
      <c r="F2400">
        <v>4775.59</v>
      </c>
      <c r="G2400">
        <v>30</v>
      </c>
      <c r="H2400" s="1" t="s">
        <v>31</v>
      </c>
      <c r="I2400">
        <v>4190.28</v>
      </c>
      <c r="J2400">
        <v>4270.6499999999996</v>
      </c>
      <c r="K2400" s="1" t="s">
        <v>26</v>
      </c>
      <c r="L2400">
        <v>0.2</v>
      </c>
      <c r="M2400" s="1" t="s">
        <v>21</v>
      </c>
      <c r="N2400" s="1" t="s">
        <v>22</v>
      </c>
      <c r="O2400" s="1" t="s">
        <v>86</v>
      </c>
      <c r="P2400">
        <v>125708.4</v>
      </c>
      <c r="Q2400">
        <v>2023</v>
      </c>
      <c r="R2400">
        <v>102495.59999999999</v>
      </c>
      <c r="S2400">
        <v>-23212.800000000003</v>
      </c>
      <c r="T2400" s="1" t="s">
        <v>166</v>
      </c>
      <c r="U2400">
        <v>-0.22647606336272</v>
      </c>
    </row>
    <row r="2401" spans="1:21" x14ac:dyDescent="0.3">
      <c r="A2401" s="1" t="s">
        <v>155</v>
      </c>
      <c r="B2401" s="1" t="s">
        <v>53</v>
      </c>
      <c r="C2401" s="2">
        <v>45291</v>
      </c>
      <c r="D2401" s="1" t="s">
        <v>59</v>
      </c>
      <c r="E2401" s="1" t="s">
        <v>30</v>
      </c>
      <c r="F2401">
        <v>9269.32</v>
      </c>
      <c r="G2401">
        <v>33</v>
      </c>
      <c r="H2401" s="1" t="s">
        <v>19</v>
      </c>
      <c r="I2401">
        <v>3419.33</v>
      </c>
      <c r="J2401">
        <v>3890.36</v>
      </c>
      <c r="K2401" s="1" t="s">
        <v>20</v>
      </c>
      <c r="L2401">
        <v>0.21</v>
      </c>
      <c r="M2401" s="1" t="s">
        <v>21</v>
      </c>
      <c r="N2401" s="1" t="s">
        <v>33</v>
      </c>
      <c r="O2401" s="1" t="s">
        <v>86</v>
      </c>
      <c r="P2401">
        <v>112837.89</v>
      </c>
      <c r="Q2401">
        <v>2023</v>
      </c>
      <c r="R2401">
        <v>101421.68520000001</v>
      </c>
      <c r="S2401">
        <v>-11416.204799999992</v>
      </c>
      <c r="T2401" s="1" t="s">
        <v>166</v>
      </c>
      <c r="U2401">
        <v>-0.112561773919331</v>
      </c>
    </row>
    <row r="2402" spans="1:21" x14ac:dyDescent="0.3">
      <c r="A2402" s="1" t="s">
        <v>155</v>
      </c>
      <c r="B2402" s="1" t="s">
        <v>96</v>
      </c>
      <c r="C2402" s="2">
        <v>45291</v>
      </c>
      <c r="D2402" s="1" t="s">
        <v>59</v>
      </c>
      <c r="E2402" s="1" t="s">
        <v>40</v>
      </c>
      <c r="F2402">
        <v>4643.51</v>
      </c>
      <c r="G2402">
        <v>44</v>
      </c>
      <c r="H2402" s="1" t="s">
        <v>19</v>
      </c>
      <c r="I2402">
        <v>1910.47</v>
      </c>
      <c r="J2402">
        <v>2217.8000000000002</v>
      </c>
      <c r="K2402" s="1" t="s">
        <v>26</v>
      </c>
      <c r="L2402">
        <v>0.22</v>
      </c>
      <c r="M2402" s="1" t="s">
        <v>32</v>
      </c>
      <c r="N2402" s="1" t="s">
        <v>22</v>
      </c>
      <c r="O2402" s="1" t="s">
        <v>90</v>
      </c>
      <c r="P2402">
        <v>84060.680000000008</v>
      </c>
      <c r="Q2402">
        <v>2023</v>
      </c>
      <c r="R2402">
        <v>76114.896000000008</v>
      </c>
      <c r="S2402">
        <v>-7945.7839999999997</v>
      </c>
      <c r="T2402" s="1" t="s">
        <v>166</v>
      </c>
      <c r="U2402">
        <v>-0.104391970791105</v>
      </c>
    </row>
    <row r="2403" spans="1:21" x14ac:dyDescent="0.3">
      <c r="A2403" s="1" t="s">
        <v>155</v>
      </c>
      <c r="B2403" s="1" t="s">
        <v>79</v>
      </c>
      <c r="C2403" s="2">
        <v>45291</v>
      </c>
      <c r="D2403" s="1" t="s">
        <v>43</v>
      </c>
      <c r="E2403" s="1" t="s">
        <v>30</v>
      </c>
      <c r="F2403">
        <v>6586.22</v>
      </c>
      <c r="G2403">
        <v>15</v>
      </c>
      <c r="H2403" s="1" t="s">
        <v>57</v>
      </c>
      <c r="I2403">
        <v>4111.93</v>
      </c>
      <c r="J2403">
        <v>4338.67</v>
      </c>
      <c r="K2403" s="1" t="s">
        <v>20</v>
      </c>
      <c r="L2403">
        <v>0.26</v>
      </c>
      <c r="M2403" s="1" t="s">
        <v>27</v>
      </c>
      <c r="N2403" s="1" t="s">
        <v>22</v>
      </c>
      <c r="O2403" s="1" t="s">
        <v>54</v>
      </c>
      <c r="P2403">
        <v>61678.950000000004</v>
      </c>
      <c r="Q2403">
        <v>2023</v>
      </c>
      <c r="R2403">
        <v>48159.237000000001</v>
      </c>
      <c r="S2403">
        <v>-13519.713000000003</v>
      </c>
      <c r="T2403" s="1" t="s">
        <v>166</v>
      </c>
      <c r="U2403">
        <v>-0.280729385309821</v>
      </c>
    </row>
    <row r="2404" spans="1:21" x14ac:dyDescent="0.3">
      <c r="A2404" s="1" t="s">
        <v>155</v>
      </c>
      <c r="B2404" s="1" t="s">
        <v>55</v>
      </c>
      <c r="C2404" s="2">
        <v>45291</v>
      </c>
      <c r="D2404" s="1" t="s">
        <v>17</v>
      </c>
      <c r="E2404" s="1" t="s">
        <v>40</v>
      </c>
      <c r="F2404">
        <v>3333.73</v>
      </c>
      <c r="G2404">
        <v>46</v>
      </c>
      <c r="H2404" s="1" t="s">
        <v>19</v>
      </c>
      <c r="I2404">
        <v>4665.12</v>
      </c>
      <c r="J2404">
        <v>4675.8999999999996</v>
      </c>
      <c r="K2404" s="1" t="s">
        <v>26</v>
      </c>
      <c r="L2404">
        <v>0.19</v>
      </c>
      <c r="M2404" s="1" t="s">
        <v>21</v>
      </c>
      <c r="N2404" s="1" t="s">
        <v>33</v>
      </c>
      <c r="O2404" s="1" t="s">
        <v>67</v>
      </c>
      <c r="P2404">
        <v>214595.52</v>
      </c>
      <c r="Q2404">
        <v>2023</v>
      </c>
      <c r="R2404">
        <v>174224.03400000001</v>
      </c>
      <c r="S2404">
        <v>-40371.485999999975</v>
      </c>
      <c r="T2404" s="1" t="s">
        <v>166</v>
      </c>
      <c r="U2404">
        <v>-0.23172168083308201</v>
      </c>
    </row>
    <row r="2405" spans="1:21" x14ac:dyDescent="0.3">
      <c r="A2405" s="1" t="s">
        <v>157</v>
      </c>
      <c r="B2405" s="1" t="s">
        <v>114</v>
      </c>
      <c r="C2405" s="2">
        <v>45292</v>
      </c>
      <c r="D2405" s="1" t="s">
        <v>59</v>
      </c>
      <c r="E2405" s="1" t="s">
        <v>40</v>
      </c>
      <c r="F2405">
        <v>8579.7199999999993</v>
      </c>
      <c r="G2405">
        <v>24</v>
      </c>
      <c r="H2405" s="1" t="s">
        <v>37</v>
      </c>
      <c r="I2405">
        <v>1362.78</v>
      </c>
      <c r="J2405">
        <v>1729.81</v>
      </c>
      <c r="K2405" s="1" t="s">
        <v>26</v>
      </c>
      <c r="L2405">
        <v>0.28999999999999998</v>
      </c>
      <c r="M2405" s="1" t="s">
        <v>32</v>
      </c>
      <c r="N2405" s="1" t="s">
        <v>22</v>
      </c>
      <c r="O2405" s="1" t="s">
        <v>90</v>
      </c>
      <c r="P2405">
        <v>32706.720000000001</v>
      </c>
      <c r="Q2405">
        <v>2024</v>
      </c>
      <c r="R2405">
        <v>29475.9624</v>
      </c>
      <c r="S2405">
        <v>-3230.7576000000008</v>
      </c>
      <c r="T2405" s="1" t="s">
        <v>163</v>
      </c>
      <c r="U2405">
        <v>-0.10960651788591</v>
      </c>
    </row>
    <row r="2406" spans="1:21" x14ac:dyDescent="0.3">
      <c r="A2406" s="1" t="s">
        <v>157</v>
      </c>
      <c r="B2406" s="1" t="s">
        <v>88</v>
      </c>
      <c r="C2406" s="2">
        <v>45292</v>
      </c>
      <c r="D2406" s="1" t="s">
        <v>36</v>
      </c>
      <c r="E2406" s="1" t="s">
        <v>44</v>
      </c>
      <c r="F2406">
        <v>8377.57</v>
      </c>
      <c r="G2406">
        <v>42</v>
      </c>
      <c r="H2406" s="1" t="s">
        <v>57</v>
      </c>
      <c r="I2406">
        <v>63.41</v>
      </c>
      <c r="J2406">
        <v>314.93</v>
      </c>
      <c r="K2406" s="1" t="s">
        <v>20</v>
      </c>
      <c r="L2406">
        <v>0.03</v>
      </c>
      <c r="M2406" s="1" t="s">
        <v>21</v>
      </c>
      <c r="N2406" s="1" t="s">
        <v>33</v>
      </c>
      <c r="O2406" s="1" t="s">
        <v>71</v>
      </c>
      <c r="P2406">
        <v>2663.22</v>
      </c>
      <c r="Q2406">
        <v>2024</v>
      </c>
      <c r="R2406">
        <v>12830.2482</v>
      </c>
      <c r="S2406">
        <v>10167.028200000001</v>
      </c>
      <c r="T2406" s="1" t="s">
        <v>163</v>
      </c>
      <c r="U2406">
        <v>0.79242646295805896</v>
      </c>
    </row>
    <row r="2407" spans="1:21" x14ac:dyDescent="0.3">
      <c r="A2407" s="1" t="s">
        <v>157</v>
      </c>
      <c r="B2407" s="1" t="s">
        <v>141</v>
      </c>
      <c r="C2407" s="2">
        <v>45292</v>
      </c>
      <c r="D2407" s="1" t="s">
        <v>43</v>
      </c>
      <c r="E2407" s="1" t="s">
        <v>30</v>
      </c>
      <c r="F2407">
        <v>2370.7199999999998</v>
      </c>
      <c r="G2407">
        <v>11</v>
      </c>
      <c r="H2407" s="1" t="s">
        <v>19</v>
      </c>
      <c r="I2407">
        <v>213.41</v>
      </c>
      <c r="J2407">
        <v>503.36</v>
      </c>
      <c r="K2407" s="1" t="s">
        <v>20</v>
      </c>
      <c r="L2407">
        <v>0.27</v>
      </c>
      <c r="M2407" s="1" t="s">
        <v>32</v>
      </c>
      <c r="N2407" s="1" t="s">
        <v>22</v>
      </c>
      <c r="O2407" s="1" t="s">
        <v>54</v>
      </c>
      <c r="P2407">
        <v>2347.5099999999998</v>
      </c>
      <c r="Q2407">
        <v>2024</v>
      </c>
      <c r="R2407">
        <v>4041.9807999999998</v>
      </c>
      <c r="S2407">
        <v>1694.4708000000001</v>
      </c>
      <c r="T2407" s="1" t="s">
        <v>163</v>
      </c>
      <c r="U2407">
        <v>0.41921792404357799</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549D9-A080-4017-8770-2BD0B31A281D}">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1DED65-9953-4B30-A717-5212C717D4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Regional_Analysis</vt:lpstr>
      <vt:lpstr>Product_Analysis</vt:lpstr>
      <vt:lpstr>Quarterly_Analysis</vt:lpstr>
      <vt:lpstr>cleaned_data</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Swati rajput</dc:creator>
  <cp:lastModifiedBy>Swati rajput</cp:lastModifiedBy>
  <dcterms:created xsi:type="dcterms:W3CDTF">2026-10-30T10:52:43Z</dcterms:created>
  <dcterms:modified xsi:type="dcterms:W3CDTF">2026-10-30T15:32:01Z</dcterms:modified>
</cp:coreProperties>
</file>